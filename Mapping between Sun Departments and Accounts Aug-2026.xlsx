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rinterSettings/printerSettings1.bin" ContentType="application/vnd.openxmlformats-officedocument.spreadsheetml.printerSettings"/>
  <Override PartName="/xl/printerSettings/printerSettings2.bin" ContentType="application/vnd.openxmlformats-officedocument.spreadsheetml.printerSettings"/>
  <Override PartName="/xl/printerSettings/printerSettings3.bin" ContentType="application/vnd.openxmlformats-officedocument.spreadsheetml.printerSettings"/>
  <Override PartName="/xl/printerSettings/printerSettings4.bin" ContentType="application/vnd.openxmlformats-officedocument.spreadsheetml.printerSettings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3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CC1\Desktop\Fawaz\2026\Payment Vouchers Sep -2026\"/>
    </mc:Choice>
  </mc:AlternateContent>
  <xr:revisionPtr revIDLastSave="0" documentId="13_ncr:1_{84F7D630-EB21-4A8C-B7A6-63E1B5E840C7}" xr6:coauthVersionLast="47" xr6:coauthVersionMax="47" xr10:uidLastSave="{00000000-0000-0000-0000-000000000000}"/>
  <bookViews>
    <workbookView xWindow="-120" yWindow="-120" windowWidth="29040" windowHeight="15720" tabRatio="806" firstSheet="1" activeTab="5" xr2:uid="{00000000-000D-0000-FFFF-FFFF00000000}"/>
  </bookViews>
  <sheets>
    <sheet name="tmpscrapsheet" sheetId="20" state="hidden" r:id="rId1"/>
    <sheet name="Mapping Final P&amp;L Account" sheetId="19" r:id="rId2"/>
    <sheet name="Sheet3" sheetId="26" state="hidden" r:id="rId3"/>
    <sheet name="COA " sheetId="23" r:id="rId4"/>
    <sheet name="COA  (2)" sheetId="25" state="hidden" r:id="rId5"/>
    <sheet name="Analysis Code" sheetId="24" r:id="rId6"/>
    <sheet name="Sheet1" sheetId="22" state="hidden" r:id="rId7"/>
    <sheet name="Sheet2" sheetId="21" state="hidden" r:id="rId8"/>
    <sheet name="Ls_XLB_WorkbookFile" sheetId="10" state="veryHidden" r:id="rId9"/>
    <sheet name="Ls_AgXLB_WorkbookFile" sheetId="11" state="veryHidden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  <externalReference r:id="rId17"/>
  </externalReferences>
  <definedNames>
    <definedName name="_xlnm._FilterDatabase" localSheetId="3" hidden="1">'COA '!$A$1:$H$810</definedName>
    <definedName name="_xlnm._FilterDatabase" localSheetId="4" hidden="1">'COA  (2)'!$A$1:$H$810</definedName>
    <definedName name="_xlnm._FilterDatabase" localSheetId="1" hidden="1">'Mapping Final P&amp;L Account'!$A$2:$BD$516</definedName>
    <definedName name="_xlnm._FilterDatabase" localSheetId="2" hidden="1">Sheet3!$A$1:$C$81</definedName>
    <definedName name="CHART" localSheetId="1">#REF!</definedName>
    <definedName name="CHART">#REF!</definedName>
    <definedName name="COA">[1]COA!$D$4:$E$113</definedName>
    <definedName name="DeptLU" localSheetId="1">#REF!</definedName>
    <definedName name="DeptLU">#REF!</definedName>
    <definedName name="DIV">'[2]Division Head'!$A$3:$B$19</definedName>
    <definedName name="GUESTS" localSheetId="1">#REF!</definedName>
    <definedName name="GUESTS">#REF!</definedName>
    <definedName name="map">'[3]Trade &amp; NonTrade for Validation'!$B$2:$B$2088</definedName>
    <definedName name="MPO">#REF!</definedName>
    <definedName name="MTD_PURS">[4]Summary!$L$11:$Q$41</definedName>
    <definedName name="Pension" localSheetId="1">#REF!</definedName>
    <definedName name="Pension">#REF!</definedName>
    <definedName name="_xlnm.Print_Area" localSheetId="1">'Mapping Final P&amp;L Account'!$A$1:$BE$416</definedName>
    <definedName name="_xlnm.Print_Titles" localSheetId="1">'Mapping Final P&amp;L Account'!$1:$2</definedName>
    <definedName name="Purchases">[5]Summary!$B$11:$M$2500</definedName>
    <definedName name="Staff_list" localSheetId="1">#REF!</definedName>
    <definedName name="Staff_list">#REF!</definedName>
    <definedName name="Table" localSheetId="1">#REF!</definedName>
    <definedName name="Table">#REF!</definedName>
    <definedName name="test" localSheetId="1">#REF!</definedName>
    <definedName name="test">#REF!</definedName>
    <definedName name="TOTAL" localSheetId="1">#REF!</definedName>
    <definedName name="TOTAL">#REF!</definedName>
    <definedName name="ussaa" localSheetId="1">#REF!</definedName>
    <definedName name="ussaa">#REF!</definedName>
    <definedName name="Z_6AE528DE_0A51_4B58_BD91_FC0E661DE265_.wvu.FilterData" localSheetId="1" hidden="1">'Mapping Final P&amp;L Account'!#REF!</definedName>
    <definedName name="Z_6AE528DE_0A51_4B58_BD91_FC0E661DE265_.wvu.PrintArea" localSheetId="1" hidden="1">'Mapping Final P&amp;L Account'!#REF!</definedName>
    <definedName name="Z_6AE528DE_0A51_4B58_BD91_FC0E661DE265_.wvu.PrintTitles" localSheetId="1" hidden="1">'Mapping Final P&amp;L Account'!$D$1:$HM$2</definedName>
    <definedName name="Z_8C698869_006A_4D39_98BF_D82A62ABB8AF_.wvu.FilterData" localSheetId="1" hidden="1">'Mapping Final P&amp;L Account'!#REF!</definedName>
    <definedName name="Z_8C698869_006A_4D39_98BF_D82A62ABB8AF_.wvu.PrintArea" localSheetId="1" hidden="1">'Mapping Final P&amp;L Account'!#REF!</definedName>
    <definedName name="Z_8C698869_006A_4D39_98BF_D82A62ABB8AF_.wvu.PrintTitles" localSheetId="1" hidden="1">'Mapping Final P&amp;L Account'!$D$1:$HM$2</definedName>
  </definedNames>
  <calcPr calcId="191029"/>
  <customWorkbookViews>
    <customWorkbookView name="Ahmed Badr El Din - Personal View" guid="{6AE528DE-0A51-4B58-BD91-FC0E661DE265}" mergeInterval="0" personalView="1" maximized="1" windowWidth="1436" windowHeight="675" tabRatio="952" activeSheetId="2"/>
    <customWorkbookView name="Ussama El Shaire - Personal View" guid="{8C698869-006A-4D39-98BF-D82A62ABB8AF}" mergeInterval="0" personalView="1" maximized="1" windowWidth="1436" windowHeight="675" tabRatio="952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4" i="19" l="1"/>
  <c r="A5" i="19"/>
  <c r="A6" i="19"/>
  <c r="A7" i="19"/>
  <c r="A8" i="19"/>
  <c r="A9" i="19"/>
  <c r="A10" i="19"/>
  <c r="A11" i="19"/>
  <c r="A12" i="19"/>
  <c r="A13" i="19"/>
  <c r="A14" i="19"/>
  <c r="A15" i="19"/>
  <c r="A16" i="19"/>
  <c r="A17" i="19"/>
  <c r="A18" i="19"/>
  <c r="A19" i="19"/>
  <c r="A20" i="19"/>
  <c r="A21" i="19"/>
  <c r="A22" i="19"/>
  <c r="A23" i="19"/>
  <c r="A24" i="19"/>
  <c r="A25" i="19"/>
  <c r="A26" i="19"/>
  <c r="A27" i="19"/>
  <c r="A28" i="19"/>
  <c r="A29" i="19"/>
  <c r="A30" i="19"/>
  <c r="A31" i="19"/>
  <c r="A32" i="19"/>
  <c r="A33" i="19"/>
  <c r="A34" i="19"/>
  <c r="A35" i="19"/>
  <c r="A36" i="19"/>
  <c r="A37" i="19"/>
  <c r="A38" i="19"/>
  <c r="A39" i="19"/>
  <c r="A40" i="19"/>
  <c r="A41" i="19"/>
  <c r="A42" i="19"/>
  <c r="A43" i="19"/>
  <c r="A44" i="19"/>
  <c r="A48" i="19"/>
  <c r="A49" i="19"/>
  <c r="A50" i="19"/>
  <c r="A51" i="19"/>
  <c r="A52" i="19"/>
  <c r="A53" i="19"/>
  <c r="A54" i="19"/>
  <c r="A55" i="19"/>
  <c r="A56" i="19"/>
  <c r="A57" i="19"/>
  <c r="A58" i="19"/>
  <c r="A59" i="19"/>
  <c r="A60" i="19"/>
  <c r="A61" i="19"/>
  <c r="A62" i="19"/>
  <c r="A63" i="19"/>
  <c r="A64" i="19"/>
  <c r="A65" i="19"/>
  <c r="A66" i="19"/>
  <c r="A67" i="19"/>
  <c r="A68" i="19"/>
  <c r="A69" i="19"/>
  <c r="A70" i="19"/>
  <c r="A71" i="19"/>
  <c r="A72" i="19"/>
  <c r="A73" i="19"/>
  <c r="A74" i="19"/>
  <c r="A75" i="19"/>
  <c r="A76" i="19"/>
  <c r="A77" i="19"/>
  <c r="A78" i="19"/>
  <c r="A79" i="19"/>
  <c r="A80" i="19"/>
  <c r="A81" i="19"/>
  <c r="A82" i="19"/>
  <c r="A83" i="19"/>
  <c r="A84" i="19"/>
  <c r="A85" i="19"/>
  <c r="A86" i="19"/>
  <c r="A87" i="19"/>
  <c r="A88" i="19"/>
  <c r="A89" i="19"/>
  <c r="A90" i="19"/>
  <c r="A91" i="19"/>
  <c r="A92" i="19"/>
  <c r="A93" i="19"/>
  <c r="A94" i="19"/>
  <c r="A95" i="19"/>
  <c r="A96" i="19"/>
  <c r="A97" i="19"/>
  <c r="A98" i="19"/>
  <c r="A99" i="19"/>
  <c r="A100" i="19"/>
  <c r="A101" i="19"/>
  <c r="A102" i="19"/>
  <c r="A103" i="19"/>
  <c r="A104" i="19"/>
  <c r="A105" i="19"/>
  <c r="A106" i="19"/>
  <c r="A107" i="19"/>
  <c r="A108" i="19"/>
  <c r="A109" i="19"/>
  <c r="A110" i="19"/>
  <c r="A111" i="19"/>
  <c r="A112" i="19"/>
  <c r="A113" i="19"/>
  <c r="A114" i="19"/>
  <c r="A115" i="19"/>
  <c r="A116" i="19"/>
  <c r="A117" i="19"/>
  <c r="A118" i="19"/>
  <c r="A119" i="19"/>
  <c r="A120" i="19"/>
  <c r="A121" i="19"/>
  <c r="A122" i="19"/>
  <c r="A123" i="19"/>
  <c r="A124" i="19"/>
  <c r="A125" i="19"/>
  <c r="A126" i="19"/>
  <c r="A127" i="19"/>
  <c r="A128" i="19"/>
  <c r="A129" i="19"/>
  <c r="A130" i="19"/>
  <c r="A131" i="19"/>
  <c r="A132" i="19"/>
  <c r="A133" i="19"/>
  <c r="A134" i="19"/>
  <c r="A135" i="19"/>
  <c r="A136" i="19"/>
  <c r="A137" i="19"/>
  <c r="A138" i="19"/>
  <c r="A139" i="19"/>
  <c r="A140" i="19"/>
  <c r="A141" i="19"/>
  <c r="A142" i="19"/>
  <c r="A143" i="19"/>
  <c r="A144" i="19"/>
  <c r="A145" i="19"/>
  <c r="A146" i="19"/>
  <c r="A147" i="19"/>
  <c r="A148" i="19"/>
  <c r="A149" i="19"/>
  <c r="A150" i="19"/>
  <c r="A151" i="19"/>
  <c r="A152" i="19"/>
  <c r="A153" i="19"/>
  <c r="A154" i="19"/>
  <c r="A155" i="19"/>
  <c r="A156" i="19"/>
  <c r="A157" i="19"/>
  <c r="A158" i="19"/>
  <c r="A159" i="19"/>
  <c r="A160" i="19"/>
  <c r="A161" i="19"/>
  <c r="A162" i="19"/>
  <c r="A163" i="19"/>
  <c r="A164" i="19"/>
  <c r="A165" i="19"/>
  <c r="A166" i="19"/>
  <c r="A167" i="19"/>
  <c r="A168" i="19"/>
  <c r="A169" i="19"/>
  <c r="A170" i="19"/>
  <c r="A171" i="19"/>
  <c r="A172" i="19"/>
  <c r="A173" i="19"/>
  <c r="A174" i="19"/>
  <c r="A175" i="19"/>
  <c r="A176" i="19"/>
  <c r="A177" i="19"/>
  <c r="A178" i="19"/>
  <c r="A179" i="19"/>
  <c r="A180" i="19"/>
  <c r="A181" i="19"/>
  <c r="A182" i="19"/>
  <c r="A183" i="19"/>
  <c r="A184" i="19"/>
  <c r="A185" i="19"/>
  <c r="A186" i="19"/>
  <c r="A187" i="19"/>
  <c r="A188" i="19"/>
  <c r="A189" i="19"/>
  <c r="A190" i="19"/>
  <c r="A191" i="19"/>
  <c r="A192" i="19"/>
  <c r="A193" i="19"/>
  <c r="A194" i="19"/>
  <c r="A195" i="19"/>
  <c r="A196" i="19"/>
  <c r="A197" i="19"/>
  <c r="A198" i="19"/>
  <c r="A199" i="19"/>
  <c r="A200" i="19"/>
  <c r="A201" i="19"/>
  <c r="A202" i="19"/>
  <c r="A203" i="19"/>
  <c r="A204" i="19"/>
  <c r="A205" i="19"/>
  <c r="A206" i="19"/>
  <c r="A207" i="19"/>
  <c r="A208" i="19"/>
  <c r="A209" i="19"/>
  <c r="A210" i="19"/>
  <c r="A211" i="19"/>
  <c r="A212" i="19"/>
  <c r="A213" i="19"/>
  <c r="A214" i="19"/>
  <c r="A215" i="19"/>
  <c r="A216" i="19"/>
  <c r="A217" i="19"/>
  <c r="A218" i="19"/>
  <c r="A219" i="19"/>
  <c r="A220" i="19"/>
  <c r="A221" i="19"/>
  <c r="A222" i="19"/>
  <c r="A223" i="19"/>
  <c r="A224" i="19"/>
  <c r="A225" i="19"/>
  <c r="A226" i="19"/>
  <c r="A227" i="19"/>
  <c r="A228" i="19"/>
  <c r="A229" i="19"/>
  <c r="A230" i="19"/>
  <c r="A231" i="19"/>
  <c r="A232" i="19"/>
  <c r="A233" i="19"/>
  <c r="A234" i="19"/>
  <c r="A235" i="19"/>
  <c r="A236" i="19"/>
  <c r="A237" i="19"/>
  <c r="A238" i="19"/>
  <c r="A239" i="19"/>
  <c r="A240" i="19"/>
  <c r="A241" i="19"/>
  <c r="A242" i="19"/>
  <c r="A243" i="19"/>
  <c r="A244" i="19"/>
  <c r="A245" i="19"/>
  <c r="A246" i="19"/>
  <c r="A247" i="19"/>
  <c r="A248" i="19"/>
  <c r="A249" i="19"/>
  <c r="A250" i="19"/>
  <c r="A251" i="19"/>
  <c r="A252" i="19"/>
  <c r="A253" i="19"/>
  <c r="A254" i="19"/>
  <c r="A255" i="19"/>
  <c r="A256" i="19"/>
  <c r="A257" i="19"/>
  <c r="A258" i="19"/>
  <c r="A259" i="19"/>
  <c r="A260" i="19"/>
  <c r="A261" i="19"/>
  <c r="A262" i="19"/>
  <c r="A263" i="19"/>
  <c r="A264" i="19"/>
  <c r="A265" i="19"/>
  <c r="A266" i="19"/>
  <c r="A267" i="19"/>
  <c r="A268" i="19"/>
  <c r="A269" i="19"/>
  <c r="A270" i="19"/>
  <c r="A271" i="19"/>
  <c r="A272" i="19"/>
  <c r="A273" i="19"/>
  <c r="A274" i="19"/>
  <c r="A275" i="19"/>
  <c r="A276" i="19"/>
  <c r="A277" i="19"/>
  <c r="A278" i="19"/>
  <c r="A279" i="19"/>
  <c r="A280" i="19"/>
  <c r="A281" i="19"/>
  <c r="A282" i="19"/>
  <c r="A283" i="19"/>
  <c r="A284" i="19"/>
  <c r="A285" i="19"/>
  <c r="A286" i="19"/>
  <c r="A287" i="19"/>
  <c r="A288" i="19"/>
  <c r="A289" i="19"/>
  <c r="A290" i="19"/>
  <c r="A291" i="19"/>
  <c r="A292" i="19"/>
  <c r="A293" i="19"/>
  <c r="A294" i="19"/>
  <c r="A295" i="19"/>
  <c r="A296" i="19"/>
  <c r="A297" i="19"/>
  <c r="A298" i="19"/>
  <c r="A299" i="19"/>
  <c r="A300" i="19"/>
  <c r="A301" i="19"/>
  <c r="A302" i="19"/>
  <c r="A303" i="19"/>
  <c r="A304" i="19"/>
  <c r="A305" i="19"/>
  <c r="A306" i="19"/>
  <c r="A307" i="19"/>
  <c r="A308" i="19"/>
  <c r="A309" i="19"/>
  <c r="A310" i="19"/>
  <c r="A311" i="19"/>
  <c r="A312" i="19"/>
  <c r="A313" i="19"/>
  <c r="A314" i="19"/>
  <c r="A315" i="19"/>
  <c r="A316" i="19"/>
  <c r="A317" i="19"/>
  <c r="A318" i="19"/>
  <c r="A319" i="19"/>
  <c r="A320" i="19"/>
  <c r="A321" i="19"/>
  <c r="A322" i="19"/>
  <c r="A323" i="19"/>
  <c r="A324" i="19"/>
  <c r="A431" i="19"/>
  <c r="A326" i="19"/>
  <c r="A327" i="19"/>
  <c r="A328" i="19"/>
  <c r="A325" i="19"/>
  <c r="A329" i="19"/>
  <c r="A330" i="19"/>
  <c r="A331" i="19"/>
  <c r="A332" i="19"/>
  <c r="A333" i="19"/>
  <c r="A334" i="19"/>
  <c r="A335" i="19"/>
  <c r="A336" i="19"/>
  <c r="A337" i="19"/>
  <c r="A338" i="19"/>
  <c r="A339" i="19"/>
  <c r="A340" i="19"/>
  <c r="A341" i="19"/>
  <c r="A342" i="19"/>
  <c r="A343" i="19"/>
  <c r="A344" i="19"/>
  <c r="A345" i="19"/>
  <c r="A346" i="19"/>
  <c r="A347" i="19"/>
  <c r="A348" i="19"/>
  <c r="A349" i="19"/>
  <c r="A350" i="19"/>
  <c r="A351" i="19"/>
  <c r="A352" i="19"/>
  <c r="A353" i="19"/>
  <c r="A354" i="19"/>
  <c r="A355" i="19"/>
  <c r="A356" i="19"/>
  <c r="A357" i="19"/>
  <c r="A358" i="19"/>
  <c r="A359" i="19"/>
  <c r="A360" i="19"/>
  <c r="A361" i="19"/>
  <c r="A362" i="19"/>
  <c r="A363" i="19"/>
  <c r="A364" i="19"/>
  <c r="A365" i="19"/>
  <c r="A366" i="19"/>
  <c r="A367" i="19"/>
  <c r="A368" i="19"/>
  <c r="A369" i="19"/>
  <c r="A370" i="19"/>
  <c r="A371" i="19"/>
  <c r="A45" i="19"/>
  <c r="A46" i="19"/>
  <c r="A47" i="19"/>
  <c r="A372" i="19"/>
  <c r="A373" i="19"/>
  <c r="A374" i="19"/>
  <c r="A375" i="19"/>
  <c r="A376" i="19"/>
  <c r="A377" i="19"/>
  <c r="A378" i="19"/>
  <c r="A379" i="19"/>
  <c r="A380" i="19"/>
  <c r="A381" i="19"/>
  <c r="A382" i="19"/>
  <c r="A383" i="19"/>
  <c r="A384" i="19"/>
  <c r="A385" i="19"/>
  <c r="A386" i="19"/>
  <c r="A387" i="19"/>
  <c r="A388" i="19"/>
  <c r="A389" i="19"/>
  <c r="A390" i="19"/>
  <c r="A391" i="19"/>
  <c r="A392" i="19"/>
  <c r="A393" i="19"/>
  <c r="A394" i="19"/>
  <c r="A395" i="19"/>
  <c r="A396" i="19"/>
  <c r="A397" i="19"/>
  <c r="A398" i="19"/>
  <c r="A399" i="19"/>
  <c r="A400" i="19"/>
  <c r="A401" i="19"/>
  <c r="A402" i="19"/>
  <c r="A403" i="19"/>
  <c r="A404" i="19"/>
  <c r="A405" i="19"/>
  <c r="A406" i="19"/>
  <c r="A407" i="19"/>
  <c r="A408" i="19"/>
  <c r="A409" i="19"/>
  <c r="A410" i="19"/>
  <c r="A411" i="19"/>
  <c r="A412" i="19"/>
  <c r="A413" i="19"/>
  <c r="A414" i="19"/>
  <c r="A415" i="19"/>
  <c r="A3" i="19"/>
  <c r="H8" i="22"/>
  <c r="B4" i="21"/>
  <c r="M5" i="21"/>
  <c r="I5" i="21"/>
  <c r="A1" i="23"/>
  <c r="H1" i="24"/>
  <c r="A1" i="25"/>
  <c r="K1" i="24"/>
</calcChain>
</file>

<file path=xl/sharedStrings.xml><?xml version="1.0" encoding="utf-8"?>
<sst xmlns="http://schemas.openxmlformats.org/spreadsheetml/2006/main" count="18294" uniqueCount="2873">
  <si>
    <t>Conference Fee</t>
  </si>
  <si>
    <t>Day Conference Fee</t>
  </si>
  <si>
    <t>A/V Charges</t>
  </si>
  <si>
    <t>Conference Services Other Revenue</t>
  </si>
  <si>
    <t>Monthly Parking</t>
  </si>
  <si>
    <t>Valet Parking</t>
  </si>
  <si>
    <t>Laundry Revenue</t>
  </si>
  <si>
    <t>Dry Cleaning Revenue</t>
  </si>
  <si>
    <t>Interest Income</t>
  </si>
  <si>
    <t>Direct Mail</t>
  </si>
  <si>
    <t>Linen Charged Out</t>
  </si>
  <si>
    <t>Gas Chargebeack</t>
  </si>
  <si>
    <t>Water Chargebeack</t>
  </si>
  <si>
    <t>Children's Clothing Cost</t>
  </si>
  <si>
    <t>Accessories Apparel Cost</t>
  </si>
  <si>
    <t>Visors/Hats/Caps Cost</t>
  </si>
  <si>
    <t>Shoes Cost</t>
  </si>
  <si>
    <t>Clothing Other 1 Cost</t>
  </si>
  <si>
    <t>Jewelry 2 Cost</t>
  </si>
  <si>
    <t>Jewelry 3 Cost</t>
  </si>
  <si>
    <t>Centralized Accounting Charges</t>
  </si>
  <si>
    <t>Dishwashing Supplies</t>
  </si>
  <si>
    <t>Guest Relocation</t>
  </si>
  <si>
    <t>Health and Beauty Products</t>
  </si>
  <si>
    <t>Ice</t>
  </si>
  <si>
    <t>Legal Services</t>
  </si>
  <si>
    <t>Other Fuels</t>
  </si>
  <si>
    <t>Payroll Processing</t>
  </si>
  <si>
    <t>Photography</t>
  </si>
  <si>
    <t>Royalty Fees</t>
  </si>
  <si>
    <t>Incentive Fee</t>
  </si>
  <si>
    <t>Overnight Parking</t>
  </si>
  <si>
    <t>Electricity</t>
  </si>
  <si>
    <t>Elevators and Escalators</t>
  </si>
  <si>
    <t>Engineering Supplies</t>
  </si>
  <si>
    <t>Flatware</t>
  </si>
  <si>
    <t>Gas</t>
  </si>
  <si>
    <t>Glassware</t>
  </si>
  <si>
    <t>Guest Supplies</t>
  </si>
  <si>
    <t>Guest Transportation</t>
  </si>
  <si>
    <t>In-House Graphics</t>
  </si>
  <si>
    <t>Kitchen Equipment</t>
  </si>
  <si>
    <t>Kitchen Fuel</t>
  </si>
  <si>
    <t>Laundry Equipment</t>
  </si>
  <si>
    <t>Licenses and Permits</t>
  </si>
  <si>
    <t>Light Bulbs</t>
  </si>
  <si>
    <t>Linen</t>
  </si>
  <si>
    <t>Loss and Damage</t>
  </si>
  <si>
    <t>Music and Entertainment</t>
  </si>
  <si>
    <t>Operating Supplies</t>
  </si>
  <si>
    <t>Paper and Plastics</t>
  </si>
  <si>
    <t>Plumbing</t>
  </si>
  <si>
    <t>Steam</t>
  </si>
  <si>
    <t>Utensils</t>
  </si>
  <si>
    <t>Waste Removal</t>
  </si>
  <si>
    <t>Water</t>
  </si>
  <si>
    <t xml:space="preserve">&gt;'[LASATA SETUP FILE]_x000D_
Date=2005-11-22 07:23:54_x000D_
FileType=Agora XLB MacroBuilder_x000D_
Version=0_x000D_
Buffer=_x000D_
@settngMacroName:Str=USD_x000D_
@settngMacroButtonCaption:Str=Refresh_x000D_
@settngMacroShortcutKey:Str=_x000D_
@recipeStep_RunDataSend_112207233633000:Str=P0=Upload,P1=,P2=_x000D_
@filenmSetupfile:Str=_x000D_
@filenmWorkbookSetupFile:Str=Macro Builder 2_x000D_
</t>
  </si>
  <si>
    <t>&gt;&gt;Lookup</t>
  </si>
  <si>
    <t>&gt;'atb</t>
  </si>
  <si>
    <t xml:space="preserve">&gt;'[LASATA SETUP FILE]_x000D_
Date=2005-11-22 07:36:19_x000D_
FileType=Agora XLB ExtractTransactions_x000D_
Version=0_x000D_
Buffer=_x000D_
@systemProduct:Str=SS5_x000D_
@systemTable:Str=LA_x000D_
@filterFrom_DbC:Str=$B4{P}1_x000D_
@filterFrom_/LA/Ldg:Str=A_x000D_
@filterFrom_/LA/AccCde:Str=&lt;ALL&gt;_x000D_
@filterFrom_/LA/Prd:Str=$B$5{P}2_x000D_
@filterTo_/LA/Prd:Str=$B$5{P}3_x000D_
@filterFrom_/LA/JnlSrc:Str=$B$7{P}4_x000D_
@filterTo_/LA/JnlSrc:Str=$B$7{P}5_x000D_
@filterFrom_/LA/JnlTyp:Str=$B$6{P}6_x000D_
@filterTo_/LA/JnlTyp:Str=$B$6{P}7_x000D_
@outputField_/LA/AstSubCde:Str=_x000D_
@formatType:Lng=-4142_x000D_
@formatNumber:Int=1_x000D_
@formatPattern:Int=1_x000D_
@formatFont:Int=1_x000D_
@formatWidth:Int=1_x000D_
@formatAlignment:Int=1_x000D_
@formatBorder:Int=1_x000D_
@filenmSetupfile:Str=_x000D_
@filenmWorkbookSetupFile:Str=Lookup_x000D_
@settngShowMessages:Str=Y_x000D_
@settngDirection:Str=D_x000D_
@settngApplyFormula:Str=Y_x000D_
@settngLock:Str=N_x000D_
@settngOutputHeaders:Int=0_x000D_
@settngOutputCaptions:Int=0_x000D_
@settngOutputTotals:Int=0_x000D_
@settngOutputFiltering:Int=0_x000D_
@settngPivotTable:Int=0_x000D_
@settngTopPercent:Str=_x000D_
@settngReportStyle:Lng=1_x000D_
</t>
  </si>
  <si>
    <t>&gt;&gt;Macro Builder 7</t>
  </si>
  <si>
    <t xml:space="preserve">&gt;'[LASATA SETUP FILE]_x000D_
Date=2005-12-23 10:31:20_x000D_
FileType=Agora XLB MacroBuilder_x000D_
Version=0_x000D_
Buffer=_x000D_
@settngMacroName:Str=Recal1_x000D_
@settngMacroButtonCaption:Str=Recal1_x000D_
@settngMacroShortcutKey:Str=_x000D_
@recipeStep_RecalculateWorksheet_122310310403000:Str=P0=,P1=,P2=_x000D_
@filenmSetupfile:Str=_x000D_
@filenmWorkbookSetupFile:Str=Macro Builder 7_x000D_
</t>
  </si>
  <si>
    <t>&gt;&gt;Macro Builder 5</t>
  </si>
  <si>
    <t xml:space="preserve">&gt;'[LASATA SETUP FILE]_x000D_
Date=2005-12-23 10:21:18_x000D_
FileType=Agora XLB MacroBuilder_x000D_
Version=0_x000D_
Buffer=_x000D_
@settngMacroName:Str=Recalculate_x000D_
@settngMacroButtonCaption:Str=Recalculate_x000D_
@settngMacroShortcutKey:Str=_x000D_
@recipeStep_RecalculateWorksheet_122310203566000:Str=P0=,P1=,P2=_x000D_
@recipeStep_SelectRange_122310204284000:Str=P0=A13,P1=,P2=_x000D_
@filenmSetupfile:Str=_x000D_
@filenmWorkbookSetupFile:Str=Macro Builder 5_x000D_
</t>
  </si>
  <si>
    <t>&gt;&gt;Macro Builder 6</t>
  </si>
  <si>
    <t xml:space="preserve">&gt;'[LASATA SETUP FILE]_x000D_
Date=2005-12-23 10:22:42_x000D_
FileType=Agora XLB MacroBuilder_x000D_
Version=0_x000D_
Buffer=_x000D_
@settngMacroName:Str=Recal_x000D_
@settngMacroButtonCaption:Str=Recal_x000D_
@settngMacroShortcutKey:Str=_x000D_
@recipeStep_RecalculateWorksheet_122310215434000:Str=P0=,P1=,P2=_x000D_
@recipeStep_SelectRange_122310220443000:Str=P0=A13,P1=,P2=_x000D_
@filenmSetupfile:Str=_x000D_
@filenmWorkbookSetupFile:Str=Macro Builder 6_x000D_
</t>
  </si>
  <si>
    <t>&gt;&gt;Macro Builder 3</t>
  </si>
  <si>
    <t xml:space="preserve">&gt;'[LASATA SETUP FILE]_x000D_
Date=2005-12-23 09:55:23_x000D_
FileType=Agora XLB MacroBuilder_x000D_
Version=0_x000D_
Buffer=_x000D_
@settngMacroName:Str=Recalculate_x000D_
@settngMacroButtonCaption:Str=Recalculate_x000D_
@settngMacroShortcutKey:Str=_x000D_
@recipeStep_RecalculateWorksheet_122309545527000:Str=P0=,P1=,P2=_x000D_
@filenmSetupfile:Str=_x000D_
@filenmWorkbookSetupFile:Str=Macro Builder 3_x000D_
</t>
  </si>
  <si>
    <t>&gt;&gt;Macro Builder 4</t>
  </si>
  <si>
    <t>&gt;&gt;Upload</t>
  </si>
  <si>
    <t>&gt;'lsd</t>
  </si>
  <si>
    <t>&gt;&gt;Macro Builder 1</t>
  </si>
  <si>
    <t>&gt;'axb</t>
  </si>
  <si>
    <t xml:space="preserve">&gt;'[LASATA SETUP FILE]_x000D_
Date=2005-09-20 08:34:24_x000D_
FileType=Agora XLB MacroBuilder_x000D_
Version=0_x000D_
Buffer=_x000D_
@settngMacroName:Str=LIUpload_x000D_
@settngMacroButtonCaption:Str=Upload_x000D_
@settngMacroShortcutKey:Str=_x000D_
@recipeStep_RunDataSend_92008334502000:Str=P0=Upload,P1=,P2=_x000D_
@filenmSetupfile:Str=_x000D_
@filenmWorkbookSetupFile:Str=Macro Builder 1_x000D_
</t>
  </si>
  <si>
    <t>&gt;&gt;Macro Builder 2</t>
  </si>
  <si>
    <t>Covers</t>
  </si>
  <si>
    <t>Available Treatments Rooms</t>
  </si>
  <si>
    <t>Available Treatments Hours</t>
  </si>
  <si>
    <t>Room Rate Revenue</t>
  </si>
  <si>
    <t>Food Revenue</t>
  </si>
  <si>
    <t>Corkage</t>
  </si>
  <si>
    <t>Breakage</t>
  </si>
  <si>
    <t>Locker Rentals</t>
  </si>
  <si>
    <t>Class Revenue</t>
  </si>
  <si>
    <t>Personal Instruction</t>
  </si>
  <si>
    <t>Equipment Rental Revenue</t>
  </si>
  <si>
    <t>Men's Clothing</t>
  </si>
  <si>
    <t>Women's Clothing</t>
  </si>
  <si>
    <t>Children's Clothing</t>
  </si>
  <si>
    <t>Accessories Apparel</t>
  </si>
  <si>
    <t>Visors/Hats/Caps</t>
  </si>
  <si>
    <t>Shoes</t>
  </si>
  <si>
    <t>Jewelry 1</t>
  </si>
  <si>
    <t>Candy</t>
  </si>
  <si>
    <t>Gifts</t>
  </si>
  <si>
    <t>Flowers</t>
  </si>
  <si>
    <t>Drugs</t>
  </si>
  <si>
    <t>Tobacco</t>
  </si>
  <si>
    <t>Other Sundry</t>
  </si>
  <si>
    <t>Equipment</t>
  </si>
  <si>
    <t>Local Call Revenue</t>
  </si>
  <si>
    <t>Long Distance Call Revenue</t>
  </si>
  <si>
    <t>Telcom Service Charge Received</t>
  </si>
  <si>
    <t>Telcom Commisions Received</t>
  </si>
  <si>
    <t>Court Fees Tennis</t>
  </si>
  <si>
    <t xml:space="preserve">&gt;'[LASATA SETUP FILE]_x000D_
Date=2005-12-23 09:56:26_x000D_
FileType=Agora XLB MacroBuilder_x000D_
Version=0_x000D_
Buffer=_x000D_
@settngMacroName:Str=Contract_x000D_
@settngMacroButtonCaption:Str=Upload_x000D_
@settngMacroShortcutKey:Str=_x000D_
@recipeStep_RunDataSend_122309555943000:Str=P0=Contracts,P1=,P2=_x000D_
@filenmSetupfile:Str=_x000D_
@filenmWorkbookSetupFile:Str=Macro Builder 4_x000D_
</t>
  </si>
  <si>
    <t>&gt;&gt;CA MPO</t>
  </si>
  <si>
    <t>Laundry Supplies</t>
  </si>
  <si>
    <t>Cleaning Supplies</t>
  </si>
  <si>
    <t>Equipment Rental</t>
  </si>
  <si>
    <t>Trade Shows</t>
  </si>
  <si>
    <t>Avg Length of Stay</t>
  </si>
  <si>
    <t>Laundry Weight Processed</t>
  </si>
  <si>
    <t>Valet Cars Parked</t>
  </si>
  <si>
    <t>Spa Products Revenue</t>
  </si>
  <si>
    <t>Jewelry 2</t>
  </si>
  <si>
    <t>Jewelry 3</t>
  </si>
  <si>
    <t>Cabana</t>
  </si>
  <si>
    <t xml:space="preserve">&gt;'[LASATA SETUP FILE]_x000D_
Date=2007-02-06 16:13:25_x000D_
FileType=Agora XLB ExtractTransactions_x000D_
Version=0_x000D_
Buffer=_x000D_
@systemProduct:Str=SS5_x000D_
@systemTable:Str=CA_x000D_
@filterFrom_DbC:Str=$B$1{P}1_x000D_
@filterFrom_/CA/AccTyp:Str=P_x000D_
@filterFrom_/CA/AccTyp#2:Str=B_x000D_
@filterFrom_/CA/AccTyp#3:Str=M_x000D_
@filterFrom_/CA/Cde:Str=&lt;ALL&gt;_x000D_
@outputField_/CA/Cde:Str=_x000D_
@outputField_/CA/EnTc1:Str=_x000D_
@outputField_/CA/EnTc2:Str=_x000D_
@outputField_/CA/EnTc3:Str=_x000D_
@outputField_/CA/EnTc4:Str=_x000D_
@outputField_/CA/EnTc5:Str=_x000D_
@outputField_/CA/EnTc6:Str=_x000D_
@outputField_/CA/EnTc7:Str=_x000D_
@outputField_/CA/EnTc8:Str=_x000D_
@outputField_/CA/EnTc9:Str=_x000D_
@outputField_/CA/EnTc10:Str=_x000D_
@outputField_/CA/Nme:Str=_x000D_
@formatType:Lng=-4142_x000D_
@formatNumber:Int=1_x000D_
@formatPattern:Int=1_x000D_
@formatFont:Int=1_x000D_
@formatWidth:Int=1_x000D_
@formatAlignment:Int=1_x000D_
@formatBorder:Int=1_x000D_
@filenmSetupfile:Str=_x000D_
@filenmWorkbookSetupFile:Str=CA MPO_x000D_
@settngShowMessages:Str=Y_x000D_
@settngDirection:Str=D_x000D_
@settngApplyFormula:Str=N_x000D_
@settngLock:Str=N_x000D_
@settngOutputHeaders:Int=0_x000D_
@settngOutputCaptions:Int=0_x000D_
@settngOutputTotals:Int=0_x000D_
@settngOutputFiltering:Int=0_x000D_
@settngPivotTable:Int=0_x000D_
@settngTopPercent:Str=_x000D_
@settngReportStyle:Lng=1_x000D_
</t>
  </si>
  <si>
    <t>Service Charge Revenue</t>
  </si>
  <si>
    <t>Employee Meals Charged Out</t>
  </si>
  <si>
    <t>Food Cost</t>
  </si>
  <si>
    <t>Bar to Food</t>
  </si>
  <si>
    <t>Freight on Food</t>
  </si>
  <si>
    <t>Food to Bar</t>
  </si>
  <si>
    <t>F&amp;B Misc Cost</t>
  </si>
  <si>
    <t>Men's Clothing Cost</t>
  </si>
  <si>
    <t>Women's Clothing Cost</t>
  </si>
  <si>
    <t>Jewelry 1 Cost</t>
  </si>
  <si>
    <t>Newspapers &amp; Magazines Cost</t>
  </si>
  <si>
    <t>Candy Cost</t>
  </si>
  <si>
    <t>Gifts Cost</t>
  </si>
  <si>
    <t>Flowers Cost</t>
  </si>
  <si>
    <t>Drugs Cost</t>
  </si>
  <si>
    <t>Tobacco Cost</t>
  </si>
  <si>
    <t>Other Sundry Cost</t>
  </si>
  <si>
    <t>Allocation from Laundry</t>
  </si>
  <si>
    <t>Local Call Cost</t>
  </si>
  <si>
    <t>Long Distance Cost</t>
  </si>
  <si>
    <t>Internet Cost</t>
  </si>
  <si>
    <t>ISDN/T1 Cost</t>
  </si>
  <si>
    <t>Telcom Equip. Rental Cost</t>
  </si>
  <si>
    <t>Telcom Professional Svcs. Cost</t>
  </si>
  <si>
    <t>Other Telcom Cost</t>
  </si>
  <si>
    <t>Outlet Meals</t>
  </si>
  <si>
    <t>Other Employee Meals Cost</t>
  </si>
  <si>
    <t>GM Pension Plan</t>
  </si>
  <si>
    <t>Benefits Chargeback In Pay 1</t>
  </si>
  <si>
    <t>Agency Fees</t>
  </si>
  <si>
    <t>Athletic Supplies</t>
  </si>
  <si>
    <t>Audit Charges</t>
  </si>
  <si>
    <t>Bank Charges</t>
  </si>
  <si>
    <t>Banquet Expense</t>
  </si>
  <si>
    <t>Building</t>
  </si>
  <si>
    <t>Cash Overages and Shortages</t>
  </si>
  <si>
    <t>China</t>
  </si>
  <si>
    <t>Collateral Material</t>
  </si>
  <si>
    <t>Decorations</t>
  </si>
  <si>
    <t>Dues and Subscriptions</t>
  </si>
  <si>
    <t xml:space="preserve">&gt;'[LASATA SETUP FILE]_x000D_
Date=2007-02-16 11:27:50_x000D_
FileType=Agora XML SendData_x000D_
Version=0_x000D_
Buffer=_x000D_
@Agora XML SendData:Str=@STARTBLOCK_x000D_
setupFileVersion:2=1_x000D_
AbortIfErrorsExist:2=1_x000D_
AppendFile:2=0_x000D_
RunScript:2=1_x000D_
DatabaseOrig:8=_x000D_
DefinitionName:8=Ledger Import_x000D_
DefinitionVersion:4=2_x000D_
ErrorReference:8=$I$4_x000D_
CommentReference:8=$I$4_x000D_
MatrixSend:11=0_x000D_
SkipBlanks:11=-1_x000D_
CSVDelimeter:8=_x000D_
CSVIncludeHeader:2=0_x000D_
MatrixReplicatorFieldOverrideNodePath:8=/LI Header/LI Detail/PERD_x000D_
DriverFieldOverrideNodePath:8=/LI Header/DESCR_x000D_
Language:8=_x000D_
OutputFileNameOrig:8=_x000D_
SetupFileNameOrig:8=_x000D_
SetupFileType:2=2_x000D_
ShowMessages:2=1_x000D_
WorkBookSetupFileOrig:8=Upload_x000D_
LayoutIdetifierColumn:8=A13_x000D_
Product:8=SS5_x000D_
SuperFieldKey:8=DbC_x000D_
SuperFieldValue:8=$B$4_x000D_
FieldValueCodePath:8=/LI Header/DESCR_x000D_
FieldValueValue:8=$B$8_x000D_
FieldValueCodePath:8=/LI Header/POST_TYPE_x000D_
FieldValueValue:8=2_x000D_
FieldValueCodePath:8=/LI Header/POST_WRITE_TO_HOLD_x000D_
FieldValueValue:8=N_x000D_
FieldValueCodePath:8=/LI Header/POST_ROUGH_BOOK_x000D_
FieldValueValue:8=N_x000D_
FieldValueCodePath:8=/LI Header/POST_ALLOW_BAL_TRANS_x000D_
FieldValueValue:8=N_x000D_
FieldValueCodePath:8=/LI Header/POST_SUSPENSE_ACNT_x000D_
FieldValueValue:8=_x000D_
FieldValueCodePath:8=/LI Header/POST_OTHER_ACNT_x000D_
FieldValueValue:8=_x000D_
FieldValueCodePath:8=/LI Header/POST_DFLT_PERD_x000D_
FieldValueValue:8=$B$5_x000D_
FieldValueCodePath:8=/LI Header/POST_RPT_ERR_ONLY_x000D_
FieldValueValue:8=N_x000D_
FieldValueCodePath:8=/LI Header/POST_SUPPRESS_SUB_MSG_x000D_
FieldValueValue:8=N_x000D_
FieldValueCodePath:8=/LI Header/POST_RPT_FMT_x000D_
FieldValueValue:8=LIALL_x000D_
FieldValueCodePath:8=/LI Header/JRNL_TYPE_x000D_
FieldValueValue:8=$B$6_x000D_
FieldValueCodePath:8=/LI Header/POST_RPT_ACNT_x000D_
FieldValueValue:8=_x000D_
FieldValueCodePath:8=/LI Header/POST_LDG_x000D_
FieldValueValue:8=A_x000D_
FieldValueCodePath:8=/LI Header/POST_ALLOW_SUSPNS_ACNT_x000D_
FieldValueValue:8=Y_x000D_
FieldValueCodePath:8=/LI Header/POST_ALLOW_OVER_BDGT_x000D_
FieldValueValue:8=Y_x000D_
FieldValueCodePath:8=/LI Header/LI Detail/ACNT_CODE_x000D_
FieldValueValue:8=B13_x000D_
FieldValueCodePath:8=/LI Header/LI Detail/PERD_x000D_
FieldValueValue:8=$B$5_x000D_
FieldValueCodePath:8=/LI Header/LI Detail/TXN_DATETIME_x000D_
FieldValueValue:8=D13_x000D_
FieldValueCodePath:8=/LI Header/LI Detail/TXN_REF_x000D_
FieldValueValue:8=G13_x000D_
FieldValueCodePath:8=/LI Header/LI Detail/JNL_SRCE_x000D_
FieldValueValue:8=$B$7_x000D_
FieldValueCodePath:8=/LI Header/LI Detail/DESCR_x000D_
FieldValueValue:8=F13_x000D_
FieldValueCodePath:8=/LI Header/LI Detail/AMT_x000D_
FieldValueValue:8=J13_x000D_
FieldValueCodePath:8=/LI Header/LI Detail/DR_CR_IND_x000D_
FieldValueValue:8=_x000D_
FieldValueCodePath:8=/LI Header/LI Detail/CONV_CODE_x000D_
FieldValueValue:8=USD_x000D_
FieldValueCodePath:8=/LI Header/LI Detail/TXN_AMT_x000D_
FieldValueValue:8=J13_x000D_
FieldValueCodePath:8=/LI Header/LI Detail/MEMO_AMT_x000D_
FieldValueValue:8=L13_x000D_
FieldValueCodePath:8=/LI Header/LI Detail/ALLOCN_IND_x000D_
FieldValueValue:8=K13_x000D_
FieldValueCodePath:8=/LI Header/LI Detail/DUE_DATETIME_x000D_
FieldValueValue:8=E13_x000D_
FieldValueCodePath:8=/LI Header/LI Detail/ASSET_SUB_CODE_x000D_
FieldValueValue:8=_x000D_
FieldValueCodePath:8=/LI Header/LI Detail/ANL_CODE_T0_x000D_
FieldValueValue:8=M13_x000D_
FieldValueCodePath:8=/LI Header/LI Detail/ANL_CODE_T1_x000D_
FieldValueValue:8=N13_x000D_
FieldValueCodePath:8=/LI Header/LI Detail/ANL_CODE_T2_x000D_
FieldValueValue:8=O13_x000D_
FieldValueCodePath:8=/LI Header/LI Detail/ANL_CODE_T3_x000D_
FieldValueValue:8=P13_x000D_
FieldValueCodePath:8=/LI Header/LI Detail/ANL_CODE_T4_x000D_
FieldValueValue:8=Q13_x000D_
FieldValueCodePath:8=/LI Header/LI Detail/ANL_CODE_T5_x000D_
FieldValueValue:8=R13_x000D_
FieldValueCodePath:8=/LI Header/LI Detail/ANL_CODE_T6_x000D_
FieldValueValue:8=S13_x000D_
FieldValueCodePath:8=/LI Header/LI Detail/ANL_CODE_T7_x000D_
FieldValueValue:8=T13_x000D_
FieldValueCodePath:8=/LI Header/LI Detail/ANL_CODE_T8_x000D_
FieldValueValue:8=U13_x000D_
FieldValueCodePath:8=/LI Header/LI Detail/ANL_CODE_T9_x000D_
FieldValueValue:8=V13_x000D_
FieldValueCodePath:8=/LI Header/LI Detail/LI Detail LAD/PSTG_HDR_ID_x000D_
FieldValueValue:8=_x000D_
FieldValueCodePath:8=/LI Header/LI Detail/LI Detail LAD/GNRL_DESCR_01_x000D_
FieldValueValue:8=W13_x000D_
FieldValueCodePath:8=/LI Header/LI Detail/RPT_AMT_x000D_
FieldValueValue:8=_x000D_
FieldValueCodePath:8=/LI Header/LI Detail/ENTRY_DATETIME_x000D_
FieldValueValue:8=_x000D_
FieldValueCodePath:8=/LI Header/LI Detail/LI Detail LAD/GNRL_DESCR_04_x000D_
FieldValueValue:8=X13_x000D_
Param1:8=@START_x000D_
InternalName:8=IsCheckBalances_x000D_
ValueFrom:8=N_x000D_
ValueTo:8=_x000D_
_x000D_
@END_x000D_
ZeroRecordCount:3=0_x000D_
NonZeroRecordCount:3=0_x000D_
_x000D_
@ENDBLOCK_x000D_
</t>
  </si>
  <si>
    <t>Security</t>
  </si>
  <si>
    <t>Rooms Occupied</t>
  </si>
  <si>
    <t>AED</t>
  </si>
  <si>
    <t>BHD</t>
  </si>
  <si>
    <t>Utilities</t>
  </si>
  <si>
    <t>PO&amp;M Dept.</t>
  </si>
  <si>
    <t>Human Resources</t>
  </si>
  <si>
    <t>Purchasing</t>
  </si>
  <si>
    <t>Finance</t>
  </si>
  <si>
    <t>Executive Office</t>
  </si>
  <si>
    <t>Laundry &amp; Valet Dept.</t>
  </si>
  <si>
    <t>GOP%</t>
  </si>
  <si>
    <t>Retention</t>
  </si>
  <si>
    <t>RevPAT</t>
  </si>
  <si>
    <t>Treatment Room Occupancy</t>
  </si>
  <si>
    <t>Avg Hrs Use per Room</t>
  </si>
  <si>
    <t>Avg Other Treatment Price</t>
  </si>
  <si>
    <t>Avg Facial Treatment Price</t>
  </si>
  <si>
    <t>Avg Body Treatment Price</t>
  </si>
  <si>
    <t>Avg Massage Price</t>
  </si>
  <si>
    <t>Avg Treatment Price</t>
  </si>
  <si>
    <t>Occupancy %</t>
  </si>
  <si>
    <t>Avg Rate</t>
  </si>
  <si>
    <t>FTE</t>
  </si>
  <si>
    <t>Variable Regular Hours</t>
  </si>
  <si>
    <t>Fixed Regular Hours</t>
  </si>
  <si>
    <t>Other Treatments Guests</t>
  </si>
  <si>
    <t>Facial Treatments Guests</t>
  </si>
  <si>
    <t>Body Treatments Guests</t>
  </si>
  <si>
    <t>Massage Treatments Guests</t>
  </si>
  <si>
    <t>Other Treatments Hours</t>
  </si>
  <si>
    <t>Facial Treatments Hour</t>
  </si>
  <si>
    <t>Body Treatments Hours</t>
  </si>
  <si>
    <t>Massage Treatments Hours</t>
  </si>
  <si>
    <t>Other Treatments</t>
  </si>
  <si>
    <t>Facial Treatments</t>
  </si>
  <si>
    <t>Body Treatments</t>
  </si>
  <si>
    <t>Massage Treatments</t>
  </si>
  <si>
    <t>Number of Seats</t>
  </si>
  <si>
    <t>Square Meters</t>
  </si>
  <si>
    <t>TBev%</t>
  </si>
  <si>
    <t>Othr %</t>
  </si>
  <si>
    <t>Avg Chk</t>
  </si>
  <si>
    <t>USD</t>
  </si>
  <si>
    <t>SAR</t>
  </si>
  <si>
    <t>QAR</t>
  </si>
  <si>
    <t>LBP</t>
  </si>
  <si>
    <t>KWD</t>
  </si>
  <si>
    <t>GBP</t>
  </si>
  <si>
    <t>EUR</t>
  </si>
  <si>
    <t>CAD</t>
  </si>
  <si>
    <t>Staff Housing Allocation</t>
  </si>
  <si>
    <t>Printing and Stationery</t>
  </si>
  <si>
    <t>Staff Transportation Allocation</t>
  </si>
  <si>
    <t>Electricity Chargeback</t>
  </si>
  <si>
    <t>Mattress Revenue</t>
  </si>
  <si>
    <t>Allowances</t>
  </si>
  <si>
    <t>Kids Club</t>
  </si>
  <si>
    <t>Employee Cafeteria</t>
  </si>
  <si>
    <t>Garage and Parking</t>
  </si>
  <si>
    <t>Employee Housing</t>
  </si>
  <si>
    <t>Alcohol Beverage Revenue</t>
  </si>
  <si>
    <t>Non Alcohol Beverage Revenue</t>
  </si>
  <si>
    <t>Management Fees</t>
  </si>
  <si>
    <t xml:space="preserve">Training </t>
  </si>
  <si>
    <t>Gratuity</t>
  </si>
  <si>
    <t>Department Head Bonus</t>
  </si>
  <si>
    <t>Sales Bonus</t>
  </si>
  <si>
    <t>Other Payroll</t>
  </si>
  <si>
    <t>Home Leave Ticket</t>
  </si>
  <si>
    <t>Education Allowance</t>
  </si>
  <si>
    <t>Medical Minstiry of Health</t>
  </si>
  <si>
    <t>Training Levy 4%</t>
  </si>
  <si>
    <t>Owner Cost</t>
  </si>
  <si>
    <t>Fixed Charges</t>
  </si>
  <si>
    <t>Service Charge Revenue - Distribution</t>
  </si>
  <si>
    <t>Alcoholic Cost</t>
  </si>
  <si>
    <t>Non Alcoholic Cost</t>
  </si>
  <si>
    <t xml:space="preserve"> Electricity - kWh</t>
  </si>
  <si>
    <t xml:space="preserve"> Water - cubic meter</t>
  </si>
  <si>
    <t xml:space="preserve"> Sewage - cubic meter</t>
  </si>
  <si>
    <t xml:space="preserve"> Gas - cubic meter</t>
  </si>
  <si>
    <t>Other Room Revenue</t>
  </si>
  <si>
    <t>Y</t>
  </si>
  <si>
    <t xml:space="preserve"> </t>
  </si>
  <si>
    <t>Cost of Telconf and Mob Ph</t>
  </si>
  <si>
    <t>C.O.S. Laundry</t>
  </si>
  <si>
    <t>Cost of Other OOD</t>
  </si>
  <si>
    <t>Base Fee</t>
  </si>
  <si>
    <t>Marketing Fee</t>
  </si>
  <si>
    <t>Royalty Fee</t>
  </si>
  <si>
    <t>Central Services</t>
  </si>
  <si>
    <t>Land and Buildings</t>
  </si>
  <si>
    <t>Other Property and Equipment</t>
  </si>
  <si>
    <t>Telecommunications Equipment</t>
  </si>
  <si>
    <t>Information Systems Equipment</t>
  </si>
  <si>
    <t>Real Estate Taxes</t>
  </si>
  <si>
    <t>Interest Exp. 3rd Party</t>
  </si>
  <si>
    <t>Interest Exp. Affiliate</t>
  </si>
  <si>
    <t>Interest Inc. 3rd Party</t>
  </si>
  <si>
    <t>Interest Inc. Aff.</t>
  </si>
  <si>
    <t>Interest on Overdraft Facility</t>
  </si>
  <si>
    <t>Depreciation Buildings</t>
  </si>
  <si>
    <t>Depreciation FFnE</t>
  </si>
  <si>
    <t>Depreciation Mach n Equip</t>
  </si>
  <si>
    <t>Dep. Leasehold Improvement</t>
  </si>
  <si>
    <t>Depreciation Vehicles</t>
  </si>
  <si>
    <t>Depreciation Information Systems</t>
  </si>
  <si>
    <t>Depreciation China Glassware etc</t>
  </si>
  <si>
    <t>Amortisation intangible Assets</t>
  </si>
  <si>
    <t>Dividend Income</t>
  </si>
  <si>
    <t>Income from Recovery of bad debts</t>
  </si>
  <si>
    <t>Miscellaneous Additions</t>
  </si>
  <si>
    <t>Loan Revaluation</t>
  </si>
  <si>
    <t>Major Repairs</t>
  </si>
  <si>
    <t>Miscellaneous Deductions</t>
  </si>
  <si>
    <t>Special Project Exp. - Amortised</t>
  </si>
  <si>
    <t>Write off on fixed Assets</t>
  </si>
  <si>
    <t>Municipality Tax (Business Tax)</t>
  </si>
  <si>
    <t>Income Tax</t>
  </si>
  <si>
    <t>Other Income Taxes</t>
  </si>
  <si>
    <t>Transfer of P/L to Owners Account</t>
  </si>
  <si>
    <t>Replacement Reserve</t>
  </si>
  <si>
    <t>Basic Salary</t>
  </si>
  <si>
    <t>Executive Committee Bonus</t>
  </si>
  <si>
    <t>Asst. Department H. Bonus</t>
  </si>
  <si>
    <t>Contract Pay</t>
  </si>
  <si>
    <t xml:space="preserve">Service Charge Pay </t>
  </si>
  <si>
    <t xml:space="preserve">Vacation Pay </t>
  </si>
  <si>
    <t xml:space="preserve">Holiday Pay </t>
  </si>
  <si>
    <t>Bereavement Pay</t>
  </si>
  <si>
    <t>Severance Pay</t>
  </si>
  <si>
    <t>Transportation Allowance</t>
  </si>
  <si>
    <t>Housing Allowance</t>
  </si>
  <si>
    <t>Recruitment</t>
  </si>
  <si>
    <t>y</t>
  </si>
  <si>
    <t>&gt;&gt;Summary Report 1</t>
  </si>
  <si>
    <t>&gt;'adb</t>
  </si>
  <si>
    <t xml:space="preserve">&gt;'[LASATA SETUP FILE]_x000D_
Date=2018-03-27 15:33:17_x000D_
FileType=Agora XLB Data Fill_x000D_
Version=0_x000D_
Buffer=_x000D_
@systemProduct:Str=SS6_x000D_
@systemTable:Str=CA_x000D_
@filterFrom_DbC:Str=REF_x000D_
@filterFrom_/CA/AccTyp:Str=&lt;ALL&gt;_x000D_
@filterFrom_/CA/Cde:Str=40000_x000D_
@filterTo_/CA/Cde:Str=89999_x000D_
@outputField_/CA/Cde{ExtractType}0:Str=_x000D_
@outputField_/CA/Nme{ExtractType}0:Str=_x000D_
@formatType:Lng=-4154_x000D_
@formatNumber:Int=1_x000D_
@formatPattern:Int=1_x000D_
@formatFont:Int=1_x000D_
@formatWidth:Int=1_x000D_
@formatAlignment:Int=1_x000D_
@formatBorder:Int=1_x000D_
@filenmSetupfile:Str=_x000D_
@filenmWorkbookSetupFile:Str=Summary Report 1_x000D_
@settngShowMessages:Str=Y_x000D_
@settngDirection:Str=D_x000D_
@settngApplyFormula:Str=Y_x000D_
@settngLock:Str=N_x000D_
@settngOutputHeaders:Int=0_x000D_
@settngOutputCaptions:Int=1_x000D_
@settngOutputTotals:Int=1_x000D_
@settngOutputFiltering:Int=0_x000D_
@settngPivotTable:Int=0_x000D_
@settngTopPercent:Str=_x000D_
@settngReportStyle:Lng=1_x000D_
</t>
  </si>
  <si>
    <t>Description</t>
  </si>
  <si>
    <t>40000</t>
  </si>
  <si>
    <t>40010</t>
  </si>
  <si>
    <t>Room Charge Extra</t>
  </si>
  <si>
    <t>40020</t>
  </si>
  <si>
    <t>Crib/Baby cot</t>
  </si>
  <si>
    <t>40030</t>
  </si>
  <si>
    <t>Extra bed</t>
  </si>
  <si>
    <t>40040</t>
  </si>
  <si>
    <t>Pet</t>
  </si>
  <si>
    <t>40050</t>
  </si>
  <si>
    <t>Day Use</t>
  </si>
  <si>
    <t>40060</t>
  </si>
  <si>
    <t>No-Shows Room</t>
  </si>
  <si>
    <t>40070</t>
  </si>
  <si>
    <t>40100</t>
  </si>
  <si>
    <t>40200</t>
  </si>
  <si>
    <t>40210</t>
  </si>
  <si>
    <t>40230</t>
  </si>
  <si>
    <t>40236</t>
  </si>
  <si>
    <t>40237</t>
  </si>
  <si>
    <t>40250</t>
  </si>
  <si>
    <t>F&amp;B Misc Revenue</t>
  </si>
  <si>
    <t>40300</t>
  </si>
  <si>
    <t>Audio-visual Revenue</t>
  </si>
  <si>
    <t>40310</t>
  </si>
  <si>
    <t>Function Room Rental and Setup Charges</t>
  </si>
  <si>
    <t>40320</t>
  </si>
  <si>
    <t>Cover Charges</t>
  </si>
  <si>
    <t>40330</t>
  </si>
  <si>
    <t>Surcharges and Service Charges</t>
  </si>
  <si>
    <t>40340</t>
  </si>
  <si>
    <t>Miscellaneous Other Revenue</t>
  </si>
  <si>
    <t>40500</t>
  </si>
  <si>
    <t>Massage and Body Treatment Revenue</t>
  </si>
  <si>
    <t>40501</t>
  </si>
  <si>
    <t>Skin Care Revenue</t>
  </si>
  <si>
    <t>40502</t>
  </si>
  <si>
    <t>Hair Care Revenue</t>
  </si>
  <si>
    <t>40503</t>
  </si>
  <si>
    <t>Nail Care Revenue</t>
  </si>
  <si>
    <t>40520</t>
  </si>
  <si>
    <t>Fitness Revenue</t>
  </si>
  <si>
    <t>40521</t>
  </si>
  <si>
    <t>Health and Wellness Revenue</t>
  </si>
  <si>
    <t>40522</t>
  </si>
  <si>
    <t>Membership Fee Revenue</t>
  </si>
  <si>
    <t>40523</t>
  </si>
  <si>
    <t>Retail Revenue</t>
  </si>
  <si>
    <t>40524</t>
  </si>
  <si>
    <t>Other SPA Revenue</t>
  </si>
  <si>
    <t>40550</t>
  </si>
  <si>
    <t>40551</t>
  </si>
  <si>
    <t>40552</t>
  </si>
  <si>
    <t>40553</t>
  </si>
  <si>
    <t>40554</t>
  </si>
  <si>
    <t>40555</t>
  </si>
  <si>
    <t>Miscellaneous H.Club Revenue</t>
  </si>
  <si>
    <t>41000</t>
  </si>
  <si>
    <t>41001</t>
  </si>
  <si>
    <t>41002</t>
  </si>
  <si>
    <t>41003</t>
  </si>
  <si>
    <t>41004</t>
  </si>
  <si>
    <t>41005</t>
  </si>
  <si>
    <t>41006</t>
  </si>
  <si>
    <t>Clothing Other</t>
  </si>
  <si>
    <t>41100</t>
  </si>
  <si>
    <t>41101</t>
  </si>
  <si>
    <t>41102</t>
  </si>
  <si>
    <t>41201</t>
  </si>
  <si>
    <t>41202</t>
  </si>
  <si>
    <t>41203</t>
  </si>
  <si>
    <t>41204</t>
  </si>
  <si>
    <t>41206</t>
  </si>
  <si>
    <t>41207</t>
  </si>
  <si>
    <t>41301</t>
  </si>
  <si>
    <t>41500</t>
  </si>
  <si>
    <t>Other Retail Revenue</t>
  </si>
  <si>
    <t>42000</t>
  </si>
  <si>
    <t>42001</t>
  </si>
  <si>
    <t>42002</t>
  </si>
  <si>
    <t>42003</t>
  </si>
  <si>
    <t>42004</t>
  </si>
  <si>
    <t>Telecom Equipment Rental</t>
  </si>
  <si>
    <t>42005</t>
  </si>
  <si>
    <t>Telecom Professional Services</t>
  </si>
  <si>
    <t>42006</t>
  </si>
  <si>
    <t>Other Telecom Revenue</t>
  </si>
  <si>
    <t>43000</t>
  </si>
  <si>
    <t>Parking Revenue</t>
  </si>
  <si>
    <t>43001</t>
  </si>
  <si>
    <t>Other Garage &amp; Parking Revenue</t>
  </si>
  <si>
    <t>43100</t>
  </si>
  <si>
    <t>43101</t>
  </si>
  <si>
    <t>44000</t>
  </si>
  <si>
    <t>44001</t>
  </si>
  <si>
    <t>44002</t>
  </si>
  <si>
    <t>44003</t>
  </si>
  <si>
    <t>44100</t>
  </si>
  <si>
    <t>In-Room Entertainment</t>
  </si>
  <si>
    <t>44300</t>
  </si>
  <si>
    <t>44301</t>
  </si>
  <si>
    <t>44302</t>
  </si>
  <si>
    <t>44410</t>
  </si>
  <si>
    <t>44420</t>
  </si>
  <si>
    <t>44430</t>
  </si>
  <si>
    <t>Valet  Revenue</t>
  </si>
  <si>
    <t>44440</t>
  </si>
  <si>
    <t>Other Laundry Dept. Revenue</t>
  </si>
  <si>
    <t>44500</t>
  </si>
  <si>
    <t>Membership Revenues</t>
  </si>
  <si>
    <t>44501</t>
  </si>
  <si>
    <t>Daily Fees</t>
  </si>
  <si>
    <t>44502</t>
  </si>
  <si>
    <t>Membership Weekly Fees</t>
  </si>
  <si>
    <t>44503</t>
  </si>
  <si>
    <t>Membership Monthly Fees</t>
  </si>
  <si>
    <t>44504</t>
  </si>
  <si>
    <t>Membership Yearly Fees</t>
  </si>
  <si>
    <t>46000</t>
  </si>
  <si>
    <t>Attrition Fees</t>
  </si>
  <si>
    <t>46001</t>
  </si>
  <si>
    <t>Cancellation Fees</t>
  </si>
  <si>
    <t>46002</t>
  </si>
  <si>
    <t>Cash Discounts Earned</t>
  </si>
  <si>
    <t>46003</t>
  </si>
  <si>
    <t>Commissions</t>
  </si>
  <si>
    <t>46004</t>
  </si>
  <si>
    <t>Guest Foreign Currency Transaction Gains (Losses)</t>
  </si>
  <si>
    <t>46005</t>
  </si>
  <si>
    <t>46006</t>
  </si>
  <si>
    <t>Net Revenue from Renting Mixed-Ownership Units</t>
  </si>
  <si>
    <t>46007</t>
  </si>
  <si>
    <t>Other Breakage</t>
  </si>
  <si>
    <t>46008</t>
  </si>
  <si>
    <t>Package Breakage</t>
  </si>
  <si>
    <t>46009</t>
  </si>
  <si>
    <t>Proceeds from Business Interruption Insurance</t>
  </si>
  <si>
    <t>46010</t>
  </si>
  <si>
    <t>Resort Fees</t>
  </si>
  <si>
    <t>46011</t>
  </si>
  <si>
    <t>Space Rental and Concessions</t>
  </si>
  <si>
    <t>46012</t>
  </si>
  <si>
    <t>Pay TV Revenues</t>
  </si>
  <si>
    <t>46013</t>
  </si>
  <si>
    <t>Other</t>
  </si>
  <si>
    <t>47000</t>
  </si>
  <si>
    <t>Apartmental Rental</t>
  </si>
  <si>
    <t>47001</t>
  </si>
  <si>
    <t>Office Building Rental</t>
  </si>
  <si>
    <t>47002</t>
  </si>
  <si>
    <t>Shop Rental</t>
  </si>
  <si>
    <t>47003</t>
  </si>
  <si>
    <t>Showcase Rental</t>
  </si>
  <si>
    <t>47004</t>
  </si>
  <si>
    <t>Beauty Saloon Rental</t>
  </si>
  <si>
    <t>47005</t>
  </si>
  <si>
    <t>Flower Workshop Rental</t>
  </si>
  <si>
    <t>47006</t>
  </si>
  <si>
    <t>Limousins and Car Hire Rental</t>
  </si>
  <si>
    <t>47007</t>
  </si>
  <si>
    <t>Other Rental Other Income</t>
  </si>
  <si>
    <t>47008</t>
  </si>
  <si>
    <t>Other OOD Revenue Type 1</t>
  </si>
  <si>
    <t>48000</t>
  </si>
  <si>
    <t>48001</t>
  </si>
  <si>
    <t>48500</t>
  </si>
  <si>
    <t>50000</t>
  </si>
  <si>
    <t>50001</t>
  </si>
  <si>
    <t>50002</t>
  </si>
  <si>
    <t>50100</t>
  </si>
  <si>
    <t>50102</t>
  </si>
  <si>
    <t>50200</t>
  </si>
  <si>
    <t>50300</t>
  </si>
  <si>
    <t>50301</t>
  </si>
  <si>
    <t>Cost of Audiovisual</t>
  </si>
  <si>
    <t>50302</t>
  </si>
  <si>
    <t>51000</t>
  </si>
  <si>
    <t>51001</t>
  </si>
  <si>
    <t>51002</t>
  </si>
  <si>
    <t>51003</t>
  </si>
  <si>
    <t>51004</t>
  </si>
  <si>
    <t>51005</t>
  </si>
  <si>
    <t>51006</t>
  </si>
  <si>
    <t>51007</t>
  </si>
  <si>
    <t xml:space="preserve"> Cost of Photocopies</t>
  </si>
  <si>
    <t>51008</t>
  </si>
  <si>
    <t xml:space="preserve"> Cost of Other Business</t>
  </si>
  <si>
    <t>51009</t>
  </si>
  <si>
    <t xml:space="preserve"> Cost of Garage and Parking</t>
  </si>
  <si>
    <t>51010</t>
  </si>
  <si>
    <t xml:space="preserve"> C.O.S. Laundry</t>
  </si>
  <si>
    <t>51011</t>
  </si>
  <si>
    <t xml:space="preserve"> Cost of Other OOD</t>
  </si>
  <si>
    <t>51012</t>
  </si>
  <si>
    <t xml:space="preserve"> Cost of Other OOD Rental</t>
  </si>
  <si>
    <t>51100</t>
  </si>
  <si>
    <t>51101</t>
  </si>
  <si>
    <t>51102</t>
  </si>
  <si>
    <t>51200</t>
  </si>
  <si>
    <t>51201</t>
  </si>
  <si>
    <t>51202</t>
  </si>
  <si>
    <t>51203</t>
  </si>
  <si>
    <t>51204</t>
  </si>
  <si>
    <t>51205</t>
  </si>
  <si>
    <t>51206</t>
  </si>
  <si>
    <t>51300</t>
  </si>
  <si>
    <t>Other Retail  Cost</t>
  </si>
  <si>
    <t>51500</t>
  </si>
  <si>
    <t>Spoilage</t>
  </si>
  <si>
    <t>52000</t>
  </si>
  <si>
    <t>COGS 1</t>
  </si>
  <si>
    <t>53001</t>
  </si>
  <si>
    <t>53100</t>
  </si>
  <si>
    <t>53101</t>
  </si>
  <si>
    <t>53102</t>
  </si>
  <si>
    <t>53103</t>
  </si>
  <si>
    <t>53104</t>
  </si>
  <si>
    <t>53105</t>
  </si>
  <si>
    <t>53106</t>
  </si>
  <si>
    <t>53210</t>
  </si>
  <si>
    <t>53211</t>
  </si>
  <si>
    <t>54010</t>
  </si>
  <si>
    <t>54020</t>
  </si>
  <si>
    <t>54030</t>
  </si>
  <si>
    <t>Uniforms Charged Out</t>
  </si>
  <si>
    <t>54040</t>
  </si>
  <si>
    <t>Benefits Charged Out</t>
  </si>
  <si>
    <t>54050</t>
  </si>
  <si>
    <t>Charged Out Other 1</t>
  </si>
  <si>
    <t>54060</t>
  </si>
  <si>
    <t>54070</t>
  </si>
  <si>
    <t>54080</t>
  </si>
  <si>
    <t>60000</t>
  </si>
  <si>
    <t>60100</t>
  </si>
  <si>
    <t>Overtime Pay</t>
  </si>
  <si>
    <t>60200</t>
  </si>
  <si>
    <t>Labor Chargeback In Pay "Task Force"</t>
  </si>
  <si>
    <t>60210</t>
  </si>
  <si>
    <t>Labor Chargeback Out Pay  "Task Force"</t>
  </si>
  <si>
    <t>60300</t>
  </si>
  <si>
    <t>Contribution Savings Plan</t>
  </si>
  <si>
    <t>60400</t>
  </si>
  <si>
    <t>Extra Month Pay</t>
  </si>
  <si>
    <t>60410</t>
  </si>
  <si>
    <t>Commisions Pay</t>
  </si>
  <si>
    <t>60450</t>
  </si>
  <si>
    <t>60500</t>
  </si>
  <si>
    <t>Service Charge Pay</t>
  </si>
  <si>
    <t>60600</t>
  </si>
  <si>
    <t>Leased Labor</t>
  </si>
  <si>
    <t>60601</t>
  </si>
  <si>
    <t>60700</t>
  </si>
  <si>
    <t>Excutive Committee Bonus</t>
  </si>
  <si>
    <t>60710</t>
  </si>
  <si>
    <t>60720</t>
  </si>
  <si>
    <t>Asst. Depatment H. Bonus</t>
  </si>
  <si>
    <t>60730</t>
  </si>
  <si>
    <t>61000</t>
  </si>
  <si>
    <t>Vacation Pay</t>
  </si>
  <si>
    <t>61100</t>
  </si>
  <si>
    <t>Holiday Pay</t>
  </si>
  <si>
    <t>61200</t>
  </si>
  <si>
    <t>Sickleave  Pay</t>
  </si>
  <si>
    <t>61201</t>
  </si>
  <si>
    <t>61300</t>
  </si>
  <si>
    <t>61301</t>
  </si>
  <si>
    <t>62000</t>
  </si>
  <si>
    <t>Workers Compensation Insurance</t>
  </si>
  <si>
    <t>62100</t>
  </si>
  <si>
    <t>Retirement Pension Fund</t>
  </si>
  <si>
    <t>62101</t>
  </si>
  <si>
    <t>Unemployment Tax</t>
  </si>
  <si>
    <t>62102</t>
  </si>
  <si>
    <t>LMRA</t>
  </si>
  <si>
    <t>62103</t>
  </si>
  <si>
    <t>Gosi Local</t>
  </si>
  <si>
    <t>62104</t>
  </si>
  <si>
    <t>Gosi Expat</t>
  </si>
  <si>
    <t>62105</t>
  </si>
  <si>
    <t>Gov't Disability Insurance</t>
  </si>
  <si>
    <t>62200</t>
  </si>
  <si>
    <t>Social Security</t>
  </si>
  <si>
    <t>62201</t>
  </si>
  <si>
    <t>Maternity Insurance</t>
  </si>
  <si>
    <t>62202</t>
  </si>
  <si>
    <t>Life and Disability Insurance</t>
  </si>
  <si>
    <t>62300</t>
  </si>
  <si>
    <t>62301</t>
  </si>
  <si>
    <t>Medical Insurance</t>
  </si>
  <si>
    <t>62400</t>
  </si>
  <si>
    <t>62401</t>
  </si>
  <si>
    <t>Pension Plan</t>
  </si>
  <si>
    <t>62402</t>
  </si>
  <si>
    <t>62500</t>
  </si>
  <si>
    <t>Payroll Tax</t>
  </si>
  <si>
    <t>62501</t>
  </si>
  <si>
    <t>Car Allowance</t>
  </si>
  <si>
    <t>62502</t>
  </si>
  <si>
    <t>62503</t>
  </si>
  <si>
    <t>Telephone Allowance</t>
  </si>
  <si>
    <t>62504</t>
  </si>
  <si>
    <t>Food Allowance</t>
  </si>
  <si>
    <t>62505</t>
  </si>
  <si>
    <t>62510</t>
  </si>
  <si>
    <t>62520</t>
  </si>
  <si>
    <t>D.Head F&amp;B Requisitions</t>
  </si>
  <si>
    <t>62600</t>
  </si>
  <si>
    <t>62700</t>
  </si>
  <si>
    <t>62800</t>
  </si>
  <si>
    <t>63000</t>
  </si>
  <si>
    <t>Staff Cafeteria Allocation</t>
  </si>
  <si>
    <t>70100</t>
  </si>
  <si>
    <t>70105</t>
  </si>
  <si>
    <t>Ambience</t>
  </si>
  <si>
    <t>70110</t>
  </si>
  <si>
    <t>70115</t>
  </si>
  <si>
    <t>70120</t>
  </si>
  <si>
    <t>70125</t>
  </si>
  <si>
    <t>Banquet Expenses</t>
  </si>
  <si>
    <t>70130</t>
  </si>
  <si>
    <t>70135</t>
  </si>
  <si>
    <t>70140</t>
  </si>
  <si>
    <t>70145</t>
  </si>
  <si>
    <t>Chilled Water</t>
  </si>
  <si>
    <t>70150</t>
  </si>
  <si>
    <t>70155</t>
  </si>
  <si>
    <t>70160</t>
  </si>
  <si>
    <t>Cluster Services</t>
  </si>
  <si>
    <t>70165</t>
  </si>
  <si>
    <t>70170</t>
  </si>
  <si>
    <t>T.A Commissions Expnses</t>
  </si>
  <si>
    <t>70175</t>
  </si>
  <si>
    <t>Commissions and Fees--Group</t>
  </si>
  <si>
    <t>70180</t>
  </si>
  <si>
    <t>Complimentary Food and Beverage</t>
  </si>
  <si>
    <t>70185</t>
  </si>
  <si>
    <t>Complimentary In-Room/Media Entertainment</t>
  </si>
  <si>
    <t>70190</t>
  </si>
  <si>
    <t>Complimentary Services and Gifts</t>
  </si>
  <si>
    <t>70195</t>
  </si>
  <si>
    <t>Contract Services</t>
  </si>
  <si>
    <t>70200</t>
  </si>
  <si>
    <t>Corporate Office Reimbursable</t>
  </si>
  <si>
    <t>70205</t>
  </si>
  <si>
    <t>Credit and Collection</t>
  </si>
  <si>
    <t>70210</t>
  </si>
  <si>
    <t>Credit Card Commissions</t>
  </si>
  <si>
    <t>70215</t>
  </si>
  <si>
    <t>70220</t>
  </si>
  <si>
    <t>70225</t>
  </si>
  <si>
    <t>70230</t>
  </si>
  <si>
    <t>Donations</t>
  </si>
  <si>
    <t>70235</t>
  </si>
  <si>
    <t>70240</t>
  </si>
  <si>
    <t>Electrical and Mechanical Equipment</t>
  </si>
  <si>
    <t>70245</t>
  </si>
  <si>
    <t>70250</t>
  </si>
  <si>
    <t>70255</t>
  </si>
  <si>
    <t>70260</t>
  </si>
  <si>
    <t>Entertainment—In-House</t>
  </si>
  <si>
    <t>70265</t>
  </si>
  <si>
    <t>70270</t>
  </si>
  <si>
    <t>Familiarization Trips</t>
  </si>
  <si>
    <t>70275</t>
  </si>
  <si>
    <t>70280</t>
  </si>
  <si>
    <t>Floor Covering</t>
  </si>
  <si>
    <t>70285</t>
  </si>
  <si>
    <t>Franchise and Affiliation Fees—Royalties</t>
  </si>
  <si>
    <t>70290</t>
  </si>
  <si>
    <t>Franchise and Affiliation Marketing</t>
  </si>
  <si>
    <t>70295</t>
  </si>
  <si>
    <t>Furniture and Equipment</t>
  </si>
  <si>
    <t>70300</t>
  </si>
  <si>
    <t>70305</t>
  </si>
  <si>
    <t>70310</t>
  </si>
  <si>
    <t>Grounds Maintenance and Landscaping</t>
  </si>
  <si>
    <t>70315</t>
  </si>
  <si>
    <t>70320</t>
  </si>
  <si>
    <t>70325</t>
  </si>
  <si>
    <t>70330</t>
  </si>
  <si>
    <t>70335</t>
  </si>
  <si>
    <t>Heating, Ventilation, and Air Conditioning Equip</t>
  </si>
  <si>
    <t>70340</t>
  </si>
  <si>
    <t>I.T Administrative and General</t>
  </si>
  <si>
    <t>70345</t>
  </si>
  <si>
    <t>I.T Centralized Information System Charges</t>
  </si>
  <si>
    <t>70350</t>
  </si>
  <si>
    <t>I.T Energy Management</t>
  </si>
  <si>
    <t>70355</t>
  </si>
  <si>
    <t>I.T Food and Beverage</t>
  </si>
  <si>
    <t>70360</t>
  </si>
  <si>
    <t>I.T Golf</t>
  </si>
  <si>
    <t>70365</t>
  </si>
  <si>
    <t>I.T Hardware</t>
  </si>
  <si>
    <t>70370</t>
  </si>
  <si>
    <t>I.T Health Club/Spa</t>
  </si>
  <si>
    <t>70375</t>
  </si>
  <si>
    <t>I.T Human Resources</t>
  </si>
  <si>
    <t>70380</t>
  </si>
  <si>
    <t>I.T Information Security</t>
  </si>
  <si>
    <t>70385</t>
  </si>
  <si>
    <t>I.T Information Systems</t>
  </si>
  <si>
    <t>70390</t>
  </si>
  <si>
    <t>Other Equipment</t>
  </si>
  <si>
    <t>70395</t>
  </si>
  <si>
    <t>I.T Parking</t>
  </si>
  <si>
    <t>70400</t>
  </si>
  <si>
    <t>I.T Property Operation and Maintenance</t>
  </si>
  <si>
    <t>70405</t>
  </si>
  <si>
    <t>I.T Rooms</t>
  </si>
  <si>
    <t>70410</t>
  </si>
  <si>
    <t>I.T Sales and Marketing</t>
  </si>
  <si>
    <t>70415</t>
  </si>
  <si>
    <t>I.T Telecommunications</t>
  </si>
  <si>
    <t>70420</t>
  </si>
  <si>
    <t>70425</t>
  </si>
  <si>
    <t>70430</t>
  </si>
  <si>
    <t>70435</t>
  </si>
  <si>
    <t>70440</t>
  </si>
  <si>
    <t>Kitchen Smallwares</t>
  </si>
  <si>
    <t>70445</t>
  </si>
  <si>
    <t>Laundry and Dry Cleaning</t>
  </si>
  <si>
    <t>70450</t>
  </si>
  <si>
    <t>70455</t>
  </si>
  <si>
    <t>70460</t>
  </si>
  <si>
    <t>70465</t>
  </si>
  <si>
    <t>Life/Safety</t>
  </si>
  <si>
    <t>70470</t>
  </si>
  <si>
    <t>70475</t>
  </si>
  <si>
    <t>70480</t>
  </si>
  <si>
    <t>70485</t>
  </si>
  <si>
    <t>Loyalty Programs</t>
  </si>
  <si>
    <t>70490</t>
  </si>
  <si>
    <t>Media</t>
  </si>
  <si>
    <t>70495</t>
  </si>
  <si>
    <t>Menus and Beverage Lists</t>
  </si>
  <si>
    <t>70500</t>
  </si>
  <si>
    <t>Miscellaneous</t>
  </si>
  <si>
    <t>70505</t>
  </si>
  <si>
    <t>70510</t>
  </si>
  <si>
    <t>Non-Guest-Related Foreig Currency ExcG Gains-Loss</t>
  </si>
  <si>
    <t>70515</t>
  </si>
  <si>
    <t>Oil</t>
  </si>
  <si>
    <t>70520</t>
  </si>
  <si>
    <t>70525</t>
  </si>
  <si>
    <t>70530</t>
  </si>
  <si>
    <t>Outside Sales Representation</t>
  </si>
  <si>
    <t>70535</t>
  </si>
  <si>
    <t>Outside Services Market Research</t>
  </si>
  <si>
    <t>70540</t>
  </si>
  <si>
    <t>Outside Signage</t>
  </si>
  <si>
    <t>70545</t>
  </si>
  <si>
    <t>Painting and Wallcovering</t>
  </si>
  <si>
    <t>70550</t>
  </si>
  <si>
    <t>70555</t>
  </si>
  <si>
    <t>70560</t>
  </si>
  <si>
    <t>70565</t>
  </si>
  <si>
    <t>70570</t>
  </si>
  <si>
    <t>Postage and Overnight Delivery Charges</t>
  </si>
  <si>
    <t>70575</t>
  </si>
  <si>
    <t>70580</t>
  </si>
  <si>
    <t>Professional Fees</t>
  </si>
  <si>
    <t>70585</t>
  </si>
  <si>
    <t>Promotion</t>
  </si>
  <si>
    <t>70590</t>
  </si>
  <si>
    <t>Provision for Doubtful Accounts</t>
  </si>
  <si>
    <t>70595</t>
  </si>
  <si>
    <t>Reservations</t>
  </si>
  <si>
    <t>70600</t>
  </si>
  <si>
    <t>70605</t>
  </si>
  <si>
    <t>70610</t>
  </si>
  <si>
    <t>Settlement Costs</t>
  </si>
  <si>
    <t>70615</t>
  </si>
  <si>
    <t>Staff Transportation</t>
  </si>
  <si>
    <t>70620</t>
  </si>
  <si>
    <t>70625</t>
  </si>
  <si>
    <t>Swimming Pool</t>
  </si>
  <si>
    <t>70630</t>
  </si>
  <si>
    <t>System Storage and Optimization</t>
  </si>
  <si>
    <t>70635</t>
  </si>
  <si>
    <t>70640</t>
  </si>
  <si>
    <t>Training</t>
  </si>
  <si>
    <t>70645</t>
  </si>
  <si>
    <t>Travel—Meals and Entertainment</t>
  </si>
  <si>
    <t>70650</t>
  </si>
  <si>
    <t>Travel—Other</t>
  </si>
  <si>
    <t>70655</t>
  </si>
  <si>
    <t>Uniform Costs</t>
  </si>
  <si>
    <t>70660</t>
  </si>
  <si>
    <t>Uniform Laundry</t>
  </si>
  <si>
    <t>70665</t>
  </si>
  <si>
    <t>70670</t>
  </si>
  <si>
    <t>Vehicle Repair</t>
  </si>
  <si>
    <t>70675</t>
  </si>
  <si>
    <t>70680</t>
  </si>
  <si>
    <t>Water/Sewer</t>
  </si>
  <si>
    <t>70685</t>
  </si>
  <si>
    <t>Website</t>
  </si>
  <si>
    <t>70700</t>
  </si>
  <si>
    <t>70705</t>
  </si>
  <si>
    <t>Awards &amp; Social Activities</t>
  </si>
  <si>
    <t>70710</t>
  </si>
  <si>
    <t>Employee Relocation</t>
  </si>
  <si>
    <t>70715</t>
  </si>
  <si>
    <t>70750</t>
  </si>
  <si>
    <t>87001</t>
  </si>
  <si>
    <t>87002</t>
  </si>
  <si>
    <t>87003</t>
  </si>
  <si>
    <t>87004</t>
  </si>
  <si>
    <t>87005</t>
  </si>
  <si>
    <t>87008</t>
  </si>
  <si>
    <t>87101</t>
  </si>
  <si>
    <t>Rent Land and Buildings</t>
  </si>
  <si>
    <t>87103</t>
  </si>
  <si>
    <t>Rent Other Property and Equipment</t>
  </si>
  <si>
    <t>87104</t>
  </si>
  <si>
    <t>87105</t>
  </si>
  <si>
    <t>87201</t>
  </si>
  <si>
    <t>Business and Occupation Taxes</t>
  </si>
  <si>
    <t>87203</t>
  </si>
  <si>
    <t>Other Taxes and Assessments</t>
  </si>
  <si>
    <t>87204</t>
  </si>
  <si>
    <t>Personal Property Taxes</t>
  </si>
  <si>
    <t>87206</t>
  </si>
  <si>
    <t>87207</t>
  </si>
  <si>
    <t>Gain/Loss on Fixed Assets</t>
  </si>
  <si>
    <t>87208</t>
  </si>
  <si>
    <t>Owner Expenses</t>
  </si>
  <si>
    <t>87209</t>
  </si>
  <si>
    <t>Unrealized Foreign Exchange Gains or Losses</t>
  </si>
  <si>
    <t>87301</t>
  </si>
  <si>
    <t>Ins.- Building and Contents</t>
  </si>
  <si>
    <t>87302</t>
  </si>
  <si>
    <t>Ins.- Liability</t>
  </si>
  <si>
    <t>87303</t>
  </si>
  <si>
    <t>Ins.- Deductible</t>
  </si>
  <si>
    <t>87401</t>
  </si>
  <si>
    <t>87402</t>
  </si>
  <si>
    <t>87403</t>
  </si>
  <si>
    <t>87404</t>
  </si>
  <si>
    <t>87405</t>
  </si>
  <si>
    <t>87501</t>
  </si>
  <si>
    <t>87502</t>
  </si>
  <si>
    <t>87503</t>
  </si>
  <si>
    <t>87504</t>
  </si>
  <si>
    <t>87505</t>
  </si>
  <si>
    <t>87506</t>
  </si>
  <si>
    <t>87507</t>
  </si>
  <si>
    <t>87508</t>
  </si>
  <si>
    <t>87601</t>
  </si>
  <si>
    <t>87602</t>
  </si>
  <si>
    <t>87603</t>
  </si>
  <si>
    <t>87701</t>
  </si>
  <si>
    <t>87702</t>
  </si>
  <si>
    <t>87703</t>
  </si>
  <si>
    <t>87704</t>
  </si>
  <si>
    <t>87705</t>
  </si>
  <si>
    <t>87801</t>
  </si>
  <si>
    <t>87802</t>
  </si>
  <si>
    <t>87803</t>
  </si>
  <si>
    <t>87850</t>
  </si>
  <si>
    <t>87900</t>
  </si>
  <si>
    <t>FF&amp;E Replacement Reserve</t>
  </si>
  <si>
    <t>&gt;&gt;Summary Report 2</t>
  </si>
  <si>
    <t xml:space="preserve">&gt;'[LASATA SETUP FILE]_x000D_
Date=2018-03-27 18:52:19_x000D_
FileType=Agora XLB Data Fill_x000D_
Version=0_x000D_
Buffer=_x000D_
@systemProduct:Str=SS6_x000D_
@systemTable:Str=T0_x000D_
@filterFrom_DbC:Str=REF_x000D_
@filterFrom_/T0/Cde:Str=&lt;ALL&gt;_x000D_
@outputField_/T0/Cde{ExtractType}0:Str=_x000D_
@outputField_/T0/8{ExtractType}0:Str=_x000D_
@formatType:Lng=-4154_x000D_
@formatNumber:Int=1_x000D_
@formatPattern:Int=1_x000D_
@formatFont:Int=1_x000D_
@formatWidth:Int=1_x000D_
@formatAlignment:Int=1_x000D_
@formatBorder:Int=1_x000D_
@filenmSetupfile:Str=_x000D_
@filenmWorkbookSetupFile:Str=Summary Report 2_x000D_
@settngShowMessages:Str=Y_x000D_
@settngDirection:Str=D_x000D_
@settngApplyFormula:Str=Y_x000D_
@settngLock:Str=N_x000D_
@settngOutputHeaders:Int=0_x000D_
@settngOutputCaptions:Int=1_x000D_
@settngOutputTotals:Int=1_x000D_
@settngOutputFiltering:Int=0_x000D_
@settngPivotTable:Int=0_x000D_
@settngTopPercent:Str=_x000D_
@settngReportStyle:Lng=1_x000D_
</t>
  </si>
  <si>
    <t>Name</t>
  </si>
  <si>
    <t>1000</t>
  </si>
  <si>
    <t>Rooms Department</t>
  </si>
  <si>
    <t>1100</t>
  </si>
  <si>
    <t>Front Office</t>
  </si>
  <si>
    <t>1200</t>
  </si>
  <si>
    <t>1300</t>
  </si>
  <si>
    <t>Housekeeping</t>
  </si>
  <si>
    <t>2000</t>
  </si>
  <si>
    <t>Food &amp; Beverage Department</t>
  </si>
  <si>
    <t>2100</t>
  </si>
  <si>
    <t>F&amp;B Management</t>
  </si>
  <si>
    <t>2200</t>
  </si>
  <si>
    <t>Kitchen</t>
  </si>
  <si>
    <t>2300</t>
  </si>
  <si>
    <t>Stewarding</t>
  </si>
  <si>
    <t>2400</t>
  </si>
  <si>
    <t>Catering</t>
  </si>
  <si>
    <t>2500</t>
  </si>
  <si>
    <t>Banquets</t>
  </si>
  <si>
    <t>2600</t>
  </si>
  <si>
    <t>Room Service</t>
  </si>
  <si>
    <t>2700</t>
  </si>
  <si>
    <t>MiniBar</t>
  </si>
  <si>
    <t>2800</t>
  </si>
  <si>
    <t>Pool Delight</t>
  </si>
  <si>
    <t>2900</t>
  </si>
  <si>
    <t>Fine Café</t>
  </si>
  <si>
    <t>3000</t>
  </si>
  <si>
    <t>Tokyo Reef</t>
  </si>
  <si>
    <t>3100</t>
  </si>
  <si>
    <t>Chocolaterie</t>
  </si>
  <si>
    <t>3200</t>
  </si>
  <si>
    <t>Shisha Lounge</t>
  </si>
  <si>
    <t>3300</t>
  </si>
  <si>
    <t>Sunset Saloon</t>
  </si>
  <si>
    <t>3400</t>
  </si>
  <si>
    <t>Kids Re-treat</t>
  </si>
  <si>
    <t>3500</t>
  </si>
  <si>
    <t>Fred’s Best</t>
  </si>
  <si>
    <t>4000</t>
  </si>
  <si>
    <t>Health Club &amp; Spa</t>
  </si>
  <si>
    <t>4100</t>
  </si>
  <si>
    <t>Telecommunication</t>
  </si>
  <si>
    <t>4200</t>
  </si>
  <si>
    <t>Business Centre</t>
  </si>
  <si>
    <t>4300</t>
  </si>
  <si>
    <t>4400</t>
  </si>
  <si>
    <t>4500</t>
  </si>
  <si>
    <t>4600</t>
  </si>
  <si>
    <t>4700</t>
  </si>
  <si>
    <t>4800</t>
  </si>
  <si>
    <t>Miscellaneous Income</t>
  </si>
  <si>
    <t>6000</t>
  </si>
  <si>
    <t>6100</t>
  </si>
  <si>
    <t>6200</t>
  </si>
  <si>
    <t>6300</t>
  </si>
  <si>
    <t>6400</t>
  </si>
  <si>
    <t>6500</t>
  </si>
  <si>
    <t>Information and telecommunication Systems</t>
  </si>
  <si>
    <t>6600</t>
  </si>
  <si>
    <t>Sales &amp; Marketing</t>
  </si>
  <si>
    <t>6700</t>
  </si>
  <si>
    <t>6800</t>
  </si>
  <si>
    <t>7000</t>
  </si>
  <si>
    <t>7100</t>
  </si>
  <si>
    <t>7200</t>
  </si>
  <si>
    <t>7500</t>
  </si>
  <si>
    <t>9000</t>
  </si>
  <si>
    <t>No Department</t>
  </si>
  <si>
    <t>COA CODE</t>
  </si>
  <si>
    <t xml:space="preserve">Chart Of Account Description </t>
  </si>
  <si>
    <t>&gt;&gt;Summary Report 3</t>
  </si>
  <si>
    <t xml:space="preserve">&gt;'[LASATA SETUP FILE]_x000D_
Date=2018-03-28 12:07:22_x000D_
FileType=Agora XLB Data Fill_x000D_
Version=0_x000D_
Buffer=_x000D_
@systemProduct:Str=SS6_x000D_
@systemTable:Str=CA_x000D_
@filterFrom_DbC:Str=REF_x000D_
@filterFrom_/CA/AccTyp:Str=&lt;ALL&gt;_x000D_
@filterFrom_/CA/Cde:Str=30010_x000D_
@filterTo_/CA/Cde:Str=39999_x000D_
@outputField_/CA/Cde{ExtractType}0:Str=_x000D_
@outputField_/CA/Nme{ExtractType}0:Str=_x000D_
@formatType:Lng=-4154_x000D_
@formatNumber:Int=1_x000D_
@formatPattern:Int=1_x000D_
@formatFont:Int=1_x000D_
@formatWidth:Int=1_x000D_
@formatAlignment:Int=1_x000D_
@formatBorder:Int=1_x000D_
@filenmSetupfile:Str=_x000D_
@filenmWorkbookSetupFile:Str=Summary Report 3_x000D_
@settngShowMessages:Str=Y_x000D_
@settngDirection:Str=D_x000D_
@settngApplyFormula:Str=Y_x000D_
@settngLock:Str=N_x000D_
@settngOutputHeaders:Int=0_x000D_
@settngOutputCaptions:Int=1_x000D_
@settngOutputTotals:Int=1_x000D_
@settngOutputFiltering:Int=0_x000D_
@settngPivotTable:Int=0_x000D_
@settngTopPercent:Str=_x000D_
@settngReportStyle:Lng=1_x000D_
</t>
  </si>
  <si>
    <t>30010</t>
  </si>
  <si>
    <t>30020</t>
  </si>
  <si>
    <t>30030</t>
  </si>
  <si>
    <t>30040</t>
  </si>
  <si>
    <t>30050</t>
  </si>
  <si>
    <t>OMA</t>
  </si>
  <si>
    <t>30060</t>
  </si>
  <si>
    <t>30070</t>
  </si>
  <si>
    <t>30080</t>
  </si>
  <si>
    <t>30090</t>
  </si>
  <si>
    <t>30100</t>
  </si>
  <si>
    <t>30110</t>
  </si>
  <si>
    <t>31010</t>
  </si>
  <si>
    <t>Total Rooms in Hotel</t>
  </si>
  <si>
    <t>31020</t>
  </si>
  <si>
    <t>31030</t>
  </si>
  <si>
    <t>Complimentary Rooms</t>
  </si>
  <si>
    <t>31040</t>
  </si>
  <si>
    <t>House Use Rooms</t>
  </si>
  <si>
    <t>31050</t>
  </si>
  <si>
    <t>Out of Order Rooms</t>
  </si>
  <si>
    <t>31060</t>
  </si>
  <si>
    <t>Out of Service Rooms</t>
  </si>
  <si>
    <t>31070</t>
  </si>
  <si>
    <t>Available Rooms</t>
  </si>
  <si>
    <t>31080</t>
  </si>
  <si>
    <t>Arrival Rooms</t>
  </si>
  <si>
    <t>31090</t>
  </si>
  <si>
    <t>Arrival Persons</t>
  </si>
  <si>
    <t>31100</t>
  </si>
  <si>
    <t>In-House Adults</t>
  </si>
  <si>
    <t>31110</t>
  </si>
  <si>
    <t>Children Free</t>
  </si>
  <si>
    <t>31120</t>
  </si>
  <si>
    <t>In-House Children</t>
  </si>
  <si>
    <t>31130</t>
  </si>
  <si>
    <t>Total Guest In-House</t>
  </si>
  <si>
    <t>31140</t>
  </si>
  <si>
    <t>31150</t>
  </si>
  <si>
    <t>31160</t>
  </si>
  <si>
    <t>Clean Rooms</t>
  </si>
  <si>
    <t>31170</t>
  </si>
  <si>
    <t>Dirty Rooms</t>
  </si>
  <si>
    <t>31180</t>
  </si>
  <si>
    <t>Day Use Rooms</t>
  </si>
  <si>
    <t>31190</t>
  </si>
  <si>
    <t>No Show Rooms</t>
  </si>
  <si>
    <t>31200</t>
  </si>
  <si>
    <t>Walk-in Rooms</t>
  </si>
  <si>
    <t>31210</t>
  </si>
  <si>
    <t>Walkins Persons</t>
  </si>
  <si>
    <t>31220</t>
  </si>
  <si>
    <t>32010</t>
  </si>
  <si>
    <t>32020</t>
  </si>
  <si>
    <t>32030</t>
  </si>
  <si>
    <t>32040</t>
  </si>
  <si>
    <t>32050</t>
  </si>
  <si>
    <t>Food %</t>
  </si>
  <si>
    <t>32060</t>
  </si>
  <si>
    <t>Non Alco. Bev. %</t>
  </si>
  <si>
    <t>32070</t>
  </si>
  <si>
    <t>Alcoholic Bev. %</t>
  </si>
  <si>
    <t>32080</t>
  </si>
  <si>
    <t>32090</t>
  </si>
  <si>
    <t>33010</t>
  </si>
  <si>
    <t>34010</t>
  </si>
  <si>
    <t>35010</t>
  </si>
  <si>
    <t>35020</t>
  </si>
  <si>
    <t>35030</t>
  </si>
  <si>
    <t>35040</t>
  </si>
  <si>
    <t>35050</t>
  </si>
  <si>
    <t>35060</t>
  </si>
  <si>
    <t>35070</t>
  </si>
  <si>
    <t>35080</t>
  </si>
  <si>
    <t>35090</t>
  </si>
  <si>
    <t>35100</t>
  </si>
  <si>
    <t>35110</t>
  </si>
  <si>
    <t>35120</t>
  </si>
  <si>
    <t>35130</t>
  </si>
  <si>
    <t>35140</t>
  </si>
  <si>
    <t>35150</t>
  </si>
  <si>
    <t>35160</t>
  </si>
  <si>
    <t>35170</t>
  </si>
  <si>
    <t>35180</t>
  </si>
  <si>
    <t>35190</t>
  </si>
  <si>
    <t>35200</t>
  </si>
  <si>
    <t>35210</t>
  </si>
  <si>
    <t>35220</t>
  </si>
  <si>
    <t>36010</t>
  </si>
  <si>
    <t>Standard Hours in month</t>
  </si>
  <si>
    <t>36020</t>
  </si>
  <si>
    <t>Overtime Hours 1.25</t>
  </si>
  <si>
    <t>36030</t>
  </si>
  <si>
    <t>Overtime Hours 1.50</t>
  </si>
  <si>
    <t>36040</t>
  </si>
  <si>
    <t>Contract Hours</t>
  </si>
  <si>
    <t>36050</t>
  </si>
  <si>
    <t>Vacation Hours</t>
  </si>
  <si>
    <t>36060</t>
  </si>
  <si>
    <t>Holiday Hours</t>
  </si>
  <si>
    <t>36070</t>
  </si>
  <si>
    <t>Severance Hours</t>
  </si>
  <si>
    <t>36080</t>
  </si>
  <si>
    <t>Sick &amp; Bereavement Hours</t>
  </si>
  <si>
    <t>36090</t>
  </si>
  <si>
    <t>Labor Chargeback In Hours</t>
  </si>
  <si>
    <t>36100</t>
  </si>
  <si>
    <t>Labor Chargeback Out Hours</t>
  </si>
  <si>
    <t>36110</t>
  </si>
  <si>
    <t>36120</t>
  </si>
  <si>
    <t>36130</t>
  </si>
  <si>
    <t>37010</t>
  </si>
  <si>
    <t>37020</t>
  </si>
  <si>
    <t>37030</t>
  </si>
  <si>
    <t>37040</t>
  </si>
  <si>
    <t>38000</t>
  </si>
  <si>
    <t>39000</t>
  </si>
  <si>
    <t>&gt;&gt;Summary Report 4</t>
  </si>
  <si>
    <t xml:space="preserve">&gt;'[LASATA SETUP FILE]_x000D_
Date=2018-04-09 17:35:27_x000D_
FileType=Agora XLB Data Fill_x000D_
Version=0_x000D_
Buffer=_x000D_
@systemProduct:Str=SS6_x000D_
@systemTable:Str=CA_x000D_
@filterFrom_DbC:Str=REF_x000D_
@filterFrom_/CA/AccTyp:Str=&lt;ALL&gt;_x000D_
@filterFrom_/CA/Cde:Str=40000_x000D_
@filterTo_/CA/Cde:Str=99999_x000D_
@outputField_/CA/Cde{ExtractType}0:Str=_x000D_
@outputField_/CA/Nme{ExtractType}0:Str=_x000D_
@formatType:Lng=-4154_x000D_
@formatNumber:Int=1_x000D_
@formatPattern:Int=1_x000D_
@formatFont:Int=1_x000D_
@formatWidth:Int=1_x000D_
@formatAlignment:Int=1_x000D_
@formatBorder:Int=1_x000D_
@filenmSetupfile:Str=_x000D_
@filenmWorkbookSetupFile:Str=Summary Report 4_x000D_
@settngShowMessages:Str=Y_x000D_
@settngDirection:Str=D_x000D_
@settngApplyFormula:Str=Y_x000D_
@settngLock:Str=N_x000D_
@settngOutputHeaders:Int=0_x000D_
@settngOutputCaptions:Int=1_x000D_
@settngOutputTotals:Int=1_x000D_
@settngOutputFiltering:Int=0_x000D_
@settngPivotTable:Int=0_x000D_
@settngTopPercent:Str=_x000D_
@settngReportStyle:Lng=1_x000D_
</t>
  </si>
  <si>
    <t>Unemployment Tax 1%</t>
  </si>
  <si>
    <t>99998</t>
  </si>
  <si>
    <t>SUN INTERFACE ACCOUNT</t>
  </si>
  <si>
    <t>REVPAR</t>
  </si>
  <si>
    <t>Total RevPAR:</t>
  </si>
  <si>
    <t>GOPPAR</t>
  </si>
  <si>
    <t>Cost Recovery Income</t>
  </si>
  <si>
    <t>Cost Recovery Expense</t>
  </si>
  <si>
    <t xml:space="preserve">Rent </t>
  </si>
  <si>
    <t>Taxes</t>
  </si>
  <si>
    <t>Insurance</t>
  </si>
  <si>
    <t>Depreciation</t>
  </si>
  <si>
    <t>Income</t>
  </si>
  <si>
    <t>Interst</t>
  </si>
  <si>
    <t>Incoem Tax</t>
  </si>
  <si>
    <t>Amor</t>
  </si>
  <si>
    <t>Other Income</t>
  </si>
  <si>
    <t>OLD</t>
  </si>
  <si>
    <t>NEW</t>
  </si>
  <si>
    <t>&gt;&gt;Summary Report 5</t>
  </si>
  <si>
    <t xml:space="preserve">&gt;'[LASATA SETUP FILE]_x000D_
Date=2018-04-15 12:33:09_x000D_
FileType=Agora XLB Data Fill_x000D_
Version=0_x000D_
Buffer=_x000D_
@systemProduct:Str=SS6_x000D_
@systemTable:Str=CA_x000D_
@filterFrom_DbC:Str=REF_x000D_
@filterFrom_/CA/AccTyp:Str=B_x000D_
@filterFrom_/CA/Cde:Str=&lt;ALL&gt;_x000D_
@outputField_/CA/Cde{ExtractType}0:Str=_x000D_
@outputField_/CA/Nme{ExtractType}0:Str=_x000D_
@formatType:Lng=-4154_x000D_
@formatNumber:Int=1_x000D_
@formatPattern:Int=1_x000D_
@formatFont:Int=1_x000D_
@formatWidth:Int=1_x000D_
@formatAlignment:Int=1_x000D_
@formatBorder:Int=1_x000D_
@filenmSetupfile:Str=_x000D_
@filenmWorkbookSetupFile:Str=Summary Report 5_x000D_
@settngShowMessages:Str=Y_x000D_
@settngDirection:Str=D_x000D_
@settngApplyFormula:Str=Y_x000D_
@settngLock:Str=N_x000D_
@settngOutputHeaders:Int=0_x000D_
@settngOutputCaptions:Int=1_x000D_
@settngOutputTotals:Int=1_x000D_
@settngOutputFiltering:Int=0_x000D_
@settngPivotTable:Int=0_x000D_
@settngTopPercent:Str=_x000D_
@settngReportStyle:Lng=1_x000D_
</t>
  </si>
  <si>
    <t>10020</t>
  </si>
  <si>
    <t>Cash Fund General Department</t>
  </si>
  <si>
    <t>10110</t>
  </si>
  <si>
    <t>Current Account  Usd</t>
  </si>
  <si>
    <t>10120</t>
  </si>
  <si>
    <t>Current Account  Euro</t>
  </si>
  <si>
    <t>10130</t>
  </si>
  <si>
    <t>Credit Card Bank Account Bhd</t>
  </si>
  <si>
    <t>10140</t>
  </si>
  <si>
    <t>Credit Card Bank Account Usd</t>
  </si>
  <si>
    <t>10200</t>
  </si>
  <si>
    <t>Payroll Bank Account Bhd</t>
  </si>
  <si>
    <t>10300</t>
  </si>
  <si>
    <t>Capital Reserve Bank Account Bhd</t>
  </si>
  <si>
    <t>10400</t>
  </si>
  <si>
    <t>Working Capital Bank Account</t>
  </si>
  <si>
    <t>10500</t>
  </si>
  <si>
    <t>Clearance Account</t>
  </si>
  <si>
    <t>10510</t>
  </si>
  <si>
    <t>Cash Collection Clearance</t>
  </si>
  <si>
    <t>10520</t>
  </si>
  <si>
    <t>City ledger Clearance</t>
  </si>
  <si>
    <t>10530</t>
  </si>
  <si>
    <t>Credit Card Clearance</t>
  </si>
  <si>
    <t>10540</t>
  </si>
  <si>
    <t>Cashier Over/Short Clearance</t>
  </si>
  <si>
    <t>12010</t>
  </si>
  <si>
    <t>Guest Ledger</t>
  </si>
  <si>
    <t>12020</t>
  </si>
  <si>
    <t>City Ledger</t>
  </si>
  <si>
    <t>12030</t>
  </si>
  <si>
    <t>American Express</t>
  </si>
  <si>
    <t>12040</t>
  </si>
  <si>
    <t>Diner's Club</t>
  </si>
  <si>
    <t>12050</t>
  </si>
  <si>
    <t>Visa</t>
  </si>
  <si>
    <t>12060</t>
  </si>
  <si>
    <t>Mastercard</t>
  </si>
  <si>
    <t>12070</t>
  </si>
  <si>
    <t>Jcb</t>
  </si>
  <si>
    <t>12080</t>
  </si>
  <si>
    <t>Other Credit Cards</t>
  </si>
  <si>
    <t>12090</t>
  </si>
  <si>
    <t>American Express Chargebacks</t>
  </si>
  <si>
    <t>12100</t>
  </si>
  <si>
    <t>Visa Chargebacks</t>
  </si>
  <si>
    <t>12110</t>
  </si>
  <si>
    <t>Mastercard Chargeback</t>
  </si>
  <si>
    <t>12120</t>
  </si>
  <si>
    <t>Diners Club Chargebacks</t>
  </si>
  <si>
    <t>12140</t>
  </si>
  <si>
    <t>Other Chargebacks</t>
  </si>
  <si>
    <t>12150</t>
  </si>
  <si>
    <t>Returned Checks</t>
  </si>
  <si>
    <t>12200</t>
  </si>
  <si>
    <t>12202</t>
  </si>
  <si>
    <t>Cancellation Billed - Not Received</t>
  </si>
  <si>
    <t>12204</t>
  </si>
  <si>
    <t>Attrition Billed - Not Received</t>
  </si>
  <si>
    <t>12210</t>
  </si>
  <si>
    <t>Allowance For Doubtful Accts</t>
  </si>
  <si>
    <t>13101</t>
  </si>
  <si>
    <t>A/R-Travel Allowances</t>
  </si>
  <si>
    <t>13102</t>
  </si>
  <si>
    <t>A/R-Shortages</t>
  </si>
  <si>
    <t>13103</t>
  </si>
  <si>
    <t>A/R-Employee Advances</t>
  </si>
  <si>
    <t>13104</t>
  </si>
  <si>
    <t>A/R-Insurance Claims</t>
  </si>
  <si>
    <t>13105</t>
  </si>
  <si>
    <t>A/R-Security Deposits</t>
  </si>
  <si>
    <t>13106</t>
  </si>
  <si>
    <t>A/R Employees Hiring Tickets</t>
  </si>
  <si>
    <t>13210</t>
  </si>
  <si>
    <t>Staff Loans</t>
  </si>
  <si>
    <t>14010</t>
  </si>
  <si>
    <t>Food</t>
  </si>
  <si>
    <t>14020</t>
  </si>
  <si>
    <t>Beverage-Liquor</t>
  </si>
  <si>
    <t>14030</t>
  </si>
  <si>
    <t>Beverage-Beer</t>
  </si>
  <si>
    <t>14040</t>
  </si>
  <si>
    <t>Beverage-Wine</t>
  </si>
  <si>
    <t>14050</t>
  </si>
  <si>
    <t>Beverage-Misc</t>
  </si>
  <si>
    <t>14060</t>
  </si>
  <si>
    <t>14070</t>
  </si>
  <si>
    <t>Spa Professional Products</t>
  </si>
  <si>
    <t>14080</t>
  </si>
  <si>
    <t>Spa Retail</t>
  </si>
  <si>
    <t>14090</t>
  </si>
  <si>
    <t>Retail Store</t>
  </si>
  <si>
    <t>14100</t>
  </si>
  <si>
    <t>Storage Linen</t>
  </si>
  <si>
    <t>14120</t>
  </si>
  <si>
    <t>Storage China/Glass</t>
  </si>
  <si>
    <t>14140</t>
  </si>
  <si>
    <t>Storage Glassware -</t>
  </si>
  <si>
    <t>14150</t>
  </si>
  <si>
    <t>Storage Silver</t>
  </si>
  <si>
    <t>14160</t>
  </si>
  <si>
    <t>Storage Bathrobes</t>
  </si>
  <si>
    <t>14170</t>
  </si>
  <si>
    <t>General Store</t>
  </si>
  <si>
    <t>14210</t>
  </si>
  <si>
    <t>Room Guest Supplies</t>
  </si>
  <si>
    <t>14260</t>
  </si>
  <si>
    <t>Brochures &amp; Menus</t>
  </si>
  <si>
    <t>14270</t>
  </si>
  <si>
    <t>15010</t>
  </si>
  <si>
    <t>Worker's Compensation</t>
  </si>
  <si>
    <t>15020</t>
  </si>
  <si>
    <t>15030</t>
  </si>
  <si>
    <t>15040</t>
  </si>
  <si>
    <t>Contracts</t>
  </si>
  <si>
    <t>15050</t>
  </si>
  <si>
    <t>Licenses</t>
  </si>
  <si>
    <t>15060</t>
  </si>
  <si>
    <t>Building Rent</t>
  </si>
  <si>
    <t>15080</t>
  </si>
  <si>
    <t>Association Dues STR</t>
  </si>
  <si>
    <t>15090</t>
  </si>
  <si>
    <t>Music &amp; Entertainment</t>
  </si>
  <si>
    <t>15100</t>
  </si>
  <si>
    <t>15120</t>
  </si>
  <si>
    <t>Advertising</t>
  </si>
  <si>
    <t>15130</t>
  </si>
  <si>
    <t>Postage</t>
  </si>
  <si>
    <t>15140</t>
  </si>
  <si>
    <t>Uniforms - Rooms</t>
  </si>
  <si>
    <t>15150</t>
  </si>
  <si>
    <t>Uniforms - F&amp;B</t>
  </si>
  <si>
    <t>15160</t>
  </si>
  <si>
    <t>Oper. Equip Rooms</t>
  </si>
  <si>
    <t>15170</t>
  </si>
  <si>
    <t>Oper. Equip F&amp;B</t>
  </si>
  <si>
    <t>15180</t>
  </si>
  <si>
    <t>Pre-Paid Purchasing</t>
  </si>
  <si>
    <t>15190</t>
  </si>
  <si>
    <t>17041</t>
  </si>
  <si>
    <t>Ff&amp;E - Opening</t>
  </si>
  <si>
    <t>17042</t>
  </si>
  <si>
    <t>Ff&amp;E - Additions</t>
  </si>
  <si>
    <t>17043</t>
  </si>
  <si>
    <t>Ff&amp;E - Disposals</t>
  </si>
  <si>
    <t>19011</t>
  </si>
  <si>
    <t>Pre-Opening - Opening</t>
  </si>
  <si>
    <t>19012</t>
  </si>
  <si>
    <t>Pre-Opening - Additions</t>
  </si>
  <si>
    <t>19013</t>
  </si>
  <si>
    <t>Pre-Opening - Disposals</t>
  </si>
  <si>
    <t>19100</t>
  </si>
  <si>
    <t>Salaries &amp; wages</t>
  </si>
  <si>
    <t>19101</t>
  </si>
  <si>
    <t>Payroll related expenses</t>
  </si>
  <si>
    <t>19102</t>
  </si>
  <si>
    <t>Staff Accomodation Expenses</t>
  </si>
  <si>
    <t>19103</t>
  </si>
  <si>
    <t>Recruitment Airticket</t>
  </si>
  <si>
    <t>19104</t>
  </si>
  <si>
    <t>Visas &amp; Local fees</t>
  </si>
  <si>
    <t>19105</t>
  </si>
  <si>
    <t>19106</t>
  </si>
  <si>
    <t>Staff Asssitance &amp; Support</t>
  </si>
  <si>
    <t>19107</t>
  </si>
  <si>
    <t>Employee Development</t>
  </si>
  <si>
    <t>19201</t>
  </si>
  <si>
    <t>Corporate Identity / Artworks</t>
  </si>
  <si>
    <t>19202</t>
  </si>
  <si>
    <t>Direct mail &amp; Sales promotions</t>
  </si>
  <si>
    <t>19203</t>
  </si>
  <si>
    <t>Give aways</t>
  </si>
  <si>
    <t>19204</t>
  </si>
  <si>
    <t>Trade Shows and Exhibitions</t>
  </si>
  <si>
    <t>19205</t>
  </si>
  <si>
    <t>Media Advertisements</t>
  </si>
  <si>
    <t>19206</t>
  </si>
  <si>
    <t>Opening Ceremony / Plaque</t>
  </si>
  <si>
    <t>19207</t>
  </si>
  <si>
    <t>Pre opening Brochures / Litera</t>
  </si>
  <si>
    <t>19301</t>
  </si>
  <si>
    <t>Cleaning &amp; Other Supplies</t>
  </si>
  <si>
    <t>19302</t>
  </si>
  <si>
    <t>Communications</t>
  </si>
  <si>
    <t>19303</t>
  </si>
  <si>
    <t>19304</t>
  </si>
  <si>
    <t>19305</t>
  </si>
  <si>
    <t>Food Tasting &amp; Training</t>
  </si>
  <si>
    <t>19306</t>
  </si>
  <si>
    <t>Information Systems</t>
  </si>
  <si>
    <t>19307</t>
  </si>
  <si>
    <t>Insurance-PRE</t>
  </si>
  <si>
    <t>19308</t>
  </si>
  <si>
    <t>Legal Expenses</t>
  </si>
  <si>
    <t>19309</t>
  </si>
  <si>
    <t>Market Survey / Entertainment</t>
  </si>
  <si>
    <t>19310</t>
  </si>
  <si>
    <t>Office Supplies</t>
  </si>
  <si>
    <t>19311</t>
  </si>
  <si>
    <t>Operational Supplies</t>
  </si>
  <si>
    <t>19312</t>
  </si>
  <si>
    <t>Transportation</t>
  </si>
  <si>
    <t>19313</t>
  </si>
  <si>
    <t>Travelling Expenses</t>
  </si>
  <si>
    <t>19314</t>
  </si>
  <si>
    <t>Utility</t>
  </si>
  <si>
    <t>19315</t>
  </si>
  <si>
    <t>Misc Pre Opening Expenses</t>
  </si>
  <si>
    <t>19316</t>
  </si>
  <si>
    <t>Net Revenue Transfer from P&amp;L</t>
  </si>
  <si>
    <t>20010</t>
  </si>
  <si>
    <t>Bank Overdraft</t>
  </si>
  <si>
    <t>21010</t>
  </si>
  <si>
    <t>A/P Trade</t>
  </si>
  <si>
    <t>21020</t>
  </si>
  <si>
    <t>A/P-Refund Deposits</t>
  </si>
  <si>
    <t>21030</t>
  </si>
  <si>
    <t>A/P-Advance Deposits</t>
  </si>
  <si>
    <t>21040</t>
  </si>
  <si>
    <t>A/P-Gift Certificates</t>
  </si>
  <si>
    <t>21050</t>
  </si>
  <si>
    <t>A/P-Security Deposits</t>
  </si>
  <si>
    <t>21060</t>
  </si>
  <si>
    <t>A/P-Paid Tips</t>
  </si>
  <si>
    <t>21070</t>
  </si>
  <si>
    <t>A/P-Due Backs</t>
  </si>
  <si>
    <t>21080</t>
  </si>
  <si>
    <t>A/P-H.O. Management/Incentive Fees</t>
  </si>
  <si>
    <t>21090</t>
  </si>
  <si>
    <t>A/P-Unclaimed Wages</t>
  </si>
  <si>
    <t>21100</t>
  </si>
  <si>
    <t>A/P-Consignment</t>
  </si>
  <si>
    <t>21110</t>
  </si>
  <si>
    <t>A/P-Post dated Cheques</t>
  </si>
  <si>
    <t>21130</t>
  </si>
  <si>
    <t>A/P-Municipality Fees</t>
  </si>
  <si>
    <t>21140</t>
  </si>
  <si>
    <t>A/P-Equipment Rental</t>
  </si>
  <si>
    <t>21150</t>
  </si>
  <si>
    <t>A/P-Service Charge Payable</t>
  </si>
  <si>
    <t>21160</t>
  </si>
  <si>
    <t>A/P-Employee Sales Commissions</t>
  </si>
  <si>
    <t>21180</t>
  </si>
  <si>
    <t>A/P-Commission</t>
  </si>
  <si>
    <t>21190</t>
  </si>
  <si>
    <t>A/P-Fines &amp; Penalties</t>
  </si>
  <si>
    <t>21390</t>
  </si>
  <si>
    <t>A/P-Other</t>
  </si>
  <si>
    <t>22010</t>
  </si>
  <si>
    <t>Accrued Payroll</t>
  </si>
  <si>
    <t>22020</t>
  </si>
  <si>
    <t>Accrued Payroll Taxes</t>
  </si>
  <si>
    <t>22030</t>
  </si>
  <si>
    <t>Accrued Vacation Pay</t>
  </si>
  <si>
    <t>22040</t>
  </si>
  <si>
    <t>Accrued Sick Pay</t>
  </si>
  <si>
    <t>22050</t>
  </si>
  <si>
    <t>Accrued PH, Days off and Overtime</t>
  </si>
  <si>
    <t>22060</t>
  </si>
  <si>
    <t>Accrued Mgmt. Bonus</t>
  </si>
  <si>
    <t>22070</t>
  </si>
  <si>
    <t>Accrued Gratuity</t>
  </si>
  <si>
    <t>22080</t>
  </si>
  <si>
    <t>Accrued GOSI and Unemployment 1%</t>
  </si>
  <si>
    <t>22090</t>
  </si>
  <si>
    <t>Accrued LMRA</t>
  </si>
  <si>
    <t>22100</t>
  </si>
  <si>
    <t>Accrued Membership Health Club</t>
  </si>
  <si>
    <t>22110</t>
  </si>
  <si>
    <t>Accrued Service Charge</t>
  </si>
  <si>
    <t>22120</t>
  </si>
  <si>
    <t>Accrued 10% Gov. Levy</t>
  </si>
  <si>
    <t>22130</t>
  </si>
  <si>
    <t>Accrued VAT taxes</t>
  </si>
  <si>
    <t>22140</t>
  </si>
  <si>
    <t>Accrued Employee Housing Expense</t>
  </si>
  <si>
    <t>22150</t>
  </si>
  <si>
    <t>Accrued Municipality Fee</t>
  </si>
  <si>
    <t>22160</t>
  </si>
  <si>
    <t>Accrued Limousine Service</t>
  </si>
  <si>
    <t>22170</t>
  </si>
  <si>
    <t>Accrued Health Club Membership</t>
  </si>
  <si>
    <t>22180</t>
  </si>
  <si>
    <t>Accrued Telecommunication</t>
  </si>
  <si>
    <t>22190</t>
  </si>
  <si>
    <t>Accrued Utilities (Elect. , Water, LP Gas, etc.)</t>
  </si>
  <si>
    <t>22200</t>
  </si>
  <si>
    <t>Accrued Marketing &amp; Advertising Expenses</t>
  </si>
  <si>
    <t>22210</t>
  </si>
  <si>
    <t>Accrued Trade Shows</t>
  </si>
  <si>
    <t>22220</t>
  </si>
  <si>
    <t>Accrued Contract Services</t>
  </si>
  <si>
    <t>22230</t>
  </si>
  <si>
    <t>Accrued  Band (Entertainers Salaries)</t>
  </si>
  <si>
    <t>22240</t>
  </si>
  <si>
    <t>Accrued Insurance</t>
  </si>
  <si>
    <t>22250</t>
  </si>
  <si>
    <t>Accrued Credit Card Commission</t>
  </si>
  <si>
    <t>22260</t>
  </si>
  <si>
    <t>Accrued License and Taxes</t>
  </si>
  <si>
    <t>22270</t>
  </si>
  <si>
    <t>Accrued Loyalty Program Expense</t>
  </si>
  <si>
    <t>22280</t>
  </si>
  <si>
    <t>Accrued Travel Agent Commission</t>
  </si>
  <si>
    <t>22290</t>
  </si>
  <si>
    <t>Accrued Recruitment Expenses</t>
  </si>
  <si>
    <t>22300</t>
  </si>
  <si>
    <t>Accrued Security Services</t>
  </si>
  <si>
    <t>22310</t>
  </si>
  <si>
    <t>Accrued Incentive for Upselling</t>
  </si>
  <si>
    <t>22320</t>
  </si>
  <si>
    <t>Accrued Pre Opening Exp</t>
  </si>
  <si>
    <t>22330</t>
  </si>
  <si>
    <t>Accrued Other</t>
  </si>
  <si>
    <t>22500</t>
  </si>
  <si>
    <t>Provision for Legal And Audit</t>
  </si>
  <si>
    <t>22510</t>
  </si>
  <si>
    <t>Provision for Professional Fee</t>
  </si>
  <si>
    <t>22520</t>
  </si>
  <si>
    <t>Provision for F&amp;B Chinaware</t>
  </si>
  <si>
    <t>22530</t>
  </si>
  <si>
    <t>Provision for F&amp;B Glassware</t>
  </si>
  <si>
    <t>22540</t>
  </si>
  <si>
    <t>Provision for F&amp;B Linen</t>
  </si>
  <si>
    <t>22550</t>
  </si>
  <si>
    <t>Provision for F&amp;B Silverware/F</t>
  </si>
  <si>
    <t>22560</t>
  </si>
  <si>
    <t>Provision for Kitchen Utensils</t>
  </si>
  <si>
    <t>22570</t>
  </si>
  <si>
    <t>Provision Linen-Rooms</t>
  </si>
  <si>
    <t>22580</t>
  </si>
  <si>
    <t>Provision Linen-F&amp;B</t>
  </si>
  <si>
    <t>22590</t>
  </si>
  <si>
    <t>Provision Linen-SPA</t>
  </si>
  <si>
    <t>22600</t>
  </si>
  <si>
    <t>Provision Uniforms-Rooms</t>
  </si>
  <si>
    <t>22610</t>
  </si>
  <si>
    <t>Provision Uniforms-F&amp;B</t>
  </si>
  <si>
    <t>22620</t>
  </si>
  <si>
    <t>Provision Uniforms-M.O.D</t>
  </si>
  <si>
    <t>22630</t>
  </si>
  <si>
    <t>Provision for School Fees</t>
  </si>
  <si>
    <t>22640</t>
  </si>
  <si>
    <t>Provision for Employees Tickets</t>
  </si>
  <si>
    <t>22650</t>
  </si>
  <si>
    <t>Provision for Vacation Pay</t>
  </si>
  <si>
    <t>22660</t>
  </si>
  <si>
    <t>Provision for Taxes</t>
  </si>
  <si>
    <t>23100</t>
  </si>
  <si>
    <t>Advance Rental  Health Club Me</t>
  </si>
  <si>
    <t>25010</t>
  </si>
  <si>
    <t>Owners Capital Account</t>
  </si>
  <si>
    <t>25020</t>
  </si>
  <si>
    <t>Working Capital</t>
  </si>
  <si>
    <t>25030</t>
  </si>
  <si>
    <t>Preopening Advance</t>
  </si>
  <si>
    <t>25040</t>
  </si>
  <si>
    <t>Preopening Expense</t>
  </si>
  <si>
    <t>25100</t>
  </si>
  <si>
    <t>Intercompany Account Rre-Opening</t>
  </si>
  <si>
    <t>25110</t>
  </si>
  <si>
    <t>Intercompany Account Cash</t>
  </si>
  <si>
    <t>25120</t>
  </si>
  <si>
    <t>Transfer to FFE Reserve</t>
  </si>
  <si>
    <t>25130</t>
  </si>
  <si>
    <t>Payment to Owner</t>
  </si>
  <si>
    <t>25140</t>
  </si>
  <si>
    <t>LTC Intercompany Account</t>
  </si>
  <si>
    <t>25150</t>
  </si>
  <si>
    <t>TRC Intercompany Account</t>
  </si>
  <si>
    <t>25160</t>
  </si>
  <si>
    <t>MRM Intercompany Account</t>
  </si>
  <si>
    <t>26000</t>
  </si>
  <si>
    <t>F. F. &amp; E. Reserve</t>
  </si>
  <si>
    <t>26100</t>
  </si>
  <si>
    <t>F. F. &amp; E. Purchases</t>
  </si>
  <si>
    <t>29101</t>
  </si>
  <si>
    <t>Current Year Earnings</t>
  </si>
  <si>
    <t>29102</t>
  </si>
  <si>
    <t>Retained Earnings 2019</t>
  </si>
  <si>
    <t>Late Check Out</t>
  </si>
  <si>
    <t>Other Food Revenue</t>
  </si>
  <si>
    <t>Beverage Revenue</t>
  </si>
  <si>
    <t>Other Beverage Revenue</t>
  </si>
  <si>
    <t>F&amp;B Miscellaneous Other Revenue</t>
  </si>
  <si>
    <t>Health Club Membership Revenue</t>
  </si>
  <si>
    <t>Miscellaneous Club Revenue</t>
  </si>
  <si>
    <t xml:space="preserve">Clothing Other </t>
  </si>
  <si>
    <t>Jewellery 1</t>
  </si>
  <si>
    <t>Newspapers &amp; Magazines</t>
  </si>
  <si>
    <t>Telecom Service Charge Received</t>
  </si>
  <si>
    <t>High Speed Internet Revenue</t>
  </si>
  <si>
    <t>Self-Parking Revenue</t>
  </si>
  <si>
    <t>Valet Parking Revenue</t>
  </si>
  <si>
    <t>Car washing</t>
  </si>
  <si>
    <t>Greens Fee Revenue</t>
  </si>
  <si>
    <t>Tournament Fee Revenue</t>
  </si>
  <si>
    <t>Golf Cart Rental Revenue</t>
  </si>
  <si>
    <t>Golf Equipment Rental Revenue</t>
  </si>
  <si>
    <t>Practice Range Fee Revenue</t>
  </si>
  <si>
    <t>Lesson Fee Revenue</t>
  </si>
  <si>
    <t>Golf Club Maintenance Revenue</t>
  </si>
  <si>
    <t>Storage Fee Revenue</t>
  </si>
  <si>
    <t>Golf Membership Fee Revenue</t>
  </si>
  <si>
    <t>Merchandise Revenue</t>
  </si>
  <si>
    <t>Clothing Revenue</t>
  </si>
  <si>
    <t>Golf Other Revenue</t>
  </si>
  <si>
    <t xml:space="preserve">In-Room Entertainment </t>
  </si>
  <si>
    <t>Apartment Rental</t>
  </si>
  <si>
    <t>Limousines and Car Hire Rental</t>
  </si>
  <si>
    <t>Beverage Cost</t>
  </si>
  <si>
    <t>Other Cost</t>
  </si>
  <si>
    <t>F&amp;B Misc. Cost</t>
  </si>
  <si>
    <t>Audio visual Cost</t>
  </si>
  <si>
    <t>Misc. Cost (of Other Revenue)</t>
  </si>
  <si>
    <t>Cost of Men's Clothing</t>
  </si>
  <si>
    <t>Cost of Women's Clothing</t>
  </si>
  <si>
    <t>Cost of Children's Clothing</t>
  </si>
  <si>
    <t>Cost of Accessories Apparel</t>
  </si>
  <si>
    <t>Cost of Visors/Hats/Caps</t>
  </si>
  <si>
    <t>Cost of Shoes</t>
  </si>
  <si>
    <t>Cost of Clothing Other</t>
  </si>
  <si>
    <t>Cost of Jewellery</t>
  </si>
  <si>
    <t>Cost of Newspapers &amp; Magazines</t>
  </si>
  <si>
    <t>Cost of Candy</t>
  </si>
  <si>
    <t>Copst of Gifts</t>
  </si>
  <si>
    <t>Cost of Flowers</t>
  </si>
  <si>
    <t>Cost of Drugs</t>
  </si>
  <si>
    <t>Cost of Tobacco</t>
  </si>
  <si>
    <t>Cost of Other Sundry</t>
  </si>
  <si>
    <t>Cost of Mattress Revenue</t>
  </si>
  <si>
    <t>Cost of Equipment</t>
  </si>
  <si>
    <t>Cost of Other Retail Revenue</t>
  </si>
  <si>
    <t>Cost of Misc. Sales</t>
  </si>
  <si>
    <t>Cost of Local Calls</t>
  </si>
  <si>
    <t>Cost of Long Distance Calls</t>
  </si>
  <si>
    <t>Other Telecom Cost of Services</t>
  </si>
  <si>
    <t>Cost of Internet Services</t>
  </si>
  <si>
    <t>Laundry Allocation</t>
  </si>
  <si>
    <t>Gas Chargeback</t>
  </si>
  <si>
    <t>Water Chargeback</t>
  </si>
  <si>
    <t xml:space="preserve">Overtime Pay </t>
  </si>
  <si>
    <t>Labour Chargeback In Pay "Task Force"</t>
  </si>
  <si>
    <t>Labour Chargeback Out Pay  "Task Force"</t>
  </si>
  <si>
    <t>Saudi HRDF charge back</t>
  </si>
  <si>
    <t xml:space="preserve">Commissions Pay </t>
  </si>
  <si>
    <t>Leased Labour</t>
  </si>
  <si>
    <t xml:space="preserve">Contract Pay </t>
  </si>
  <si>
    <t xml:space="preserve">Sick leave  Pay </t>
  </si>
  <si>
    <t>Labour Office Iqama Fees</t>
  </si>
  <si>
    <t>Passport Iqama Fees</t>
  </si>
  <si>
    <t>Local Social Insurance</t>
  </si>
  <si>
    <t>Expat Social Insurance</t>
  </si>
  <si>
    <t>Exit &amp; Entry Fees</t>
  </si>
  <si>
    <t>Qafalah Transfer Fees</t>
  </si>
  <si>
    <t>Medical Ministry of Health</t>
  </si>
  <si>
    <t xml:space="preserve">Medical Insurance </t>
  </si>
  <si>
    <t>Division Head F&amp;B Requisitions</t>
  </si>
  <si>
    <t xml:space="preserve">Benefits Chargeback In Pay </t>
  </si>
  <si>
    <t>Cash Overages/Shortages</t>
  </si>
  <si>
    <t>Commissions and Fees—Group</t>
  </si>
  <si>
    <t>Complimentary Services/Gifts</t>
  </si>
  <si>
    <t>Gasoline and Lubricants</t>
  </si>
  <si>
    <t>HVAC Equipment</t>
  </si>
  <si>
    <t>I.T Other Equipment</t>
  </si>
  <si>
    <t xml:space="preserve">I.T Sales and Marketing </t>
  </si>
  <si>
    <t xml:space="preserve">I.T Telecommunications </t>
  </si>
  <si>
    <t>Irrigation</t>
  </si>
  <si>
    <t xml:space="preserve">Life/Safety </t>
  </si>
  <si>
    <t>Non-Guest-Related Foreign Currency Exchange Gains (Losses)</t>
  </si>
  <si>
    <t>Rent</t>
  </si>
  <si>
    <t>Reservation Fees</t>
  </si>
  <si>
    <t>T.A Commissions</t>
  </si>
  <si>
    <t>Tournament Expenses</t>
  </si>
  <si>
    <t>Travel—Meals &amp; Enter.</t>
  </si>
  <si>
    <t>Vehicle Rep. &amp; Maint.</t>
  </si>
  <si>
    <t>Vehicle Repairs</t>
  </si>
  <si>
    <t>70000</t>
  </si>
  <si>
    <t>Building and Contents</t>
  </si>
  <si>
    <t>Liability</t>
  </si>
  <si>
    <t>Deductible</t>
  </si>
  <si>
    <t xml:space="preserve">Total Guest In-House </t>
  </si>
  <si>
    <t>Walk-ins Persons</t>
  </si>
  <si>
    <t>Other %</t>
  </si>
  <si>
    <t xml:space="preserve">Contract Hours </t>
  </si>
  <si>
    <t xml:space="preserve">Vacation Hours </t>
  </si>
  <si>
    <t xml:space="preserve">Holiday Hours </t>
  </si>
  <si>
    <t xml:space="preserve">Severance Hours </t>
  </si>
  <si>
    <t xml:space="preserve">Sick &amp; Bereavement Hours </t>
  </si>
  <si>
    <t xml:space="preserve">Labour Chargeback In Hours </t>
  </si>
  <si>
    <t xml:space="preserve">Labour Chargeback Out Hours </t>
  </si>
  <si>
    <t>1010</t>
  </si>
  <si>
    <t>1020</t>
  </si>
  <si>
    <t>1030</t>
  </si>
  <si>
    <t>1040</t>
  </si>
  <si>
    <t>1210</t>
  </si>
  <si>
    <t>1220</t>
  </si>
  <si>
    <t>1230</t>
  </si>
  <si>
    <t>3600</t>
  </si>
  <si>
    <t>4900</t>
  </si>
  <si>
    <t>5000</t>
  </si>
  <si>
    <t>6010</t>
  </si>
  <si>
    <t>6020</t>
  </si>
  <si>
    <t>6030</t>
  </si>
  <si>
    <t>6040</t>
  </si>
  <si>
    <t>6050</t>
  </si>
  <si>
    <t>8000</t>
  </si>
  <si>
    <t>8500</t>
  </si>
  <si>
    <t xml:space="preserve">Rooms </t>
  </si>
  <si>
    <t xml:space="preserve">Front Office  </t>
  </si>
  <si>
    <t xml:space="preserve">Reservations </t>
  </si>
  <si>
    <t xml:space="preserve">Housekeeping </t>
  </si>
  <si>
    <t xml:space="preserve">Concierge </t>
  </si>
  <si>
    <t>Residential Revenue</t>
  </si>
  <si>
    <t xml:space="preserve">Residential Front Office  </t>
  </si>
  <si>
    <t xml:space="preserve">Residential Reservations </t>
  </si>
  <si>
    <t xml:space="preserve">Residential Housekeeping </t>
  </si>
  <si>
    <t xml:space="preserve">F&amp;B Management </t>
  </si>
  <si>
    <t xml:space="preserve">Stewarding </t>
  </si>
  <si>
    <t xml:space="preserve">Banquets </t>
  </si>
  <si>
    <t xml:space="preserve">Catering </t>
  </si>
  <si>
    <t>Minibar</t>
  </si>
  <si>
    <t>Terace Coffee Shop</t>
  </si>
  <si>
    <t>Tiran Main Restaurant</t>
  </si>
  <si>
    <t>Al Nawras Restaurants</t>
  </si>
  <si>
    <t>Italian Restaurant</t>
  </si>
  <si>
    <t>Indian Restaurant</t>
  </si>
  <si>
    <t>Mexican Restaurant</t>
  </si>
  <si>
    <t>Brazilian Restaurant</t>
  </si>
  <si>
    <t>Japanese Restaurant</t>
  </si>
  <si>
    <t>Argantini Restaurant</t>
  </si>
  <si>
    <t>Health Club &amp; SPA</t>
  </si>
  <si>
    <t>Gift Shop</t>
  </si>
  <si>
    <t>Golf</t>
  </si>
  <si>
    <t>Parking</t>
  </si>
  <si>
    <t xml:space="preserve">Laundry &amp; Valet </t>
  </si>
  <si>
    <t>A&amp;G Dept.</t>
  </si>
  <si>
    <t xml:space="preserve">Sales &amp; Marketing </t>
  </si>
  <si>
    <t>Non Operating Income and Expenses</t>
  </si>
  <si>
    <t>Waves Hotel Sun Mapping</t>
  </si>
  <si>
    <t>Balance Type</t>
  </si>
  <si>
    <t>Status</t>
  </si>
  <si>
    <t>Analysis Code</t>
  </si>
  <si>
    <t>C00001</t>
  </si>
  <si>
    <t>Abdul Majeed Mdian Al Arwi Trading</t>
  </si>
  <si>
    <t>O</t>
  </si>
  <si>
    <t>021</t>
  </si>
  <si>
    <t>ACCOUNTS PAYABLE</t>
  </si>
  <si>
    <t>N200</t>
  </si>
  <si>
    <t>NOTES PAYABLE</t>
  </si>
  <si>
    <t>C00002</t>
  </si>
  <si>
    <t>Abu Dawood Trading Company</t>
  </si>
  <si>
    <t>C00003</t>
  </si>
  <si>
    <t>Adma Shamran Catering Com.</t>
  </si>
  <si>
    <t>C00004</t>
  </si>
  <si>
    <t>Al Alanda Trading Company</t>
  </si>
  <si>
    <t>C00005</t>
  </si>
  <si>
    <t>Al Fanar Bread Co.LTD</t>
  </si>
  <si>
    <t>C00006</t>
  </si>
  <si>
    <t>Al Faris International Travel &amp; Tourism Co.</t>
  </si>
  <si>
    <t>C00007</t>
  </si>
  <si>
    <t>Al Hindi Bakeries</t>
  </si>
  <si>
    <t>C00008</t>
  </si>
  <si>
    <t>Al Jazirah Rent Car</t>
  </si>
  <si>
    <t>C00009</t>
  </si>
  <si>
    <t>Al Maaly Al Methalia</t>
  </si>
  <si>
    <t>C00010</t>
  </si>
  <si>
    <t>Al Nafiza Al Asaria Workshop</t>
  </si>
  <si>
    <t>C00011</t>
  </si>
  <si>
    <t>Al Najah &amp; Al Azdhar Trading Co</t>
  </si>
  <si>
    <t>C00012</t>
  </si>
  <si>
    <t>AL Noor Furniture</t>
  </si>
  <si>
    <t>C00013</t>
  </si>
  <si>
    <t>Al Ostora Almoudeaah Trading est</t>
  </si>
  <si>
    <t>C00014</t>
  </si>
  <si>
    <t>Al Raheef Trading Est</t>
  </si>
  <si>
    <t>C00015</t>
  </si>
  <si>
    <t>Al Raqi Trading</t>
  </si>
  <si>
    <t>C00016</t>
  </si>
  <si>
    <t>Al Zawq Al Mukhtalif Commercial Est</t>
  </si>
  <si>
    <t>C00017</t>
  </si>
  <si>
    <t>Alkurdi Trading &amp; Contracting co</t>
  </si>
  <si>
    <t>C00018</t>
  </si>
  <si>
    <t>Alyacht Marketing</t>
  </si>
  <si>
    <t>C00019</t>
  </si>
  <si>
    <t>Aromatic Arts Fragrance</t>
  </si>
  <si>
    <t>C00020</t>
  </si>
  <si>
    <t>Bayt Al Ebaa</t>
  </si>
  <si>
    <t>C00021</t>
  </si>
  <si>
    <t>Bayt Al Riyadah Al Faleh</t>
  </si>
  <si>
    <t>C00022</t>
  </si>
  <si>
    <t>Berain Company</t>
  </si>
  <si>
    <t>C00023</t>
  </si>
  <si>
    <t>C00024</t>
  </si>
  <si>
    <t>Brins Albehar</t>
  </si>
  <si>
    <t>C00025</t>
  </si>
  <si>
    <t>Building System Company</t>
  </si>
  <si>
    <t>C00026</t>
  </si>
  <si>
    <t>Buraq ALmumaiz Trading EST.</t>
  </si>
  <si>
    <t>C00027</t>
  </si>
  <si>
    <t>Check Safety First Co. Cristal</t>
  </si>
  <si>
    <t>C00028</t>
  </si>
  <si>
    <t>Coffee Moments</t>
  </si>
  <si>
    <t>C00029</t>
  </si>
  <si>
    <t>Creative Bulb</t>
  </si>
  <si>
    <t>C00030</t>
  </si>
  <si>
    <t>Dally Corporation</t>
  </si>
  <si>
    <t>C00031</t>
  </si>
  <si>
    <t>Dharb Alimthiyaz Trading Co</t>
  </si>
  <si>
    <t>C00032</t>
  </si>
  <si>
    <t>Diversy Saudi Arabia Ltd co.</t>
  </si>
  <si>
    <t>C00033</t>
  </si>
  <si>
    <t>Dormakaba</t>
  </si>
  <si>
    <t>C00034</t>
  </si>
  <si>
    <t>Eelgence Kitchen Trading Co.</t>
  </si>
  <si>
    <t>C00035</t>
  </si>
  <si>
    <t>Fitness Lines Company Limited</t>
  </si>
  <si>
    <t>C00036</t>
  </si>
  <si>
    <t>Food line trading</t>
  </si>
  <si>
    <t>C00037</t>
  </si>
  <si>
    <t>GOSI</t>
  </si>
  <si>
    <t>C00038</t>
  </si>
  <si>
    <t>Gulf Insurance Group Co</t>
  </si>
  <si>
    <t>C00039</t>
  </si>
  <si>
    <t>Gulf Wagar For Kitcken&amp;Restaurants Equipments</t>
  </si>
  <si>
    <t>C00040</t>
  </si>
  <si>
    <t>Health Water Botting Co</t>
  </si>
  <si>
    <t>C00041</t>
  </si>
  <si>
    <t>Hospitality Chain</t>
  </si>
  <si>
    <t>C00042</t>
  </si>
  <si>
    <t>C00043</t>
  </si>
  <si>
    <t>Ibrahim S. Alrady &amp; Partners co</t>
  </si>
  <si>
    <t>C00044</t>
  </si>
  <si>
    <t>Inventive Business Solutions</t>
  </si>
  <si>
    <t>C00045</t>
  </si>
  <si>
    <t>Jeddah Expert Printing Press</t>
  </si>
  <si>
    <t>C00046</t>
  </si>
  <si>
    <t>Juffali Equipment</t>
  </si>
  <si>
    <t>C00047</t>
  </si>
  <si>
    <t>Kayan Elite Trading Est.</t>
  </si>
  <si>
    <t>C00048</t>
  </si>
  <si>
    <t>C00049</t>
  </si>
  <si>
    <t>Khatam Alkhatam Trading</t>
  </si>
  <si>
    <t>C00050</t>
  </si>
  <si>
    <t>Korea Digital Monitoring Sys</t>
  </si>
  <si>
    <t>C00051</t>
  </si>
  <si>
    <t>C00052</t>
  </si>
  <si>
    <t>Luxury Brand Consulting Llc</t>
  </si>
  <si>
    <t>C00053</t>
  </si>
  <si>
    <t>Mabrook Saleem  Hamad Al-Hajouri Al-Juhani</t>
  </si>
  <si>
    <t>C00054</t>
  </si>
  <si>
    <t>Madar Building Materials</t>
  </si>
  <si>
    <t>C00055</t>
  </si>
  <si>
    <t>Madina Plastic</t>
  </si>
  <si>
    <t>C00056</t>
  </si>
  <si>
    <t>Magicshotz Production W.L.L</t>
  </si>
  <si>
    <t>C00057</t>
  </si>
  <si>
    <t>Masar Al Emar Est</t>
  </si>
  <si>
    <t>C00058</t>
  </si>
  <si>
    <t>Masdar Altanfeeth For Contracting</t>
  </si>
  <si>
    <t>C00059</t>
  </si>
  <si>
    <t>Med Gulf Insurance</t>
  </si>
  <si>
    <t>C00060</t>
  </si>
  <si>
    <t>Modern Riyada Environmental Services</t>
  </si>
  <si>
    <t>C00061</t>
  </si>
  <si>
    <t>Modern Solutions Gate</t>
  </si>
  <si>
    <t>C00062</t>
  </si>
  <si>
    <t>Mohamed Ali Al Hammami</t>
  </si>
  <si>
    <t>C00063</t>
  </si>
  <si>
    <t>Napco Trading &amp; Distribution Co.</t>
  </si>
  <si>
    <t>C00064</t>
  </si>
  <si>
    <t>C00065</t>
  </si>
  <si>
    <t>National Gas and Industrialization Company</t>
  </si>
  <si>
    <t>C00066</t>
  </si>
  <si>
    <t>Nukbbat Alsumud Water &amp; Sewage</t>
  </si>
  <si>
    <t>C00067</t>
  </si>
  <si>
    <t>Other Supplier</t>
  </si>
  <si>
    <t>C00068</t>
  </si>
  <si>
    <t>Otis Elevator Company</t>
  </si>
  <si>
    <t>C00069</t>
  </si>
  <si>
    <t>Peacock Roaster &amp; Café</t>
  </si>
  <si>
    <t>C00070</t>
  </si>
  <si>
    <t>Purchasing Department</t>
  </si>
  <si>
    <t>C00071</t>
  </si>
  <si>
    <t>Qima security Supplier</t>
  </si>
  <si>
    <t>C00072</t>
  </si>
  <si>
    <t>Qimat Al Erada Trading</t>
  </si>
  <si>
    <t>C00073</t>
  </si>
  <si>
    <t>Rawafi Al Ahlam for Pest Control</t>
  </si>
  <si>
    <t>C00074</t>
  </si>
  <si>
    <t>Riyadh House</t>
  </si>
  <si>
    <t>C00075</t>
  </si>
  <si>
    <t>Rolaco Supplier</t>
  </si>
  <si>
    <t>C00076</t>
  </si>
  <si>
    <t>Salat Alhawra - Main Branch</t>
  </si>
  <si>
    <t>C00077</t>
  </si>
  <si>
    <t>Saudi Egyptian Company For Uniform &amp; Linen</t>
  </si>
  <si>
    <t>C00078</t>
  </si>
  <si>
    <t>Saudi Electricity Company</t>
  </si>
  <si>
    <t>C00079</t>
  </si>
  <si>
    <t>Saudico Electronic System</t>
  </si>
  <si>
    <t>C00080</t>
  </si>
  <si>
    <t>Shadows for it</t>
  </si>
  <si>
    <t>C00081</t>
  </si>
  <si>
    <t>Shahad Al-Basateen</t>
  </si>
  <si>
    <t>C00082</t>
  </si>
  <si>
    <t>SHARMA UNITED TRAD EST</t>
  </si>
  <si>
    <t>C00083</t>
  </si>
  <si>
    <t>Sky Software Company</t>
  </si>
  <si>
    <t>C00084</t>
  </si>
  <si>
    <t>Smart Solution For Safety Tools &amp; Equipment</t>
  </si>
  <si>
    <t>C00085</t>
  </si>
  <si>
    <t>Socotra National Trading Company</t>
  </si>
  <si>
    <t>C00086</t>
  </si>
  <si>
    <t>STC Company</t>
  </si>
  <si>
    <t>C00087</t>
  </si>
  <si>
    <t>Super Kill For Agriculture , Pest Control</t>
  </si>
  <si>
    <t>C00088</t>
  </si>
  <si>
    <t>C00089</t>
  </si>
  <si>
    <t>Tabuk Municipality</t>
  </si>
  <si>
    <t>C00090</t>
  </si>
  <si>
    <t>Tawuniya Insuraance Co</t>
  </si>
  <si>
    <t>C00091</t>
  </si>
  <si>
    <t>Themar Umluj</t>
  </si>
  <si>
    <t>C00092</t>
  </si>
  <si>
    <t>C00093</t>
  </si>
  <si>
    <t>Wahaj Almas Hospitality Solutions</t>
  </si>
  <si>
    <t>C00094</t>
  </si>
  <si>
    <t>Wataniya Insurance Premium</t>
  </si>
  <si>
    <t>C00095</t>
  </si>
  <si>
    <t>Multi-Quality Ltd . Co</t>
  </si>
  <si>
    <t>C00096</t>
  </si>
  <si>
    <t>GCS Times Group Company Limited</t>
  </si>
  <si>
    <t>B</t>
  </si>
  <si>
    <t>C00097</t>
  </si>
  <si>
    <t>Arabian Shield Cooperative  Insurance Co.</t>
  </si>
  <si>
    <t>Cash</t>
  </si>
  <si>
    <t>C</t>
  </si>
  <si>
    <t>011</t>
  </si>
  <si>
    <t>Clearance accounts</t>
  </si>
  <si>
    <t>C100</t>
  </si>
  <si>
    <t>CASH</t>
  </si>
  <si>
    <t>Cash Fund General Cashier</t>
  </si>
  <si>
    <t>Cash Fund Purchasing</t>
  </si>
  <si>
    <t>Cash Fund Fornt Office</t>
  </si>
  <si>
    <t>Cash Fund Human Resources</t>
  </si>
  <si>
    <t>Cash Fund Food &amp; Beverage</t>
  </si>
  <si>
    <t>Cash Fund SPA</t>
  </si>
  <si>
    <t>Cash Fund Concireage</t>
  </si>
  <si>
    <t>Cash Fund Other</t>
  </si>
  <si>
    <t>Bank  Al Riyad</t>
  </si>
  <si>
    <t>B100</t>
  </si>
  <si>
    <t>Bank</t>
  </si>
  <si>
    <t>Bank  Al Riyad POS</t>
  </si>
  <si>
    <t>Payroll Bank Account</t>
  </si>
  <si>
    <t>FF&amp;&amp; Capital Reserve Bank Account</t>
  </si>
  <si>
    <t>POS &amp; Online Payment Account</t>
  </si>
  <si>
    <t>Bank Al Rajhi</t>
  </si>
  <si>
    <t>C110</t>
  </si>
  <si>
    <t>012</t>
  </si>
  <si>
    <t>Account Receivable</t>
  </si>
  <si>
    <t>R120</t>
  </si>
  <si>
    <t>Span(Mada)</t>
  </si>
  <si>
    <t>A/R Employee Travel Allowances</t>
  </si>
  <si>
    <t>A/R Employee Shortages</t>
  </si>
  <si>
    <t>A/R Employee Salary Advances</t>
  </si>
  <si>
    <t>A/R Insurance Claims</t>
  </si>
  <si>
    <t>A/R Security Deposits</t>
  </si>
  <si>
    <t>A/R Staff Loans</t>
  </si>
  <si>
    <t>A/R Staff City Ledger</t>
  </si>
  <si>
    <t>Food Inventory</t>
  </si>
  <si>
    <t>014</t>
  </si>
  <si>
    <t>INVENTORIES</t>
  </si>
  <si>
    <t>I140</t>
  </si>
  <si>
    <t>Food Kitchen</t>
  </si>
  <si>
    <t>Food Outlet</t>
  </si>
  <si>
    <t>Beverage Inventory</t>
  </si>
  <si>
    <t>Beverage Outlet</t>
  </si>
  <si>
    <t>Tobacco Inventory</t>
  </si>
  <si>
    <t>General Inventory</t>
  </si>
  <si>
    <t>Cleaning Supplies Inventory</t>
  </si>
  <si>
    <t>Paper Supplies Inventory</t>
  </si>
  <si>
    <t>Printing &amp; Stationary Inventory</t>
  </si>
  <si>
    <t>Fuel Inventory</t>
  </si>
  <si>
    <t>Maintenance Supplies Inventory</t>
  </si>
  <si>
    <t>Other Operating Supplies Inventory</t>
  </si>
  <si>
    <t>SPA Retail Products Inventory</t>
  </si>
  <si>
    <t>SPA Treatment Products Inventory</t>
  </si>
  <si>
    <t>Guest Supplies Inventory</t>
  </si>
  <si>
    <t>Gift Shop Retail Inventory</t>
  </si>
  <si>
    <t>Bathrobes Inventory</t>
  </si>
  <si>
    <t>Laundry Supplies Inventory</t>
  </si>
  <si>
    <t>Laundry Chemicals Inventory</t>
  </si>
  <si>
    <t>Linen Inventory</t>
  </si>
  <si>
    <t>Chinaware Inventory</t>
  </si>
  <si>
    <t>Glassware Inventory</t>
  </si>
  <si>
    <t>Silverware Inventory</t>
  </si>
  <si>
    <t>Kitchen Utensils Inventory</t>
  </si>
  <si>
    <t>Uniforms Inventory</t>
  </si>
  <si>
    <t>Menus Inventory</t>
  </si>
  <si>
    <t>Brochures Inventory</t>
  </si>
  <si>
    <t>Other Operating Equipment Inventory</t>
  </si>
  <si>
    <t>Main Warehouse Hotels Group Inventory</t>
  </si>
  <si>
    <t>015</t>
  </si>
  <si>
    <t>PREPAYMENTS</t>
  </si>
  <si>
    <t>P150</t>
  </si>
  <si>
    <t>PPD Insurance</t>
  </si>
  <si>
    <t>PPD Contracts</t>
  </si>
  <si>
    <t>PPD Licenses</t>
  </si>
  <si>
    <t>PPD Building Rent</t>
  </si>
  <si>
    <t>PPD Dues &amp; Subscriptions</t>
  </si>
  <si>
    <t>PPD Music &amp; Entertainment</t>
  </si>
  <si>
    <t>PPD Equipment Rental</t>
  </si>
  <si>
    <t>PPD Special Deposits</t>
  </si>
  <si>
    <t>PPD Advertising</t>
  </si>
  <si>
    <t>PPD Postage</t>
  </si>
  <si>
    <t>PPD Uniforms - Rooms</t>
  </si>
  <si>
    <t>PPD Uniforms - F&amp;B</t>
  </si>
  <si>
    <t>PPD Oper. Equip Rooms</t>
  </si>
  <si>
    <t>PPD Oper. Equip F&amp;B</t>
  </si>
  <si>
    <t>PPD Operation Purchasing</t>
  </si>
  <si>
    <t>PPD Owners Costs Purchases</t>
  </si>
  <si>
    <t>PPD Property Taxes</t>
  </si>
  <si>
    <t>PPD Utilities Expenses</t>
  </si>
  <si>
    <t>PPD Rent</t>
  </si>
  <si>
    <t>PPD VISA,WORK PERMIT, AND IQAMA RENEWAL</t>
  </si>
  <si>
    <t>PPD VAT Purchasing 15%</t>
  </si>
  <si>
    <t>PPD Advances</t>
  </si>
  <si>
    <t>PPD Other Miscellaneous</t>
  </si>
  <si>
    <t>Intercompany Receivables - Opening</t>
  </si>
  <si>
    <t>016</t>
  </si>
  <si>
    <t>L/T Receivable Non- Curr.</t>
  </si>
  <si>
    <t>L160</t>
  </si>
  <si>
    <t>Intercompany Receivables - Additions</t>
  </si>
  <si>
    <t>Intercompany Receivables - Disposals</t>
  </si>
  <si>
    <t>Land</t>
  </si>
  <si>
    <t>017</t>
  </si>
  <si>
    <t>Accumulated Depreciation</t>
  </si>
  <si>
    <t>F170</t>
  </si>
  <si>
    <t>Fixed Assets</t>
  </si>
  <si>
    <t>Buildings</t>
  </si>
  <si>
    <t>Leaseholds</t>
  </si>
  <si>
    <t>Leasehold Improvements</t>
  </si>
  <si>
    <t>Business &amp; Office Equipment</t>
  </si>
  <si>
    <t>Furniture &amp; Fittings</t>
  </si>
  <si>
    <t>Machinery</t>
  </si>
  <si>
    <t>Information Systems (Hardware only)</t>
  </si>
  <si>
    <t>Vehicles</t>
  </si>
  <si>
    <t>Special Projects  /Work in Progress</t>
  </si>
  <si>
    <t>FF&amp;E - Opening</t>
  </si>
  <si>
    <t>D171</t>
  </si>
  <si>
    <t>FF&amp;E - Additions</t>
  </si>
  <si>
    <t>FF&amp;E - Disposals</t>
  </si>
  <si>
    <t>Accum. Depreciation Buildings</t>
  </si>
  <si>
    <t>Accum. Depreciation Leaseholds</t>
  </si>
  <si>
    <t>Accum. Depreciation Leasehold Impovements</t>
  </si>
  <si>
    <t>Accum. Depreciation Business &amp; Office Equipment</t>
  </si>
  <si>
    <t>Accum. Depreciation Furniture &amp; Fittings</t>
  </si>
  <si>
    <t>Accum. Depreciation Machinery</t>
  </si>
  <si>
    <t>Accum. Depreciation Informat. Systems (Hardw only)</t>
  </si>
  <si>
    <t>Accum. Depreciation Vehicles</t>
  </si>
  <si>
    <t>018</t>
  </si>
  <si>
    <t>PRE-OPENING EXPENSE -  OTHER E</t>
  </si>
  <si>
    <t>P181</t>
  </si>
  <si>
    <t>PRE-OPENING EXPENSE - PAYROLL</t>
  </si>
  <si>
    <t>P182</t>
  </si>
  <si>
    <t>PRE-OPENING EXPENSE -  MARKETI</t>
  </si>
  <si>
    <t>P183</t>
  </si>
  <si>
    <t>Pre opening Expenses-offset</t>
  </si>
  <si>
    <t>Patents</t>
  </si>
  <si>
    <t>019</t>
  </si>
  <si>
    <t>INTANGIBLE ASSETS</t>
  </si>
  <si>
    <t>I190</t>
  </si>
  <si>
    <t>Trademarks</t>
  </si>
  <si>
    <t>Goodwill</t>
  </si>
  <si>
    <t>Rights</t>
  </si>
  <si>
    <t>Concessions, Software &amp; Licenses</t>
  </si>
  <si>
    <t>Other intangible assets</t>
  </si>
  <si>
    <t>020</t>
  </si>
  <si>
    <t>P210</t>
  </si>
  <si>
    <t>A/P-Sales VAT 15%</t>
  </si>
  <si>
    <t>022</t>
  </si>
  <si>
    <t>PROVISIONS</t>
  </si>
  <si>
    <t>A220</t>
  </si>
  <si>
    <t>ACCRUALS</t>
  </si>
  <si>
    <t>Accrued GOSI Local</t>
  </si>
  <si>
    <t>Accrued GOSI Expat.</t>
  </si>
  <si>
    <t>Accrued G.M Pension</t>
  </si>
  <si>
    <t>Accrued Staff Transportation</t>
  </si>
  <si>
    <t>Accrued  Banquet share</t>
  </si>
  <si>
    <t>Accrued Front Office Incentive</t>
  </si>
  <si>
    <t>Accrued Central Reservation Incentive</t>
  </si>
  <si>
    <t>Accrued Sales Maganers Incentive</t>
  </si>
  <si>
    <t>Accrued Visa,Work Permit, Iqama</t>
  </si>
  <si>
    <t>Accrued VAT Payable</t>
  </si>
  <si>
    <t>P225</t>
  </si>
  <si>
    <t>Provision for End Of Service Pay</t>
  </si>
  <si>
    <t>Provision for Bad Debts&amp;Doubtful Accounts</t>
  </si>
  <si>
    <t>Provision for Zakah</t>
  </si>
  <si>
    <t>023</t>
  </si>
  <si>
    <t>ADVANCE RENTAL</t>
  </si>
  <si>
    <t>A230</t>
  </si>
  <si>
    <t>025</t>
  </si>
  <si>
    <t>OWNERS CURRENT ACCOUNT</t>
  </si>
  <si>
    <t>W250</t>
  </si>
  <si>
    <t>WOKING CAPITAL</t>
  </si>
  <si>
    <t>Intercompany Account Pre-Opening</t>
  </si>
  <si>
    <t>O251</t>
  </si>
  <si>
    <t>intercompany Waves For Hotel Services</t>
  </si>
  <si>
    <t>intercompany Waves 2</t>
  </si>
  <si>
    <t>intercompany Waves 3</t>
  </si>
  <si>
    <t>intercompany Waves 4</t>
  </si>
  <si>
    <t>Intercompany Account Projects</t>
  </si>
  <si>
    <t>Intercompany Account Head Office</t>
  </si>
  <si>
    <t>026</t>
  </si>
  <si>
    <t>REPLACEMENT RESERVE</t>
  </si>
  <si>
    <t>R260</t>
  </si>
  <si>
    <t>029</t>
  </si>
  <si>
    <t>CLEARANCE/SUSPENSE</t>
  </si>
  <si>
    <t>C290</t>
  </si>
  <si>
    <t>Retained Earnings 2022</t>
  </si>
  <si>
    <t>Retained Earnings 2023</t>
  </si>
  <si>
    <t>Retained Earnings 2024</t>
  </si>
  <si>
    <t>Retained Earnings 2025</t>
  </si>
  <si>
    <t>Retained Earnings 2026</t>
  </si>
  <si>
    <t>Retained Earnings 2027</t>
  </si>
  <si>
    <t>300</t>
  </si>
  <si>
    <t>R300</t>
  </si>
  <si>
    <t>REVENUE</t>
  </si>
  <si>
    <t>310</t>
  </si>
  <si>
    <t>R310</t>
  </si>
  <si>
    <t>F300</t>
  </si>
  <si>
    <t>399</t>
  </si>
  <si>
    <t>F399</t>
  </si>
  <si>
    <t>B300</t>
  </si>
  <si>
    <t>B399</t>
  </si>
  <si>
    <t>400</t>
  </si>
  <si>
    <t>O400</t>
  </si>
  <si>
    <t>305</t>
  </si>
  <si>
    <t>S305</t>
  </si>
  <si>
    <t>G310</t>
  </si>
  <si>
    <t>O310</t>
  </si>
  <si>
    <t>320</t>
  </si>
  <si>
    <t>T320</t>
  </si>
  <si>
    <t>330</t>
  </si>
  <si>
    <t>P330</t>
  </si>
  <si>
    <t>333</t>
  </si>
  <si>
    <t>L333</t>
  </si>
  <si>
    <t>340</t>
  </si>
  <si>
    <t>G340</t>
  </si>
  <si>
    <t>350</t>
  </si>
  <si>
    <t>T350</t>
  </si>
  <si>
    <t>360</t>
  </si>
  <si>
    <t>O360</t>
  </si>
  <si>
    <t>380</t>
  </si>
  <si>
    <t>O380</t>
  </si>
  <si>
    <t>C400</t>
  </si>
  <si>
    <t>COST</t>
  </si>
  <si>
    <t>500</t>
  </si>
  <si>
    <t>C500</t>
  </si>
  <si>
    <t>410</t>
  </si>
  <si>
    <t>C410</t>
  </si>
  <si>
    <t>411</t>
  </si>
  <si>
    <t>C411</t>
  </si>
  <si>
    <t>412</t>
  </si>
  <si>
    <t>C412</t>
  </si>
  <si>
    <t>413</t>
  </si>
  <si>
    <t>C413</t>
  </si>
  <si>
    <t>414</t>
  </si>
  <si>
    <t>C414</t>
  </si>
  <si>
    <t>415</t>
  </si>
  <si>
    <t>C415</t>
  </si>
  <si>
    <t>420</t>
  </si>
  <si>
    <t>C420</t>
  </si>
  <si>
    <t>430</t>
  </si>
  <si>
    <t>C430</t>
  </si>
  <si>
    <t>432</t>
  </si>
  <si>
    <t>C432</t>
  </si>
  <si>
    <t>451</t>
  </si>
  <si>
    <t>C451</t>
  </si>
  <si>
    <t>452</t>
  </si>
  <si>
    <t>C452</t>
  </si>
  <si>
    <t>453</t>
  </si>
  <si>
    <t>C453</t>
  </si>
  <si>
    <t>454</t>
  </si>
  <si>
    <t>C454</t>
  </si>
  <si>
    <t>455</t>
  </si>
  <si>
    <t>C455</t>
  </si>
  <si>
    <t>456</t>
  </si>
  <si>
    <t>C456</t>
  </si>
  <si>
    <t>457</t>
  </si>
  <si>
    <t>C457</t>
  </si>
  <si>
    <t>501</t>
  </si>
  <si>
    <t>Salaries - salaries &amp; Wages</t>
  </si>
  <si>
    <t>S501</t>
  </si>
  <si>
    <t>502</t>
  </si>
  <si>
    <t>Salaries - Service Charges</t>
  </si>
  <si>
    <t>S502</t>
  </si>
  <si>
    <t>503</t>
  </si>
  <si>
    <t>Salaries - Bounses</t>
  </si>
  <si>
    <t>S503</t>
  </si>
  <si>
    <t>Commissions Pay</t>
  </si>
  <si>
    <t>504</t>
  </si>
  <si>
    <t>Salaries -Contracted</t>
  </si>
  <si>
    <t>S504</t>
  </si>
  <si>
    <t>510</t>
  </si>
  <si>
    <t>B510</t>
  </si>
  <si>
    <t>Salaries - Supplemental Pay</t>
  </si>
  <si>
    <t>Sick leave  Pay</t>
  </si>
  <si>
    <t>End Off Services</t>
  </si>
  <si>
    <t>520</t>
  </si>
  <si>
    <t>B520</t>
  </si>
  <si>
    <t>Salaries - Employee Benefits</t>
  </si>
  <si>
    <t>HOD Officer Meals_x000D_</t>
  </si>
  <si>
    <t>Employee Meals</t>
  </si>
  <si>
    <t>Benefits Chargeback In Pay</t>
  </si>
  <si>
    <t>600</t>
  </si>
  <si>
    <t>E600</t>
  </si>
  <si>
    <t>Operating Expenses</t>
  </si>
  <si>
    <t>Non-G-RelatedExchange Gains (Losses)</t>
  </si>
  <si>
    <t>Vehicles Insurance Policy</t>
  </si>
  <si>
    <t>Sewage Water</t>
  </si>
  <si>
    <t>Hotel Insurance Policy</t>
  </si>
  <si>
    <t/>
  </si>
  <si>
    <t>700</t>
  </si>
  <si>
    <t>M700</t>
  </si>
  <si>
    <t>Overhead Expenses</t>
  </si>
  <si>
    <t>800</t>
  </si>
  <si>
    <t>O800</t>
  </si>
  <si>
    <t>Head Count</t>
  </si>
  <si>
    <t>900</t>
  </si>
  <si>
    <t>S900</t>
  </si>
  <si>
    <t>Statistics</t>
  </si>
  <si>
    <t>910</t>
  </si>
  <si>
    <t>S910</t>
  </si>
  <si>
    <t>920</t>
  </si>
  <si>
    <t>S920</t>
  </si>
  <si>
    <t>930</t>
  </si>
  <si>
    <t>S930</t>
  </si>
  <si>
    <t>940</t>
  </si>
  <si>
    <t>S940</t>
  </si>
  <si>
    <t>950</t>
  </si>
  <si>
    <t>S950</t>
  </si>
  <si>
    <t>960</t>
  </si>
  <si>
    <t>S960</t>
  </si>
  <si>
    <t>Labour Chargeback In Hours</t>
  </si>
  <si>
    <t>Labour Chargeback Out Hours</t>
  </si>
  <si>
    <t>970</t>
  </si>
  <si>
    <t>S970</t>
  </si>
  <si>
    <t>980</t>
  </si>
  <si>
    <t>S980</t>
  </si>
  <si>
    <t>990</t>
  </si>
  <si>
    <t>S990</t>
  </si>
  <si>
    <t>Suspense Account</t>
  </si>
  <si>
    <t>Rooms</t>
  </si>
  <si>
    <t>الإعلانات – التوظيف</t>
  </si>
  <si>
    <t>Advertising—recruiting</t>
  </si>
  <si>
    <t>No Class</t>
  </si>
  <si>
    <t>No Category</t>
  </si>
  <si>
    <t>الجوائز – الموظفون</t>
  </si>
  <si>
    <t>Awards—employees</t>
  </si>
  <si>
    <t>Corporate</t>
  </si>
  <si>
    <t>Local</t>
  </si>
  <si>
    <t>هدايا عيد الميلاد – الموظفون</t>
  </si>
  <si>
    <t>Christmas gifts—employees</t>
  </si>
  <si>
    <t>GM</t>
  </si>
  <si>
    <t>Expat</t>
  </si>
  <si>
    <t>اختبار المخدرات للموظفين</t>
  </si>
  <si>
    <t>Drug testing of employees</t>
  </si>
  <si>
    <t>Executives</t>
  </si>
  <si>
    <t>Afghans</t>
  </si>
  <si>
    <t>Concierge</t>
  </si>
  <si>
    <t>الرسوم الطبية</t>
  </si>
  <si>
    <t>Fees, medical</t>
  </si>
  <si>
    <t>Department Head</t>
  </si>
  <si>
    <t>Algerians</t>
  </si>
  <si>
    <t>إعلانات طلب المساعدة</t>
  </si>
  <si>
    <t>Help wanted ads</t>
  </si>
  <si>
    <t>Middle Management</t>
  </si>
  <si>
    <t>Americans</t>
  </si>
  <si>
    <t>Residential Front Office</t>
  </si>
  <si>
    <t>النشرة الداخلية (للموظفين)</t>
  </si>
  <si>
    <t>In-house newsletter (for employees)</t>
  </si>
  <si>
    <t>Supervisory level</t>
  </si>
  <si>
    <t>Bahrainis</t>
  </si>
  <si>
    <t>Residential Reservations</t>
  </si>
  <si>
    <t>مصاريف المقابلات</t>
  </si>
  <si>
    <t>Interview expenses</t>
  </si>
  <si>
    <t>R&amp;F/Line staff</t>
  </si>
  <si>
    <t>Bangladeshis</t>
  </si>
  <si>
    <t>Residential Housekeeping</t>
  </si>
  <si>
    <t>إقامة الموظفين</t>
  </si>
  <si>
    <t>Lodging of employees</t>
  </si>
  <si>
    <t>Management Trainee</t>
  </si>
  <si>
    <t>British</t>
  </si>
  <si>
    <t>المستلزمات الطبية والأدوية للموظفين</t>
  </si>
  <si>
    <t>Medical supplies and drugs for employees</t>
  </si>
  <si>
    <t>Task Force</t>
  </si>
  <si>
    <t>Burmese</t>
  </si>
  <si>
    <t>المستلزمات الطبية للموظفين</t>
  </si>
  <si>
    <t>Medical supplies for employees</t>
  </si>
  <si>
    <t>Outside Contractor</t>
  </si>
  <si>
    <t>Cambodians</t>
  </si>
  <si>
    <t>النماذج الشخصية، عامة</t>
  </si>
  <si>
    <t>Personnel forms, general</t>
  </si>
  <si>
    <t>Casual</t>
  </si>
  <si>
    <t>Canadians</t>
  </si>
  <si>
    <t>لوحات، السلامة</t>
  </si>
  <si>
    <t>Posters, safety</t>
  </si>
  <si>
    <t>Chinese</t>
  </si>
  <si>
    <t>الجوائز، الموظف</t>
  </si>
  <si>
    <t>Prizes, employee</t>
  </si>
  <si>
    <t>Dutch</t>
  </si>
  <si>
    <t>رسوم المجند</t>
  </si>
  <si>
    <t>Recruiter fees</t>
  </si>
  <si>
    <t>Egyptians</t>
  </si>
  <si>
    <t>التحقق من المراجع، الموظف</t>
  </si>
  <si>
    <t>Reference checking, employee</t>
  </si>
  <si>
    <t>Emiratis</t>
  </si>
  <si>
    <t>تكاليف الانتقال</t>
  </si>
  <si>
    <t>Relocation costs</t>
  </si>
  <si>
    <t>English</t>
  </si>
  <si>
    <t>الأنشطة الاجتماعية، الموظفون</t>
  </si>
  <si>
    <t>Social activities, employees</t>
  </si>
  <si>
    <t>Eritreans</t>
  </si>
  <si>
    <t>الأنشطة الرياضية والمعدات، الموظفون</t>
  </si>
  <si>
    <t>Sports activities and equipment, employees</t>
  </si>
  <si>
    <t>Ethiopians</t>
  </si>
  <si>
    <t>جوائز الاقتراحات، الموظفون</t>
  </si>
  <si>
    <t>Suggestion awards, employees</t>
  </si>
  <si>
    <t>French citizens</t>
  </si>
  <si>
    <t>السكن المؤقت، الموظف</t>
  </si>
  <si>
    <t>Temporary housing, employee</t>
  </si>
  <si>
    <t>Germans</t>
  </si>
  <si>
    <t>إدارة الجودة الشاملة</t>
  </si>
  <si>
    <t>Total quality management</t>
  </si>
  <si>
    <t>Greeks</t>
  </si>
  <si>
    <t>تكاليف الفيزا للموظف الأجنبي</t>
  </si>
  <si>
    <t>Visa costs for an ex-pat employee</t>
  </si>
  <si>
    <t>Hondurans</t>
  </si>
  <si>
    <t>Want ads (help wanted)</t>
  </si>
  <si>
    <t>Indians</t>
  </si>
  <si>
    <t>التجزئة العابرة</t>
  </si>
  <si>
    <t>Transient Retail</t>
  </si>
  <si>
    <t>Indonesians</t>
  </si>
  <si>
    <t>خصم عابر</t>
  </si>
  <si>
    <t>Transient Discount</t>
  </si>
  <si>
    <t>Italians</t>
  </si>
  <si>
    <t>تفاوض العابر</t>
  </si>
  <si>
    <t>Transient Negotiated</t>
  </si>
  <si>
    <t>Jordanians</t>
  </si>
  <si>
    <t>عابر مؤهل</t>
  </si>
  <si>
    <t>Transient Qualified</t>
  </si>
  <si>
    <t>Kenyans</t>
  </si>
  <si>
    <t>الجملة العابرة</t>
  </si>
  <si>
    <t>Transient Wholesale</t>
  </si>
  <si>
    <t>Kuwaitis</t>
  </si>
  <si>
    <t>المجموعة الشركاتية</t>
  </si>
  <si>
    <t>Group Corporate</t>
  </si>
  <si>
    <t>Lebanese</t>
  </si>
  <si>
    <t>المجموعة النقابية/المؤتمر</t>
  </si>
  <si>
    <t>Group Association/Convention</t>
  </si>
  <si>
    <t>Maldivians</t>
  </si>
  <si>
    <t>Laundry &amp; Valet</t>
  </si>
  <si>
    <t>المجموعة الحكومية</t>
  </si>
  <si>
    <t>Group Government</t>
  </si>
  <si>
    <t>Mexicans</t>
  </si>
  <si>
    <t>المجموعة السياحية/الموزعين</t>
  </si>
  <si>
    <t>Group Tour/Wholesalers</t>
  </si>
  <si>
    <t>Moroccans</t>
  </si>
  <si>
    <t>المجموعة الاجتماعية، العسكرية، التعليمية، الدينية، والمنظمات</t>
  </si>
  <si>
    <t>Group SMERF</t>
  </si>
  <si>
    <t>Nepalese</t>
  </si>
  <si>
    <t>إيرادات غرف العقود</t>
  </si>
  <si>
    <t>Contract Rooms Revenue</t>
  </si>
  <si>
    <t>Omani</t>
  </si>
  <si>
    <t>إفطار مفرد</t>
  </si>
  <si>
    <t>Plated Breakfast</t>
  </si>
  <si>
    <t>Pakistanis</t>
  </si>
  <si>
    <t>إفطار بوفيه</t>
  </si>
  <si>
    <t>Buffet Breakfast</t>
  </si>
  <si>
    <t>Palestinians</t>
  </si>
  <si>
    <t>إفطار كونتيننتال</t>
  </si>
  <si>
    <t>Continental Breakfast</t>
  </si>
  <si>
    <t>Sri Lankans</t>
  </si>
  <si>
    <t>غداء مفرد</t>
  </si>
  <si>
    <t>Plated Lunch</t>
  </si>
  <si>
    <t>Sudanese</t>
  </si>
  <si>
    <t>غداء بوفيه</t>
  </si>
  <si>
    <t>Buffet Lunch</t>
  </si>
  <si>
    <t>Swiss</t>
  </si>
  <si>
    <t>عشاء مفرد</t>
  </si>
  <si>
    <t>Plated Dinner</t>
  </si>
  <si>
    <t>Syrians</t>
  </si>
  <si>
    <t>عشاء بوفيه</t>
  </si>
  <si>
    <t>Buffet Dinner</t>
  </si>
  <si>
    <t>Tunisians</t>
  </si>
  <si>
    <t>برنش</t>
  </si>
  <si>
    <t>Brunch</t>
  </si>
  <si>
    <t>Turkish</t>
  </si>
  <si>
    <t>إفطار رمضان</t>
  </si>
  <si>
    <t>Ramadan Iftar</t>
  </si>
  <si>
    <t>Yemenis</t>
  </si>
  <si>
    <t>سحور رمضان</t>
  </si>
  <si>
    <t>Ramadan Sohor</t>
  </si>
  <si>
    <t>استراحة قهوة</t>
  </si>
  <si>
    <t>Coffee Break</t>
  </si>
  <si>
    <t>شاي بعد الظهر</t>
  </si>
  <si>
    <t>Afternoon Tea</t>
  </si>
  <si>
    <t>إقامة ليلية</t>
  </si>
  <si>
    <t>Overnight</t>
  </si>
  <si>
    <t>ضيافة</t>
  </si>
  <si>
    <t>Hospitality</t>
  </si>
  <si>
    <t>طوال اليوم</t>
  </si>
  <si>
    <t>All Day</t>
  </si>
  <si>
    <t>ضيف الفندق</t>
  </si>
  <si>
    <t>Hotel Guest</t>
  </si>
  <si>
    <t>ضيف العضو</t>
  </si>
  <si>
    <t>Member Guest</t>
  </si>
  <si>
    <t>معاملة الضيف المقيم</t>
  </si>
  <si>
    <t>Residential Guest Treatment</t>
  </si>
  <si>
    <t>الضيف المحلي / الضيف العابر</t>
  </si>
  <si>
    <t>Local/Walk-in Guest</t>
  </si>
  <si>
    <t>الضيف داخل الغرفة</t>
  </si>
  <si>
    <t>In Room Guest</t>
  </si>
  <si>
    <t>Bank  Al Riyad 9941</t>
  </si>
  <si>
    <t>Spa No Show</t>
  </si>
  <si>
    <t>Spa Membership</t>
  </si>
  <si>
    <t>Spa Massage Package</t>
  </si>
  <si>
    <t>Spa Others Package</t>
  </si>
  <si>
    <t>Spa &amp; Health Club Ladies</t>
  </si>
  <si>
    <t>Spa &amp; Health Club Men</t>
  </si>
  <si>
    <t>PETRA Air Conditioning Contracting Co. Ltd.</t>
  </si>
  <si>
    <t>C00098</t>
  </si>
  <si>
    <t>C00099</t>
  </si>
  <si>
    <t>CLEAR SKY TRAVELS AND TOURISM</t>
  </si>
  <si>
    <t>C00100</t>
  </si>
  <si>
    <t>Millennium Point Advertising</t>
  </si>
  <si>
    <t>Massage and Body Treatment for Woman</t>
  </si>
  <si>
    <t>Bayd Al-Deira Est</t>
  </si>
  <si>
    <t>C00101</t>
  </si>
  <si>
    <t>Booking.com</t>
  </si>
  <si>
    <t>C00102</t>
  </si>
  <si>
    <t>Siemens Limited Company</t>
  </si>
  <si>
    <t>C00103</t>
  </si>
  <si>
    <t>Altabayon  Almamari Contracting</t>
  </si>
  <si>
    <t>C00104</t>
  </si>
  <si>
    <t>United Taba General Contracting Co.</t>
  </si>
  <si>
    <t xml:space="preserve">PPD New Projects_x000D_
</t>
  </si>
  <si>
    <t>Accrued Staff  Party</t>
  </si>
  <si>
    <t>Manabi Al-Imdad Trading Company</t>
  </si>
  <si>
    <t>Light Mark Commercial Services</t>
  </si>
  <si>
    <t>National Water Company</t>
  </si>
  <si>
    <t>Tel Alyaquot Est. Unifrom</t>
  </si>
  <si>
    <t>Think Vision - Fiker O Royaa</t>
  </si>
  <si>
    <t>Wijdan Saleh Ajaj Al-Juhani Est</t>
  </si>
  <si>
    <t>C00105</t>
  </si>
  <si>
    <t>Al-Ikhlas Al-Asfar</t>
  </si>
  <si>
    <t>C00106</t>
  </si>
  <si>
    <t>Suqia Alanhar  Co</t>
  </si>
  <si>
    <t>C00107</t>
  </si>
  <si>
    <t>C00108</t>
  </si>
  <si>
    <t>Expedia Travelscape, LLC</t>
  </si>
  <si>
    <t>C00109</t>
  </si>
  <si>
    <t>Schindler Olayan Elevaltor Co. Ltd</t>
  </si>
  <si>
    <t>C00110</t>
  </si>
  <si>
    <t>I-Motion Group</t>
  </si>
  <si>
    <t>C00111</t>
  </si>
  <si>
    <t>Bupa Arabia for Cooperative Insurance</t>
  </si>
  <si>
    <t>C00112</t>
  </si>
  <si>
    <t>TAQADUM INTERGRATED EST</t>
  </si>
  <si>
    <t>C00113</t>
  </si>
  <si>
    <t>SYSTEMATIC CONTRACTING COMPANY</t>
  </si>
  <si>
    <t>C00114</t>
  </si>
  <si>
    <t>Net Terminals for Communications and Information T</t>
  </si>
  <si>
    <t>C00115</t>
  </si>
  <si>
    <t>Basatin Co</t>
  </si>
  <si>
    <t>C00116</t>
  </si>
  <si>
    <t>Almahmiya Altabieya Company For Trading Sharikat</t>
  </si>
  <si>
    <t>C00117</t>
  </si>
  <si>
    <t>Al Manhal Water Factory Co. Ltd</t>
  </si>
  <si>
    <t>Ufuq Almustaqbal Almushriq Company To Operate Hote</t>
  </si>
  <si>
    <t>C00118</t>
  </si>
  <si>
    <t>Zain Telecommunications</t>
  </si>
  <si>
    <t>C00119</t>
  </si>
  <si>
    <t>Bahamdoon Trading Co</t>
  </si>
  <si>
    <t>C00120</t>
  </si>
  <si>
    <t>Nihmath Hospitality Company</t>
  </si>
  <si>
    <t>C00121</t>
  </si>
  <si>
    <t>Najm Al-Hasad Trading Est</t>
  </si>
  <si>
    <t>1</t>
  </si>
  <si>
    <t>10010</t>
  </si>
  <si>
    <t>10030</t>
  </si>
  <si>
    <t>10040</t>
  </si>
  <si>
    <t>10050</t>
  </si>
  <si>
    <t>10060</t>
  </si>
  <si>
    <t>10070</t>
  </si>
  <si>
    <t>10080</t>
  </si>
  <si>
    <t>10100</t>
  </si>
  <si>
    <t>10600</t>
  </si>
  <si>
    <t>10700</t>
  </si>
  <si>
    <t>10800</t>
  </si>
  <si>
    <t>11000</t>
  </si>
  <si>
    <t>11100</t>
  </si>
  <si>
    <t>11200</t>
  </si>
  <si>
    <t>11300</t>
  </si>
  <si>
    <t>11400</t>
  </si>
  <si>
    <t>12300</t>
  </si>
  <si>
    <t>12400</t>
  </si>
  <si>
    <t>13100</t>
  </si>
  <si>
    <t>13110</t>
  </si>
  <si>
    <t>13120</t>
  </si>
  <si>
    <t>13130</t>
  </si>
  <si>
    <t>13140</t>
  </si>
  <si>
    <t>13150</t>
  </si>
  <si>
    <t>13160</t>
  </si>
  <si>
    <t>14110</t>
  </si>
  <si>
    <t>14130</t>
  </si>
  <si>
    <t>14180</t>
  </si>
  <si>
    <t>14190</t>
  </si>
  <si>
    <t>14200</t>
  </si>
  <si>
    <t>14300</t>
  </si>
  <si>
    <t>14310</t>
  </si>
  <si>
    <t>14320</t>
  </si>
  <si>
    <t>14330</t>
  </si>
  <si>
    <t>14340</t>
  </si>
  <si>
    <t>14350</t>
  </si>
  <si>
    <t>14360</t>
  </si>
  <si>
    <t>14370</t>
  </si>
  <si>
    <t>14380</t>
  </si>
  <si>
    <t>14500</t>
  </si>
  <si>
    <t>15200</t>
  </si>
  <si>
    <t>15210</t>
  </si>
  <si>
    <t>15220</t>
  </si>
  <si>
    <t>15230</t>
  </si>
  <si>
    <t>15240</t>
  </si>
  <si>
    <t>15250</t>
  </si>
  <si>
    <t>15260</t>
  </si>
  <si>
    <t>16000</t>
  </si>
  <si>
    <t>16010</t>
  </si>
  <si>
    <t>16020</t>
  </si>
  <si>
    <t>17000</t>
  </si>
  <si>
    <t>17010</t>
  </si>
  <si>
    <t>17020</t>
  </si>
  <si>
    <t>17030</t>
  </si>
  <si>
    <t>17040</t>
  </si>
  <si>
    <t>17050</t>
  </si>
  <si>
    <t>17060</t>
  </si>
  <si>
    <t>17070</t>
  </si>
  <si>
    <t>17080</t>
  </si>
  <si>
    <t>17090</t>
  </si>
  <si>
    <t>17100</t>
  </si>
  <si>
    <t>17101</t>
  </si>
  <si>
    <t>17102</t>
  </si>
  <si>
    <t>17110</t>
  </si>
  <si>
    <t>17111</t>
  </si>
  <si>
    <t>17112</t>
  </si>
  <si>
    <t>17700</t>
  </si>
  <si>
    <t>17710</t>
  </si>
  <si>
    <t>17720</t>
  </si>
  <si>
    <t>17730</t>
  </si>
  <si>
    <t>17740</t>
  </si>
  <si>
    <t>17750</t>
  </si>
  <si>
    <t>17760</t>
  </si>
  <si>
    <t>17770</t>
  </si>
  <si>
    <t>18100</t>
  </si>
  <si>
    <t>18101</t>
  </si>
  <si>
    <t>18102</t>
  </si>
  <si>
    <t>18103</t>
  </si>
  <si>
    <t>18104</t>
  </si>
  <si>
    <t>18105</t>
  </si>
  <si>
    <t>18106</t>
  </si>
  <si>
    <t>18107</t>
  </si>
  <si>
    <t>18201</t>
  </si>
  <si>
    <t>18202</t>
  </si>
  <si>
    <t>18203</t>
  </si>
  <si>
    <t>18204</t>
  </si>
  <si>
    <t>18205</t>
  </si>
  <si>
    <t>18206</t>
  </si>
  <si>
    <t>18207</t>
  </si>
  <si>
    <t>18301</t>
  </si>
  <si>
    <t>18302</t>
  </si>
  <si>
    <t>18303</t>
  </si>
  <si>
    <t>18304</t>
  </si>
  <si>
    <t>18305</t>
  </si>
  <si>
    <t>18306</t>
  </si>
  <si>
    <t>18307</t>
  </si>
  <si>
    <t>18308</t>
  </si>
  <si>
    <t>18309</t>
  </si>
  <si>
    <t>18310</t>
  </si>
  <si>
    <t>18311</t>
  </si>
  <si>
    <t>18312</t>
  </si>
  <si>
    <t>18313</t>
  </si>
  <si>
    <t>18314</t>
  </si>
  <si>
    <t>18315</t>
  </si>
  <si>
    <t>18316</t>
  </si>
  <si>
    <t>18500</t>
  </si>
  <si>
    <t>19000</t>
  </si>
  <si>
    <t>19200</t>
  </si>
  <si>
    <t>19300</t>
  </si>
  <si>
    <t>19400</t>
  </si>
  <si>
    <t>19500</t>
  </si>
  <si>
    <t>21200</t>
  </si>
  <si>
    <t>22340</t>
  </si>
  <si>
    <t>22350</t>
  </si>
  <si>
    <t>22360</t>
  </si>
  <si>
    <t>22370</t>
  </si>
  <si>
    <t>22670</t>
  </si>
  <si>
    <t>22680</t>
  </si>
  <si>
    <t>25200</t>
  </si>
  <si>
    <t>25210</t>
  </si>
  <si>
    <t>25220</t>
  </si>
  <si>
    <t>25400</t>
  </si>
  <si>
    <t>25500</t>
  </si>
  <si>
    <t>29103</t>
  </si>
  <si>
    <t>29104</t>
  </si>
  <si>
    <t>29105</t>
  </si>
  <si>
    <t>29106</t>
  </si>
  <si>
    <t>29107</t>
  </si>
  <si>
    <t>30000</t>
  </si>
  <si>
    <t>30099</t>
  </si>
  <si>
    <t>30199</t>
  </si>
  <si>
    <t>30200</t>
  </si>
  <si>
    <t>30299</t>
  </si>
  <si>
    <t>30400</t>
  </si>
  <si>
    <t>30410</t>
  </si>
  <si>
    <t>30420</t>
  </si>
  <si>
    <t>30430</t>
  </si>
  <si>
    <t>30440</t>
  </si>
  <si>
    <t>30499</t>
  </si>
  <si>
    <t>30500</t>
  </si>
  <si>
    <t>30501</t>
  </si>
  <si>
    <t>30502</t>
  </si>
  <si>
    <t>30503</t>
  </si>
  <si>
    <t>30520</t>
  </si>
  <si>
    <t>30521</t>
  </si>
  <si>
    <t>30522</t>
  </si>
  <si>
    <t>30523</t>
  </si>
  <si>
    <t>30524</t>
  </si>
  <si>
    <t>30550</t>
  </si>
  <si>
    <t>30551</t>
  </si>
  <si>
    <t>30552</t>
  </si>
  <si>
    <t>30553</t>
  </si>
  <si>
    <t>30554</t>
  </si>
  <si>
    <t>30599</t>
  </si>
  <si>
    <t>31000</t>
  </si>
  <si>
    <t>31001</t>
  </si>
  <si>
    <t>31002</t>
  </si>
  <si>
    <t>31003</t>
  </si>
  <si>
    <t>31004</t>
  </si>
  <si>
    <t>31005</t>
  </si>
  <si>
    <t>31006</t>
  </si>
  <si>
    <t>31201</t>
  </si>
  <si>
    <t>31202</t>
  </si>
  <si>
    <t>31203</t>
  </si>
  <si>
    <t>31204</t>
  </si>
  <si>
    <t>31205</t>
  </si>
  <si>
    <t>31206</t>
  </si>
  <si>
    <t>31301</t>
  </si>
  <si>
    <t>31399</t>
  </si>
  <si>
    <t>32000</t>
  </si>
  <si>
    <t>32001</t>
  </si>
  <si>
    <t>32002</t>
  </si>
  <si>
    <t>32003</t>
  </si>
  <si>
    <t>32099</t>
  </si>
  <si>
    <t>33000</t>
  </si>
  <si>
    <t>33100</t>
  </si>
  <si>
    <t>33200</t>
  </si>
  <si>
    <t>33299</t>
  </si>
  <si>
    <t>33300</t>
  </si>
  <si>
    <t>33310</t>
  </si>
  <si>
    <t>33320</t>
  </si>
  <si>
    <t>33399</t>
  </si>
  <si>
    <t>34000</t>
  </si>
  <si>
    <t>34050</t>
  </si>
  <si>
    <t>34100</t>
  </si>
  <si>
    <t>34150</t>
  </si>
  <si>
    <t>34200</t>
  </si>
  <si>
    <t>34250</t>
  </si>
  <si>
    <t>34300</t>
  </si>
  <si>
    <t>34350</t>
  </si>
  <si>
    <t>34400</t>
  </si>
  <si>
    <t>34450</t>
  </si>
  <si>
    <t>34500</t>
  </si>
  <si>
    <t>34599</t>
  </si>
  <si>
    <t>35000</t>
  </si>
  <si>
    <t>36000</t>
  </si>
  <si>
    <t>36001</t>
  </si>
  <si>
    <t>36002</t>
  </si>
  <si>
    <t>36003</t>
  </si>
  <si>
    <t>36004</t>
  </si>
  <si>
    <t>36005</t>
  </si>
  <si>
    <t>36006</t>
  </si>
  <si>
    <t>36007</t>
  </si>
  <si>
    <t>36008</t>
  </si>
  <si>
    <t>36009</t>
  </si>
  <si>
    <t>36011</t>
  </si>
  <si>
    <t>36012</t>
  </si>
  <si>
    <t>36013</t>
  </si>
  <si>
    <t>36014</t>
  </si>
  <si>
    <t>36101</t>
  </si>
  <si>
    <t>36102</t>
  </si>
  <si>
    <t>36103</t>
  </si>
  <si>
    <t>36104</t>
  </si>
  <si>
    <t>36105</t>
  </si>
  <si>
    <t>36106</t>
  </si>
  <si>
    <t>36107</t>
  </si>
  <si>
    <t>38001</t>
  </si>
  <si>
    <t>38500</t>
  </si>
  <si>
    <t>40001</t>
  </si>
  <si>
    <t>40002</t>
  </si>
  <si>
    <t>40102</t>
  </si>
  <si>
    <t>40103</t>
  </si>
  <si>
    <t>40400</t>
  </si>
  <si>
    <t>41150</t>
  </si>
  <si>
    <t>41200</t>
  </si>
  <si>
    <t>41205</t>
  </si>
  <si>
    <t>41399</t>
  </si>
  <si>
    <t>41400</t>
  </si>
  <si>
    <t>41450</t>
  </si>
  <si>
    <t>43010</t>
  </si>
  <si>
    <t>43020</t>
  </si>
  <si>
    <t>43030</t>
  </si>
  <si>
    <t>43210</t>
  </si>
  <si>
    <t>43211</t>
  </si>
  <si>
    <t>45100</t>
  </si>
  <si>
    <t>45200</t>
  </si>
  <si>
    <t>45300</t>
  </si>
  <si>
    <t>45400</t>
  </si>
  <si>
    <t>45500</t>
  </si>
  <si>
    <t>45600</t>
  </si>
  <si>
    <t>45700</t>
  </si>
  <si>
    <t>50350</t>
  </si>
  <si>
    <t>50400</t>
  </si>
  <si>
    <t>50500</t>
  </si>
  <si>
    <t>50600</t>
  </si>
  <si>
    <t>50610</t>
  </si>
  <si>
    <t>50620</t>
  </si>
  <si>
    <t>50630</t>
  </si>
  <si>
    <t>50640</t>
  </si>
  <si>
    <t>50700</t>
  </si>
  <si>
    <t>50710</t>
  </si>
  <si>
    <t>51301</t>
  </si>
  <si>
    <t>52010</t>
  </si>
  <si>
    <t>52020</t>
  </si>
  <si>
    <t>52100</t>
  </si>
  <si>
    <t>52101</t>
  </si>
  <si>
    <t>52102</t>
  </si>
  <si>
    <t>52103</t>
  </si>
  <si>
    <t>52104</t>
  </si>
  <si>
    <t>52105</t>
  </si>
  <si>
    <t>52106</t>
  </si>
  <si>
    <t>52107</t>
  </si>
  <si>
    <t>52200</t>
  </si>
  <si>
    <t>52201</t>
  </si>
  <si>
    <t>52300</t>
  </si>
  <si>
    <t>52301</t>
  </si>
  <si>
    <t>52400</t>
  </si>
  <si>
    <t>52401</t>
  </si>
  <si>
    <t>52500</t>
  </si>
  <si>
    <t>52501</t>
  </si>
  <si>
    <t>52502</t>
  </si>
  <si>
    <t>52503</t>
  </si>
  <si>
    <t>52504</t>
  </si>
  <si>
    <t>52505</t>
  </si>
  <si>
    <t>52510</t>
  </si>
  <si>
    <t>52520</t>
  </si>
  <si>
    <t>55100</t>
  </si>
  <si>
    <t>60105</t>
  </si>
  <si>
    <t>60110</t>
  </si>
  <si>
    <t>60115</t>
  </si>
  <si>
    <t>60120</t>
  </si>
  <si>
    <t>60125</t>
  </si>
  <si>
    <t>60130</t>
  </si>
  <si>
    <t>60135</t>
  </si>
  <si>
    <t>60140</t>
  </si>
  <si>
    <t>60145</t>
  </si>
  <si>
    <t>60150</t>
  </si>
  <si>
    <t>60155</t>
  </si>
  <si>
    <t>60160</t>
  </si>
  <si>
    <t>60165</t>
  </si>
  <si>
    <t>60170</t>
  </si>
  <si>
    <t>60175</t>
  </si>
  <si>
    <t>60180</t>
  </si>
  <si>
    <t>60185</t>
  </si>
  <si>
    <t>60190</t>
  </si>
  <si>
    <t>60195</t>
  </si>
  <si>
    <t>60205</t>
  </si>
  <si>
    <t>60215</t>
  </si>
  <si>
    <t>60220</t>
  </si>
  <si>
    <t>60225</t>
  </si>
  <si>
    <t>60230</t>
  </si>
  <si>
    <t>60235</t>
  </si>
  <si>
    <t>60240</t>
  </si>
  <si>
    <t>60245</t>
  </si>
  <si>
    <t>60250</t>
  </si>
  <si>
    <t>60255</t>
  </si>
  <si>
    <t>60260</t>
  </si>
  <si>
    <t>60265</t>
  </si>
  <si>
    <t>60270</t>
  </si>
  <si>
    <t>60275</t>
  </si>
  <si>
    <t>60280</t>
  </si>
  <si>
    <t>60285</t>
  </si>
  <si>
    <t>60290</t>
  </si>
  <si>
    <t>60295</t>
  </si>
  <si>
    <t>60305</t>
  </si>
  <si>
    <t>60310</t>
  </si>
  <si>
    <t>60315</t>
  </si>
  <si>
    <t>60320</t>
  </si>
  <si>
    <t>60325</t>
  </si>
  <si>
    <t>60330</t>
  </si>
  <si>
    <t>60335</t>
  </si>
  <si>
    <t>60340</t>
  </si>
  <si>
    <t>60345</t>
  </si>
  <si>
    <t>60350</t>
  </si>
  <si>
    <t>60355</t>
  </si>
  <si>
    <t>60360</t>
  </si>
  <si>
    <t>60365</t>
  </si>
  <si>
    <t>60370</t>
  </si>
  <si>
    <t>60375</t>
  </si>
  <si>
    <t>60380</t>
  </si>
  <si>
    <t>60385</t>
  </si>
  <si>
    <t>60390</t>
  </si>
  <si>
    <t>60395</t>
  </si>
  <si>
    <t>60405</t>
  </si>
  <si>
    <t>60415</t>
  </si>
  <si>
    <t>60420</t>
  </si>
  <si>
    <t>60425</t>
  </si>
  <si>
    <t>60430</t>
  </si>
  <si>
    <t>60435</t>
  </si>
  <si>
    <t>60440</t>
  </si>
  <si>
    <t>60445</t>
  </si>
  <si>
    <t>60455</t>
  </si>
  <si>
    <t>60460</t>
  </si>
  <si>
    <t>60465</t>
  </si>
  <si>
    <t>60470</t>
  </si>
  <si>
    <t>60475</t>
  </si>
  <si>
    <t>60480</t>
  </si>
  <si>
    <t>60485</t>
  </si>
  <si>
    <t>60490</t>
  </si>
  <si>
    <t>60495</t>
  </si>
  <si>
    <t>60505</t>
  </si>
  <si>
    <t>60510</t>
  </si>
  <si>
    <t>60515</t>
  </si>
  <si>
    <t>60520</t>
  </si>
  <si>
    <t>60525</t>
  </si>
  <si>
    <t>60530</t>
  </si>
  <si>
    <t>60535</t>
  </si>
  <si>
    <t>60540</t>
  </si>
  <si>
    <t>60545</t>
  </si>
  <si>
    <t>60550</t>
  </si>
  <si>
    <t>60555</t>
  </si>
  <si>
    <t>60560</t>
  </si>
  <si>
    <t>60565</t>
  </si>
  <si>
    <t>60570</t>
  </si>
  <si>
    <t>60575</t>
  </si>
  <si>
    <t>60580</t>
  </si>
  <si>
    <t>60585</t>
  </si>
  <si>
    <t>60590</t>
  </si>
  <si>
    <t>60595</t>
  </si>
  <si>
    <t>60605</t>
  </si>
  <si>
    <t>60610</t>
  </si>
  <si>
    <t>60615</t>
  </si>
  <si>
    <t>60620</t>
  </si>
  <si>
    <t>60625</t>
  </si>
  <si>
    <t>60630</t>
  </si>
  <si>
    <t>60635</t>
  </si>
  <si>
    <t>60640</t>
  </si>
  <si>
    <t>60645</t>
  </si>
  <si>
    <t>60650</t>
  </si>
  <si>
    <t>60655</t>
  </si>
  <si>
    <t>60660</t>
  </si>
  <si>
    <t>60665</t>
  </si>
  <si>
    <t>60670</t>
  </si>
  <si>
    <t>60675</t>
  </si>
  <si>
    <t>60680</t>
  </si>
  <si>
    <t>60685</t>
  </si>
  <si>
    <t>60690</t>
  </si>
  <si>
    <t>60695</t>
  </si>
  <si>
    <t>60705</t>
  </si>
  <si>
    <t>60715</t>
  </si>
  <si>
    <t>60725</t>
  </si>
  <si>
    <t>60735</t>
  </si>
  <si>
    <t>75000</t>
  </si>
  <si>
    <t>75100</t>
  </si>
  <si>
    <t>75200</t>
  </si>
  <si>
    <t>75400</t>
  </si>
  <si>
    <t>80100</t>
  </si>
  <si>
    <t>80200</t>
  </si>
  <si>
    <t>80300</t>
  </si>
  <si>
    <t>81100</t>
  </si>
  <si>
    <t>81200</t>
  </si>
  <si>
    <t>82100</t>
  </si>
  <si>
    <t>82200</t>
  </si>
  <si>
    <t>82300</t>
  </si>
  <si>
    <t>82400</t>
  </si>
  <si>
    <t>83100</t>
  </si>
  <si>
    <t>83200</t>
  </si>
  <si>
    <t>83300</t>
  </si>
  <si>
    <t>84100</t>
  </si>
  <si>
    <t>84200</t>
  </si>
  <si>
    <t>84300</t>
  </si>
  <si>
    <t>84400</t>
  </si>
  <si>
    <t>85000</t>
  </si>
  <si>
    <t>90000</t>
  </si>
  <si>
    <t>90010</t>
  </si>
  <si>
    <t>90020</t>
  </si>
  <si>
    <t>90030</t>
  </si>
  <si>
    <t>90040</t>
  </si>
  <si>
    <t>90050</t>
  </si>
  <si>
    <t>90060</t>
  </si>
  <si>
    <t>90070</t>
  </si>
  <si>
    <t>90080</t>
  </si>
  <si>
    <t>90090</t>
  </si>
  <si>
    <t>90100</t>
  </si>
  <si>
    <t>90110</t>
  </si>
  <si>
    <t>91010</t>
  </si>
  <si>
    <t>91020</t>
  </si>
  <si>
    <t>91030</t>
  </si>
  <si>
    <t>91040</t>
  </si>
  <si>
    <t>91050</t>
  </si>
  <si>
    <t>91060</t>
  </si>
  <si>
    <t>91070</t>
  </si>
  <si>
    <t>91080</t>
  </si>
  <si>
    <t>91090</t>
  </si>
  <si>
    <t>91100</t>
  </si>
  <si>
    <t>91110</t>
  </si>
  <si>
    <t>91120</t>
  </si>
  <si>
    <t>91130</t>
  </si>
  <si>
    <t>91140</t>
  </si>
  <si>
    <t>91150</t>
  </si>
  <si>
    <t>91160</t>
  </si>
  <si>
    <t>91170</t>
  </si>
  <si>
    <t>91180</t>
  </si>
  <si>
    <t>91190</t>
  </si>
  <si>
    <t>91200</t>
  </si>
  <si>
    <t>91210</t>
  </si>
  <si>
    <t>91220</t>
  </si>
  <si>
    <t>92010</t>
  </si>
  <si>
    <t>92020</t>
  </si>
  <si>
    <t>92030</t>
  </si>
  <si>
    <t>92040</t>
  </si>
  <si>
    <t>92050</t>
  </si>
  <si>
    <t>92060</t>
  </si>
  <si>
    <t>92070</t>
  </si>
  <si>
    <t>92080</t>
  </si>
  <si>
    <t>92090</t>
  </si>
  <si>
    <t>93010</t>
  </si>
  <si>
    <t>94010</t>
  </si>
  <si>
    <t>95010</t>
  </si>
  <si>
    <t>95020</t>
  </si>
  <si>
    <t>95030</t>
  </si>
  <si>
    <t>95040</t>
  </si>
  <si>
    <t>95050</t>
  </si>
  <si>
    <t>95060</t>
  </si>
  <si>
    <t>95070</t>
  </si>
  <si>
    <t>95080</t>
  </si>
  <si>
    <t>95090</t>
  </si>
  <si>
    <t>95100</t>
  </si>
  <si>
    <t>95110</t>
  </si>
  <si>
    <t>95120</t>
  </si>
  <si>
    <t>95130</t>
  </si>
  <si>
    <t>95140</t>
  </si>
  <si>
    <t>95150</t>
  </si>
  <si>
    <t>95160</t>
  </si>
  <si>
    <t>95170</t>
  </si>
  <si>
    <t>95180</t>
  </si>
  <si>
    <t>95190</t>
  </si>
  <si>
    <t>95200</t>
  </si>
  <si>
    <t>95210</t>
  </si>
  <si>
    <t>95220</t>
  </si>
  <si>
    <t>96010</t>
  </si>
  <si>
    <t>96020</t>
  </si>
  <si>
    <t>96030</t>
  </si>
  <si>
    <t>96040</t>
  </si>
  <si>
    <t>96050</t>
  </si>
  <si>
    <t>96060</t>
  </si>
  <si>
    <t>96070</t>
  </si>
  <si>
    <t>96080</t>
  </si>
  <si>
    <t>96090</t>
  </si>
  <si>
    <t>96100</t>
  </si>
  <si>
    <t>96110</t>
  </si>
  <si>
    <t>96120</t>
  </si>
  <si>
    <t>96130</t>
  </si>
  <si>
    <t>97010</t>
  </si>
  <si>
    <t>97020</t>
  </si>
  <si>
    <t>97030</t>
  </si>
  <si>
    <t>97040</t>
  </si>
  <si>
    <t>98000</t>
  </si>
  <si>
    <t>99000</t>
  </si>
  <si>
    <t>99999</t>
  </si>
  <si>
    <t xml:space="preserve">Analysis Code 2 Revenue </t>
  </si>
  <si>
    <t xml:space="preserve">Analysis Code 2 HR Only </t>
  </si>
  <si>
    <t xml:space="preserve">Analysis Code 1 All Dept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</si>
</sst>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€&quot;* #,##0.00_-;\-&quot;€&quot;* #,##0.00_-;_-&quot;€&quot;* &quot;-&quot;??_-;_-@_-"/>
  </numFmts>
  <fonts count="16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4"/>
      <name val="Terminal"/>
      <family val="3"/>
      <charset val="255"/>
    </font>
    <font>
      <sz val="10"/>
      <name val="Tahoma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rgb="FF0000FF"/>
      <name val="Arial"/>
      <family val="2"/>
    </font>
    <font>
      <b/>
      <sz val="10"/>
      <name val="Arial"/>
      <family val="2"/>
    </font>
    <font>
      <b/>
      <sz val="10"/>
      <color rgb="FF0000FF"/>
      <name val="Cambria"/>
      <family val="1"/>
      <scheme val="major"/>
    </font>
    <font>
      <b/>
      <sz val="11"/>
      <color rgb="FF0000FF"/>
      <name val="Times New Roman"/>
      <family val="1"/>
    </font>
    <font>
      <b/>
      <sz val="12"/>
      <color rgb="FF0000FF"/>
      <name val="Times New Roman"/>
      <family val="1"/>
    </font>
    <font>
      <b/>
      <sz val="10"/>
      <color rgb="FF0000FF"/>
      <name val="Arial"/>
      <family val="2"/>
    </font>
    <font>
      <b/>
      <sz val="18"/>
      <color rgb="FF0000FF"/>
      <name val="Times New Roman"/>
      <family val="1"/>
    </font>
    <font>
      <b/>
      <sz val="11"/>
      <color theme="1"/>
      <name val="Calibri"/>
      <family val="2"/>
      <scheme val="minor"/>
    </font>
    <font>
      <i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3" fillId="0" borderId="0"/>
    <xf numFmtId="0" fontId="4" fillId="0" borderId="0"/>
    <xf numFmtId="0" fontId="1" fillId="0" borderId="0"/>
    <xf numFmtId="164" fontId="5" fillId="0" borderId="0" applyFont="0" applyFill="0" applyBorder="0" applyAlignment="0" applyProtection="0"/>
  </cellStyleXfs>
  <cellXfs count="66">
    <xf numFmtId="0" fontId="0" fillId="0" borderId="0" xfId="0"/>
    <xf numFmtId="0" fontId="0" fillId="0" borderId="0" xfId="0" applyAlignment="1">
      <alignment wrapText="1"/>
    </xf>
    <xf numFmtId="0" fontId="0" fillId="0" borderId="2" xfId="0" applyBorder="1"/>
    <xf numFmtId="0" fontId="1" fillId="0" borderId="9" xfId="2" applyFont="1" applyBorder="1"/>
    <xf numFmtId="0" fontId="1" fillId="2" borderId="9" xfId="2" applyFont="1" applyFill="1" applyBorder="1"/>
    <xf numFmtId="0" fontId="1" fillId="0" borderId="10" xfId="2" applyFont="1" applyBorder="1"/>
    <xf numFmtId="0" fontId="1" fillId="2" borderId="10" xfId="2" applyFont="1" applyFill="1" applyBorder="1"/>
    <xf numFmtId="0" fontId="6" fillId="0" borderId="3" xfId="0" applyFont="1" applyBorder="1" applyAlignment="1">
      <alignment horizontal="center"/>
    </xf>
    <xf numFmtId="0" fontId="1" fillId="3" borderId="0" xfId="2" applyFont="1" applyFill="1"/>
    <xf numFmtId="0" fontId="7" fillId="3" borderId="0" xfId="2" applyFont="1" applyFill="1"/>
    <xf numFmtId="0" fontId="8" fillId="0" borderId="3" xfId="0" applyFont="1" applyBorder="1" applyAlignment="1">
      <alignment horizontal="center"/>
    </xf>
    <xf numFmtId="0" fontId="1" fillId="0" borderId="0" xfId="0" applyFont="1"/>
    <xf numFmtId="0" fontId="10" fillId="2" borderId="0" xfId="2" applyFont="1" applyFill="1" applyAlignment="1">
      <alignment horizontal="center" wrapText="1"/>
    </xf>
    <xf numFmtId="0" fontId="11" fillId="2" borderId="0" xfId="2" applyFont="1" applyFill="1"/>
    <xf numFmtId="0" fontId="11" fillId="2" borderId="10" xfId="2" applyFont="1" applyFill="1" applyBorder="1"/>
    <xf numFmtId="0" fontId="10" fillId="0" borderId="5" xfId="2" applyFont="1" applyBorder="1" applyAlignment="1">
      <alignment horizontal="center" vertical="center" textRotation="90" wrapText="1"/>
    </xf>
    <xf numFmtId="0" fontId="10" fillId="0" borderId="0" xfId="2" applyFont="1" applyAlignment="1">
      <alignment horizontal="center" wrapText="1"/>
    </xf>
    <xf numFmtId="0" fontId="11" fillId="0" borderId="0" xfId="2" applyFont="1"/>
    <xf numFmtId="0" fontId="12" fillId="0" borderId="0" xfId="0" applyFont="1"/>
    <xf numFmtId="0" fontId="10" fillId="0" borderId="1" xfId="2" applyFont="1" applyBorder="1" applyAlignment="1">
      <alignment horizontal="center" vertical="top" textRotation="90" wrapText="1"/>
    </xf>
    <xf numFmtId="0" fontId="11" fillId="0" borderId="0" xfId="2" applyFont="1" applyAlignment="1">
      <alignment vertical="center"/>
    </xf>
    <xf numFmtId="0" fontId="11" fillId="0" borderId="4" xfId="2" applyFont="1" applyBorder="1" applyAlignment="1">
      <alignment vertical="center"/>
    </xf>
    <xf numFmtId="0" fontId="11" fillId="0" borderId="0" xfId="2" applyFont="1" applyAlignment="1">
      <alignment horizontal="center" vertical="top"/>
    </xf>
    <xf numFmtId="0" fontId="11" fillId="0" borderId="7" xfId="2" applyFont="1" applyBorder="1" applyAlignment="1">
      <alignment horizontal="center" vertical="top" textRotation="90"/>
    </xf>
    <xf numFmtId="0" fontId="12" fillId="0" borderId="0" xfId="2" applyFont="1"/>
    <xf numFmtId="0" fontId="12" fillId="0" borderId="9" xfId="2" applyFont="1" applyBorder="1"/>
    <xf numFmtId="0" fontId="12" fillId="0" borderId="10" xfId="2" applyFont="1" applyBorder="1"/>
    <xf numFmtId="0" fontId="12" fillId="2" borderId="9" xfId="2" applyFont="1" applyFill="1" applyBorder="1"/>
    <xf numFmtId="0" fontId="12" fillId="2" borderId="0" xfId="2" applyFont="1" applyFill="1"/>
    <xf numFmtId="0" fontId="12" fillId="2" borderId="10" xfId="2" applyFont="1" applyFill="1" applyBorder="1"/>
    <xf numFmtId="0" fontId="11" fillId="2" borderId="9" xfId="2" applyFont="1" applyFill="1" applyBorder="1"/>
    <xf numFmtId="0" fontId="11" fillId="0" borderId="2" xfId="2" applyFont="1" applyBorder="1"/>
    <xf numFmtId="0" fontId="12" fillId="2" borderId="10" xfId="0" applyFont="1" applyFill="1" applyBorder="1"/>
    <xf numFmtId="0" fontId="12" fillId="2" borderId="9" xfId="0" applyFont="1" applyFill="1" applyBorder="1"/>
    <xf numFmtId="0" fontId="12" fillId="0" borderId="10" xfId="0" applyFont="1" applyBorder="1"/>
    <xf numFmtId="0" fontId="12" fillId="0" borderId="9" xfId="0" applyFont="1" applyBorder="1"/>
    <xf numFmtId="0" fontId="10" fillId="0" borderId="6" xfId="2" applyFont="1" applyBorder="1" applyAlignment="1">
      <alignment horizontal="center" vertical="center" textRotation="90" wrapText="1"/>
    </xf>
    <xf numFmtId="0" fontId="10" fillId="0" borderId="8" xfId="2" applyFont="1" applyBorder="1" applyAlignment="1">
      <alignment horizontal="center" vertical="top" textRotation="90" wrapText="1"/>
    </xf>
    <xf numFmtId="0" fontId="11" fillId="0" borderId="10" xfId="2" applyFont="1" applyBorder="1"/>
    <xf numFmtId="0" fontId="11" fillId="0" borderId="11" xfId="2" applyFont="1" applyBorder="1"/>
    <xf numFmtId="0" fontId="9" fillId="0" borderId="1" xfId="0" applyFont="1" applyBorder="1" applyAlignment="1">
      <alignment vertical="top" textRotation="90"/>
    </xf>
    <xf numFmtId="49" fontId="9" fillId="0" borderId="5" xfId="0" quotePrefix="1" applyNumberFormat="1" applyFont="1" applyBorder="1" applyAlignment="1">
      <alignment vertical="center" textRotation="90"/>
    </xf>
    <xf numFmtId="0" fontId="11" fillId="2" borderId="0" xfId="2" applyFont="1" applyFill="1" applyAlignment="1">
      <alignment horizontal="center"/>
    </xf>
    <xf numFmtId="0" fontId="11" fillId="0" borderId="0" xfId="2" applyFont="1" applyAlignment="1">
      <alignment horizontal="center"/>
    </xf>
    <xf numFmtId="0" fontId="11" fillId="0" borderId="9" xfId="2" applyFont="1" applyBorder="1"/>
    <xf numFmtId="0" fontId="11" fillId="2" borderId="0" xfId="2" applyFont="1" applyFill="1" applyAlignment="1">
      <alignment horizontal="center" vertical="center"/>
    </xf>
    <xf numFmtId="0" fontId="11" fillId="0" borderId="0" xfId="2" applyFont="1" applyAlignment="1">
      <alignment horizontal="center" vertical="center"/>
    </xf>
    <xf numFmtId="0" fontId="10" fillId="2" borderId="0" xfId="2" applyFont="1" applyFill="1" applyAlignment="1">
      <alignment horizontal="center" vertical="center" wrapText="1"/>
    </xf>
    <xf numFmtId="0" fontId="13" fillId="0" borderId="13" xfId="2" applyFont="1" applyBorder="1" applyAlignment="1">
      <alignment horizontal="center" vertical="center"/>
    </xf>
    <xf numFmtId="0" fontId="13" fillId="0" borderId="14" xfId="2" applyFont="1" applyBorder="1" applyAlignment="1">
      <alignment horizontal="center" vertical="center"/>
    </xf>
    <xf numFmtId="49" fontId="0" fillId="0" borderId="0" xfId="0" applyNumberFormat="1"/>
    <xf numFmtId="49" fontId="0" fillId="0" borderId="2" xfId="0" applyNumberFormat="1" applyBorder="1"/>
    <xf numFmtId="0" fontId="14" fillId="0" borderId="3" xfId="0" applyFont="1" applyBorder="1" applyAlignment="1">
      <alignment horizontal="center"/>
    </xf>
    <xf numFmtId="0" fontId="0" fillId="4" borderId="0" xfId="0" applyFill="1"/>
    <xf numFmtId="49" fontId="0" fillId="4" borderId="0" xfId="0" applyNumberFormat="1" applyFill="1"/>
    <xf numFmtId="49" fontId="0" fillId="0" borderId="0" xfId="0" applyNumberFormat="1" applyAlignment="1">
      <alignment horizontal="center"/>
    </xf>
    <xf numFmtId="0" fontId="12" fillId="2" borderId="2" xfId="2" applyFont="1" applyFill="1" applyBorder="1"/>
    <xf numFmtId="0" fontId="10" fillId="2" borderId="2" xfId="2" applyFont="1" applyFill="1" applyBorder="1" applyAlignment="1">
      <alignment horizontal="center" wrapText="1"/>
    </xf>
    <xf numFmtId="0" fontId="11" fillId="2" borderId="2" xfId="2" applyFont="1" applyFill="1" applyBorder="1"/>
    <xf numFmtId="0" fontId="12" fillId="2" borderId="12" xfId="2" applyFont="1" applyFill="1" applyBorder="1" applyAlignment="1">
      <alignment horizontal="right"/>
    </xf>
    <xf numFmtId="49" fontId="1" fillId="4" borderId="0" xfId="0" applyNumberFormat="1" applyFont="1" applyFill="1"/>
    <xf numFmtId="0" fontId="15" fillId="0" borderId="3" xfId="0" applyFont="1" applyBorder="1" applyAlignment="1">
      <alignment horizontal="center"/>
    </xf>
    <xf numFmtId="49" fontId="0" fillId="0" borderId="0" xfId="0" applyNumberFormat="1" applyAlignment="1">
      <alignment wrapText="1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9" fontId="0" fillId="0" borderId="2" xfId="0" applyNumberFormat="1" applyBorder="1" applyAlignment="1">
      <alignment horizontal="left"/>
    </xf>
  </cellXfs>
  <cellStyles count="5">
    <cellStyle name="Euro" xfId="4" xr:uid="{00000000-0005-0000-0000-000000000000}"/>
    <cellStyle name="Normal" xfId="0" builtinId="0"/>
    <cellStyle name="Normal 2" xfId="2" xr:uid="{00000000-0005-0000-0000-000002000000}"/>
    <cellStyle name="Normal 3" xfId="3" xr:uid="{00000000-0005-0000-0000-000003000000}"/>
    <cellStyle name="標準_BS11" xfId="1" xr:uid="{00000000-0005-0000-0000-000004000000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8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E4E3D3"/>
      <rgbColor rgb="00ECE9D8"/>
      <rgbColor rgb="00ECE9D8"/>
      <rgbColor rgb="00FFFFFF"/>
      <rgbColor rgb="00F1EFE2"/>
      <rgbColor rgb="00000000"/>
      <rgbColor rgb="00ECE9D8"/>
      <rgbColor rgb="00AAAAAA"/>
      <rgbColor rgb="00A0A0A0"/>
      <rgbColor rgb="00E4E3D3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FF"/>
      <color rgb="FFFFFFCC"/>
      <color rgb="FF00FF00"/>
      <color rgb="FFFFCCFF"/>
      <color rgb="FF00FF99"/>
      <color rgb="FF00FFFF"/>
      <color rgb="FF000099"/>
      <color rgb="FF66FF99"/>
      <color rgb="FF00CC00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externalLink" Target="externalLinks/externalLink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Relationship Id="rId22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bl-users\Users\Accounts\MonthEnd\Pre%20Opening%20Accounts\0101\JV0101%20Pau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adomain\share%20acc\Acc_HR\Staff%20Chargeouts\recharge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zSU_Implementation\UAT\Parallel\N_Counterparty_Upload_QB_V3_MF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adomain\share%20acc\TEMP\Beverage%20Receiving%20Worksheet%20Apr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adomain\share%20acc\TEMP\Food%20Receiving%20Worksheet%20April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CC1/AppData/Roaming/Infor/Query%20and%20Analysis%2011/Query%20and%20Analysis/QAA.xla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Program%20Files%20(x86)/Infor/Query%20and%20Analysis/LsAgXLB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V List"/>
      <sheetName val="JV1-BENEFITS"/>
      <sheetName val="Pension"/>
      <sheetName val="Bupa PC"/>
      <sheetName val="JV2-SALARIES"/>
      <sheetName val="JV3- PETTY CASH"/>
      <sheetName val="Petty Cash Book"/>
      <sheetName val="JV5- BANK"/>
      <sheetName val="JV8-Foreign Invoice Reversals"/>
      <sheetName val="JV9-Foreign AP Accruals"/>
      <sheetName val="Foreign Accruals"/>
      <sheetName val="JV10 - AP Reversals"/>
      <sheetName val="JV10A- AP Accrual"/>
      <sheetName val="JV12-Accounts Receivable"/>
      <sheetName val="JV11 Stock"/>
      <sheetName val="JV13-Prepaids"/>
      <sheetName val="Headcount Check"/>
      <sheetName val="JV14, 18, 19, 20 - Corrections"/>
      <sheetName val="JV15-WEEK 1 SAL"/>
      <sheetName val="JV16-Week 1 Wages"/>
      <sheetName val="JV17-Taskforce"/>
      <sheetName val="JV 21 - Corrections"/>
      <sheetName val="COA"/>
      <sheetName val="JV11-Chargeouts"/>
      <sheetName val="Chargeouts"/>
      <sheetName val="JV14 - Corrections"/>
      <sheetName val="JV1-Week 1 BENEFI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>
        <row r="4">
          <cell r="D4" t="str">
            <v>COA</v>
          </cell>
          <cell r="E4" t="str">
            <v>Descripition</v>
          </cell>
        </row>
        <row r="6">
          <cell r="D6">
            <v>775100</v>
          </cell>
          <cell r="E6" t="str">
            <v>Admin. &amp; General - Basic Payroll</v>
          </cell>
        </row>
        <row r="7">
          <cell r="D7">
            <v>775700</v>
          </cell>
          <cell r="E7" t="str">
            <v>Rooms Division - Basic Payroll</v>
          </cell>
        </row>
        <row r="8">
          <cell r="D8">
            <v>775300</v>
          </cell>
          <cell r="E8" t="str">
            <v>Food &amp; Beverage - Basic Payroll</v>
          </cell>
        </row>
        <row r="9">
          <cell r="D9">
            <v>775400</v>
          </cell>
          <cell r="E9" t="str">
            <v xml:space="preserve">Advertising  &amp; Bus. Promotion - Basic Payroll  </v>
          </cell>
        </row>
        <row r="10">
          <cell r="D10">
            <v>775500</v>
          </cell>
          <cell r="E10" t="str">
            <v>Engineering - Basic Payroll</v>
          </cell>
        </row>
        <row r="11">
          <cell r="D11">
            <v>775105</v>
          </cell>
          <cell r="E11" t="str">
            <v>Admin. &amp; General - Benefits</v>
          </cell>
        </row>
        <row r="12">
          <cell r="D12">
            <v>775240</v>
          </cell>
          <cell r="E12" t="str">
            <v>Housing</v>
          </cell>
        </row>
        <row r="13">
          <cell r="D13">
            <v>775801</v>
          </cell>
          <cell r="E13" t="str">
            <v>Rooms Division - Benefits</v>
          </cell>
        </row>
        <row r="14">
          <cell r="D14">
            <v>775802</v>
          </cell>
          <cell r="E14" t="str">
            <v>Food &amp; Beverage - Benefits</v>
          </cell>
        </row>
        <row r="15">
          <cell r="D15">
            <v>775405</v>
          </cell>
          <cell r="E15" t="str">
            <v xml:space="preserve">Advertising  &amp; Bus. Promotion - Benefits  </v>
          </cell>
        </row>
        <row r="16">
          <cell r="D16">
            <v>775804</v>
          </cell>
          <cell r="E16" t="str">
            <v>Engineering - Benefits</v>
          </cell>
        </row>
        <row r="17">
          <cell r="D17">
            <v>775230</v>
          </cell>
          <cell r="E17" t="str">
            <v>Incentive Accrual</v>
          </cell>
        </row>
        <row r="19">
          <cell r="D19">
            <v>755110</v>
          </cell>
          <cell r="E19" t="str">
            <v>Legal &amp; Audit</v>
          </cell>
        </row>
        <row r="20">
          <cell r="D20">
            <v>755080</v>
          </cell>
          <cell r="E20" t="str">
            <v>Donations</v>
          </cell>
        </row>
        <row r="21">
          <cell r="D21">
            <v>755150</v>
          </cell>
          <cell r="E21" t="str">
            <v>Relocation</v>
          </cell>
        </row>
        <row r="22">
          <cell r="D22">
            <v>755160</v>
          </cell>
          <cell r="E22" t="str">
            <v xml:space="preserve">Office Rent &amp; Improvement </v>
          </cell>
        </row>
        <row r="23">
          <cell r="D23">
            <v>755180</v>
          </cell>
          <cell r="E23" t="str">
            <v>Office Supplies &amp; Equipment Rentals</v>
          </cell>
        </row>
        <row r="24">
          <cell r="D24">
            <v>755350</v>
          </cell>
          <cell r="E24" t="str">
            <v>Printing &amp; Stationary</v>
          </cell>
        </row>
        <row r="25">
          <cell r="D25">
            <v>755420</v>
          </cell>
          <cell r="E25" t="str">
            <v>Telephone/Postage/Courier</v>
          </cell>
        </row>
        <row r="26">
          <cell r="D26">
            <v>755480</v>
          </cell>
          <cell r="E26" t="str">
            <v>Travel &amp; Entertainment</v>
          </cell>
        </row>
        <row r="27">
          <cell r="D27">
            <v>755390</v>
          </cell>
          <cell r="E27" t="str">
            <v>Dues/Subs/Membership</v>
          </cell>
        </row>
        <row r="28">
          <cell r="D28">
            <v>755380</v>
          </cell>
          <cell r="E28" t="str">
            <v>Home Office Visits</v>
          </cell>
        </row>
        <row r="29">
          <cell r="D29">
            <v>755170</v>
          </cell>
          <cell r="E29" t="str">
            <v>Pre-Opening Assistance</v>
          </cell>
        </row>
        <row r="30">
          <cell r="D30">
            <v>755190</v>
          </cell>
          <cell r="E30" t="str">
            <v>Contract Cleaning</v>
          </cell>
        </row>
        <row r="31">
          <cell r="D31">
            <v>755220</v>
          </cell>
          <cell r="E31" t="str">
            <v>F&amp;B Consumables</v>
          </cell>
        </row>
        <row r="32">
          <cell r="D32">
            <v>755090</v>
          </cell>
          <cell r="E32" t="str">
            <v>Employee Relations</v>
          </cell>
        </row>
        <row r="33">
          <cell r="D33">
            <v>755100</v>
          </cell>
          <cell r="E33" t="str">
            <v>Help want ads</v>
          </cell>
        </row>
        <row r="34">
          <cell r="D34">
            <v>755580</v>
          </cell>
          <cell r="E34" t="str">
            <v>Training</v>
          </cell>
        </row>
        <row r="35">
          <cell r="D35">
            <v>755140</v>
          </cell>
          <cell r="E35" t="str">
            <v>Recruitment Fees</v>
          </cell>
        </row>
        <row r="36">
          <cell r="D36">
            <v>755590</v>
          </cell>
          <cell r="E36" t="str">
            <v>Other A&amp;G</v>
          </cell>
        </row>
        <row r="38">
          <cell r="D38">
            <v>765100</v>
          </cell>
          <cell r="E38" t="str">
            <v>Advertising</v>
          </cell>
        </row>
        <row r="39">
          <cell r="D39">
            <v>765190</v>
          </cell>
          <cell r="E39" t="str">
            <v>Public Relations</v>
          </cell>
        </row>
        <row r="40">
          <cell r="D40">
            <v>765220</v>
          </cell>
          <cell r="E40" t="str">
            <v>Brochures</v>
          </cell>
        </row>
        <row r="41">
          <cell r="D41">
            <v>765250</v>
          </cell>
          <cell r="E41" t="str">
            <v>Printing &amp; Stationary</v>
          </cell>
        </row>
        <row r="42">
          <cell r="D42">
            <v>765260</v>
          </cell>
          <cell r="E42" t="str">
            <v>Communications</v>
          </cell>
        </row>
        <row r="43">
          <cell r="D43">
            <v>765270</v>
          </cell>
          <cell r="E43" t="str">
            <v>Trade Shows/ Conferences</v>
          </cell>
        </row>
        <row r="44">
          <cell r="D44">
            <v>765275</v>
          </cell>
          <cell r="E44" t="str">
            <v>Travel &amp; Entertainment</v>
          </cell>
        </row>
        <row r="45">
          <cell r="D45">
            <v>765115</v>
          </cell>
          <cell r="E45" t="str">
            <v>Promotions &amp; Entertainment</v>
          </cell>
        </row>
        <row r="46">
          <cell r="D46">
            <v>765500</v>
          </cell>
          <cell r="E46" t="str">
            <v>Direct Mail/Response</v>
          </cell>
        </row>
        <row r="47">
          <cell r="D47">
            <v>765505</v>
          </cell>
          <cell r="E47" t="str">
            <v>Cancellation Costs</v>
          </cell>
        </row>
        <row r="48">
          <cell r="D48">
            <v>765510</v>
          </cell>
          <cell r="E48" t="str">
            <v>Dues &amp; Subscriptions</v>
          </cell>
        </row>
        <row r="49">
          <cell r="D49">
            <v>765300</v>
          </cell>
          <cell r="E49" t="str">
            <v>Marketing per LOI</v>
          </cell>
        </row>
        <row r="50">
          <cell r="D50">
            <v>765590</v>
          </cell>
          <cell r="E50" t="str">
            <v>Other A&amp;BP</v>
          </cell>
        </row>
        <row r="52">
          <cell r="D52" t="str">
            <v>000100</v>
          </cell>
          <cell r="E52" t="str">
            <v>Intercompany Accounts Recievable</v>
          </cell>
        </row>
        <row r="53">
          <cell r="D53" t="str">
            <v>000201</v>
          </cell>
          <cell r="E53" t="str">
            <v>Cash on Hand House Funds</v>
          </cell>
        </row>
        <row r="54">
          <cell r="D54" t="str">
            <v>000202</v>
          </cell>
          <cell r="E54" t="str">
            <v>Cash in Bank - General Account</v>
          </cell>
        </row>
        <row r="55">
          <cell r="D55" t="str">
            <v>000230</v>
          </cell>
          <cell r="E55" t="str">
            <v>Cash in Bank - Guest Deposits</v>
          </cell>
        </row>
        <row r="56">
          <cell r="D56" t="str">
            <v>000402</v>
          </cell>
          <cell r="E56" t="str">
            <v>Accounts Receivable</v>
          </cell>
        </row>
        <row r="57">
          <cell r="D57" t="str">
            <v>000436</v>
          </cell>
          <cell r="E57" t="str">
            <v>Accounts Receivable Other</v>
          </cell>
        </row>
        <row r="58">
          <cell r="D58" t="str">
            <v>000494</v>
          </cell>
          <cell r="E58" t="str">
            <v>Pre-Opening Assistance Clearing</v>
          </cell>
        </row>
        <row r="59">
          <cell r="D59" t="str">
            <v>000495</v>
          </cell>
          <cell r="E59" t="str">
            <v>Rent Clearing Account</v>
          </cell>
        </row>
        <row r="60">
          <cell r="D60" t="str">
            <v>000496</v>
          </cell>
          <cell r="E60" t="str">
            <v>Work Permit Clearing</v>
          </cell>
        </row>
        <row r="61">
          <cell r="D61" t="str">
            <v>000497</v>
          </cell>
          <cell r="E61" t="str">
            <v>Nollaig Clearing</v>
          </cell>
        </row>
        <row r="62">
          <cell r="D62" t="str">
            <v>000498</v>
          </cell>
          <cell r="E62" t="str">
            <v>Finishing Team Clearing</v>
          </cell>
        </row>
        <row r="63">
          <cell r="D63" t="str">
            <v>000499</v>
          </cell>
          <cell r="E63" t="str">
            <v>FF &amp; E Clearing</v>
          </cell>
        </row>
        <row r="64">
          <cell r="D64" t="str">
            <v>000503</v>
          </cell>
          <cell r="E64" t="str">
            <v>Salary Advances</v>
          </cell>
        </row>
        <row r="65">
          <cell r="D65" t="str">
            <v>000501</v>
          </cell>
          <cell r="E65" t="str">
            <v>Travel Advances</v>
          </cell>
        </row>
        <row r="66">
          <cell r="D66" t="str">
            <v>000507</v>
          </cell>
          <cell r="E66" t="str">
            <v>Deposits paid</v>
          </cell>
        </row>
        <row r="67">
          <cell r="D67" t="str">
            <v>000508</v>
          </cell>
          <cell r="E67" t="str">
            <v xml:space="preserve">Vat </v>
          </cell>
        </row>
        <row r="68">
          <cell r="D68" t="str">
            <v>000600</v>
          </cell>
          <cell r="E68" t="str">
            <v>Inventory - Food</v>
          </cell>
        </row>
        <row r="69">
          <cell r="D69" t="str">
            <v>000601</v>
          </cell>
          <cell r="E69" t="str">
            <v>Inventory - Beverage</v>
          </cell>
        </row>
        <row r="70">
          <cell r="D70" t="str">
            <v>000602</v>
          </cell>
          <cell r="E70" t="str">
            <v>Inventory - General Store</v>
          </cell>
        </row>
        <row r="71">
          <cell r="D71" t="str">
            <v>000950</v>
          </cell>
          <cell r="E71" t="str">
            <v>Prepayments</v>
          </cell>
        </row>
        <row r="73">
          <cell r="D73" t="str">
            <v>005201</v>
          </cell>
          <cell r="E73" t="str">
            <v>Accounts Payable</v>
          </cell>
        </row>
        <row r="74">
          <cell r="D74" t="str">
            <v>005203</v>
          </cell>
          <cell r="E74" t="str">
            <v>Advance Deposits</v>
          </cell>
        </row>
        <row r="75">
          <cell r="D75" t="str">
            <v>005209</v>
          </cell>
          <cell r="E75" t="str">
            <v>Intercompany Accounts Payable</v>
          </cell>
        </row>
        <row r="76">
          <cell r="D76" t="str">
            <v>005211</v>
          </cell>
          <cell r="E76" t="str">
            <v>Sundry Creditors</v>
          </cell>
        </row>
        <row r="77">
          <cell r="D77" t="str">
            <v>005311</v>
          </cell>
          <cell r="E77" t="str">
            <v>PAYE</v>
          </cell>
        </row>
        <row r="78">
          <cell r="D78" t="str">
            <v>005322</v>
          </cell>
          <cell r="E78" t="str">
            <v>PRSI</v>
          </cell>
        </row>
        <row r="79">
          <cell r="D79" t="str">
            <v>005338</v>
          </cell>
          <cell r="E79" t="str">
            <v>Accrued BUPA</v>
          </cell>
        </row>
        <row r="80">
          <cell r="D80" t="str">
            <v>005340</v>
          </cell>
          <cell r="E80" t="str">
            <v>Payroll Clearing</v>
          </cell>
        </row>
        <row r="81">
          <cell r="D81" t="str">
            <v>005341</v>
          </cell>
          <cell r="E81" t="str">
            <v>Payroll Accrual</v>
          </cell>
        </row>
        <row r="82">
          <cell r="D82" t="str">
            <v>005342</v>
          </cell>
          <cell r="E82" t="str">
            <v>Vacation Pay Accrual</v>
          </cell>
        </row>
        <row r="83">
          <cell r="D83" t="str">
            <v>005344</v>
          </cell>
          <cell r="E83" t="str">
            <v>Pension Plan</v>
          </cell>
        </row>
        <row r="84">
          <cell r="D84" t="str">
            <v>005345</v>
          </cell>
          <cell r="E84" t="str">
            <v>Management Incentive Accrual</v>
          </cell>
        </row>
        <row r="85">
          <cell r="D85" t="str">
            <v>005431</v>
          </cell>
          <cell r="E85" t="str">
            <v>Accrued Foreign Invoices</v>
          </cell>
        </row>
        <row r="86">
          <cell r="D86" t="str">
            <v>005432</v>
          </cell>
          <cell r="E86" t="str">
            <v>Accrued Utilities</v>
          </cell>
        </row>
        <row r="87">
          <cell r="D87" t="str">
            <v>005433</v>
          </cell>
          <cell r="E87" t="str">
            <v>Accrued Chain Allocation</v>
          </cell>
        </row>
        <row r="88">
          <cell r="D88" t="str">
            <v>005434</v>
          </cell>
          <cell r="E88" t="str">
            <v>Accrued Other</v>
          </cell>
        </row>
        <row r="89">
          <cell r="D89" t="str">
            <v>009420</v>
          </cell>
          <cell r="E89" t="str">
            <v>Owners Account</v>
          </cell>
        </row>
      </sheetData>
      <sheetData sheetId="23"/>
      <sheetData sheetId="24"/>
      <sheetData sheetId="25"/>
      <sheetData sheetId="2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harges"/>
      <sheetName val="Recharges (2)"/>
      <sheetName val="Division Head"/>
      <sheetName val="Vacation Nov 00"/>
      <sheetName val="Staff List"/>
    </sheetNames>
    <sheetDataSet>
      <sheetData sheetId="0"/>
      <sheetData sheetId="1"/>
      <sheetData sheetId="2" refreshError="1">
        <row r="3">
          <cell r="A3" t="str">
            <v>Division</v>
          </cell>
          <cell r="B3" t="str">
            <v>Division Head</v>
          </cell>
        </row>
        <row r="4">
          <cell r="A4" t="str">
            <v>A&amp;G</v>
          </cell>
          <cell r="B4" t="str">
            <v>Neil Gribben</v>
          </cell>
        </row>
        <row r="5">
          <cell r="A5" t="str">
            <v>F&amp;B</v>
          </cell>
          <cell r="B5" t="str">
            <v>Kathy Springstead</v>
          </cell>
        </row>
        <row r="6">
          <cell r="A6" t="str">
            <v>Rooms</v>
          </cell>
          <cell r="B6" t="str">
            <v>Gerard Denneny</v>
          </cell>
        </row>
        <row r="7">
          <cell r="A7" t="str">
            <v>Kitchen</v>
          </cell>
          <cell r="B7" t="str">
            <v>Terry White</v>
          </cell>
        </row>
        <row r="8">
          <cell r="A8" t="str">
            <v>A&amp;BP</v>
          </cell>
          <cell r="B8" t="str">
            <v>Ben Trodd</v>
          </cell>
        </row>
        <row r="9">
          <cell r="A9" t="str">
            <v>Housekeeping</v>
          </cell>
          <cell r="B9" t="str">
            <v>Sonja Vodusek</v>
          </cell>
        </row>
      </sheetData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s_XLB_WorkbookFile"/>
      <sheetName val="Ls_AgXLB_WorkbookFile"/>
      <sheetName val="Master Mapping"/>
      <sheetName val="Trade &amp; NonTrade for Validation"/>
      <sheetName val="COA"/>
      <sheetName val="Open Vendors and Customers"/>
    </sheetNames>
    <sheetDataSet>
      <sheetData sheetId="0" refreshError="1"/>
      <sheetData sheetId="1" refreshError="1"/>
      <sheetData sheetId="2" refreshError="1"/>
      <sheetData sheetId="3">
        <row r="2">
          <cell r="B2" t="str">
            <v>2Point Communications Inc</v>
          </cell>
        </row>
        <row r="3">
          <cell r="B3" t="str">
            <v>4-P Transport</v>
          </cell>
        </row>
        <row r="4">
          <cell r="B4" t="str">
            <v xml:space="preserve">A &amp; R Services </v>
          </cell>
        </row>
        <row r="5">
          <cell r="B5" t="str">
            <v>A &amp; S Investment</v>
          </cell>
        </row>
        <row r="6">
          <cell r="B6" t="str">
            <v>A Bishop</v>
          </cell>
        </row>
        <row r="7">
          <cell r="B7" t="str">
            <v xml:space="preserve">A Karchmer &amp; Son </v>
          </cell>
        </row>
        <row r="8">
          <cell r="B8" t="str">
            <v>A Laumayer &amp; Cia Lyda</v>
          </cell>
        </row>
        <row r="9">
          <cell r="B9" t="str">
            <v>A. Tenenbaum Co., Inc.</v>
          </cell>
        </row>
        <row r="10">
          <cell r="B10" t="str">
            <v xml:space="preserve">A Warehouse &amp; Distribution Co </v>
          </cell>
        </row>
        <row r="11">
          <cell r="B11" t="str">
            <v>AACE Walker I.C.S.</v>
          </cell>
        </row>
        <row r="12">
          <cell r="B12" t="str">
            <v>Aaron Metals Co.</v>
          </cell>
        </row>
        <row r="13">
          <cell r="B13" t="str">
            <v>Abengoa BioEnergy Corp.</v>
          </cell>
        </row>
        <row r="14">
          <cell r="B14" t="str">
            <v>Aberdeen Boat Club</v>
          </cell>
        </row>
        <row r="15">
          <cell r="B15" t="str">
            <v>Aberdeen Marina Club</v>
          </cell>
        </row>
        <row r="16">
          <cell r="B16" t="str">
            <v>ABN-AMRO Bank N.V. {AL}</v>
          </cell>
        </row>
        <row r="17">
          <cell r="B17" t="str">
            <v xml:space="preserve">Acacia Freight Net </v>
          </cell>
        </row>
        <row r="18">
          <cell r="B18" t="str">
            <v>Acc Business</v>
          </cell>
        </row>
        <row r="19">
          <cell r="B19" t="str">
            <v xml:space="preserve">Accelerated Freight Group </v>
          </cell>
        </row>
        <row r="20">
          <cell r="B20" t="str">
            <v xml:space="preserve">Access Information Services </v>
          </cell>
        </row>
        <row r="21">
          <cell r="B21" t="str">
            <v xml:space="preserve">Accessible Design Solutions </v>
          </cell>
        </row>
        <row r="22">
          <cell r="B22" t="str">
            <v>Accommodate Contract Furnishing</v>
          </cell>
        </row>
        <row r="23">
          <cell r="B23" t="str">
            <v>Accountants Inc</v>
          </cell>
        </row>
        <row r="24">
          <cell r="B24" t="str">
            <v>Accountemps</v>
          </cell>
        </row>
        <row r="25">
          <cell r="B25" t="str">
            <v>Accurate Weighers, Inc.</v>
          </cell>
        </row>
        <row r="26">
          <cell r="B26" t="str">
            <v>Accutest Services Incorporated</v>
          </cell>
        </row>
        <row r="27">
          <cell r="B27" t="str">
            <v>Ace International (Pvt) Ltd</v>
          </cell>
        </row>
        <row r="28">
          <cell r="B28" t="str">
            <v>Ace Scrap Metal</v>
          </cell>
        </row>
        <row r="29">
          <cell r="B29" t="str">
            <v>Ace Transportation</v>
          </cell>
        </row>
        <row r="30">
          <cell r="B30" t="str">
            <v>Achieve Contracting Co</v>
          </cell>
        </row>
        <row r="31">
          <cell r="B31" t="str">
            <v>Active Steel Welding &amp; Repair, Inc</v>
          </cell>
        </row>
        <row r="32">
          <cell r="B32" t="str">
            <v>Adam Maritime Corp.</v>
          </cell>
        </row>
        <row r="33">
          <cell r="B33" t="str">
            <v>Adkins Energy LLC.</v>
          </cell>
        </row>
        <row r="34">
          <cell r="B34" t="str">
            <v xml:space="preserve">Adm </v>
          </cell>
        </row>
        <row r="35">
          <cell r="B35" t="str">
            <v>ADM Investor Services International Limited</v>
          </cell>
        </row>
        <row r="36">
          <cell r="B36" t="str">
            <v>Administrator Unemployment Compensation</v>
          </cell>
        </row>
        <row r="37">
          <cell r="B37" t="str">
            <v>Admiral-Merchants Motor Freight, Inc.</v>
          </cell>
        </row>
        <row r="38">
          <cell r="B38" t="str">
            <v>Adnet Advertising</v>
          </cell>
        </row>
        <row r="39">
          <cell r="B39" t="str">
            <v>Adp Easypay Milford</v>
          </cell>
        </row>
        <row r="40">
          <cell r="B40" t="str">
            <v>Advantage Tank Lines, Inc.</v>
          </cell>
        </row>
        <row r="41">
          <cell r="B41" t="str">
            <v>Aectra S.A.</v>
          </cell>
        </row>
        <row r="42">
          <cell r="B42" t="str">
            <v>Afco Industries, Inc.</v>
          </cell>
        </row>
        <row r="43">
          <cell r="B43" t="str">
            <v>Afe Computer Service Ltd</v>
          </cell>
        </row>
        <row r="44">
          <cell r="B44" t="str">
            <v>Affiliated University</v>
          </cell>
        </row>
        <row r="45">
          <cell r="B45" t="str">
            <v>Africa Mineral Services</v>
          </cell>
        </row>
        <row r="46">
          <cell r="B46" t="str">
            <v>Agra Informa Ltd</v>
          </cell>
        </row>
        <row r="47">
          <cell r="B47" t="str">
            <v>Agricola San Agustin S.A. de C.V.</v>
          </cell>
        </row>
        <row r="48">
          <cell r="B48" t="str">
            <v xml:space="preserve">Agro Manobanda Hermanos </v>
          </cell>
        </row>
        <row r="49">
          <cell r="B49" t="str">
            <v>Agroindustrias El Carmen, S.A. de C.V.</v>
          </cell>
        </row>
        <row r="50">
          <cell r="B50" t="str">
            <v>Agroindustrias Unidas De Mexico S.A. de C.V.</v>
          </cell>
        </row>
        <row r="51">
          <cell r="B51" t="str">
            <v>Aic Conferences</v>
          </cell>
        </row>
        <row r="52">
          <cell r="B52" t="str">
            <v>AIG American General</v>
          </cell>
        </row>
        <row r="53">
          <cell r="B53" t="str">
            <v>AIG International Inc.</v>
          </cell>
        </row>
        <row r="54">
          <cell r="B54" t="str">
            <v>AIM Trading</v>
          </cell>
        </row>
        <row r="55">
          <cell r="B55" t="str">
            <v>Airborne Express</v>
          </cell>
        </row>
        <row r="56">
          <cell r="B56" t="str">
            <v>Airtech of Stamford Inc</v>
          </cell>
        </row>
        <row r="57">
          <cell r="B57" t="str">
            <v>Akg Consulting</v>
          </cell>
        </row>
        <row r="58">
          <cell r="B58" t="str">
            <v>Al Khaleej Sugar Co. (L.L.C.)</v>
          </cell>
        </row>
        <row r="59">
          <cell r="B59" t="str">
            <v>Al Tucker Trailers, Inc.</v>
          </cell>
        </row>
        <row r="60">
          <cell r="B60" t="str">
            <v>Alabama Carriers Inc.</v>
          </cell>
        </row>
        <row r="61">
          <cell r="B61" t="str">
            <v>Alabama State Port Authority</v>
          </cell>
        </row>
        <row r="62">
          <cell r="B62" t="str">
            <v>Alan Howard Smith</v>
          </cell>
        </row>
        <row r="63">
          <cell r="B63" t="str">
            <v>Albecour Inc.</v>
          </cell>
        </row>
        <row r="64">
          <cell r="B64" t="str">
            <v>Alcan Aluminum Corp.</v>
          </cell>
        </row>
        <row r="65">
          <cell r="B65" t="str">
            <v>Alcan Primary Metal Group</v>
          </cell>
        </row>
        <row r="66">
          <cell r="B66" t="str">
            <v>Alcoa, Inc.</v>
          </cell>
        </row>
        <row r="67">
          <cell r="B67" t="str">
            <v xml:space="preserve">Aldo De Bonis </v>
          </cell>
        </row>
        <row r="68">
          <cell r="B68" t="str">
            <v>Aleris International Inc.</v>
          </cell>
        </row>
        <row r="69">
          <cell r="B69" t="str">
            <v>Alexander Mair Stuart</v>
          </cell>
        </row>
        <row r="70">
          <cell r="B70" t="str">
            <v>Alexander Sturat Designs Ltd</v>
          </cell>
        </row>
        <row r="71">
          <cell r="B71" t="str">
            <v xml:space="preserve">Alfonso Efren Garcia Garcia </v>
          </cell>
        </row>
        <row r="72">
          <cell r="B72" t="str">
            <v>Alimentos De El Salvador, S.A. de C.V.</v>
          </cell>
        </row>
        <row r="73">
          <cell r="B73" t="str">
            <v>Alisan Fine Arts Ltd</v>
          </cell>
        </row>
        <row r="74">
          <cell r="B74" t="str">
            <v>Alitalia</v>
          </cell>
        </row>
        <row r="75">
          <cell r="B75" t="str">
            <v xml:space="preserve">All Jay's Enterprise Whse &amp; Trucking </v>
          </cell>
        </row>
        <row r="76">
          <cell r="B76" t="str">
            <v xml:space="preserve">All Transportation Services </v>
          </cell>
        </row>
        <row r="77">
          <cell r="B77" t="str">
            <v xml:space="preserve">All Ways </v>
          </cell>
        </row>
        <row r="78">
          <cell r="B78" t="str">
            <v>Allen &amp; Gledhill</v>
          </cell>
        </row>
        <row r="79">
          <cell r="B79" t="str">
            <v>Allied Container Transport, Inc.</v>
          </cell>
        </row>
        <row r="80">
          <cell r="B80" t="str">
            <v>Aloil Millennium Corp.</v>
          </cell>
        </row>
        <row r="81">
          <cell r="B81" t="str">
            <v>Alpac Marketing Services, Inc.</v>
          </cell>
        </row>
        <row r="82">
          <cell r="B82" t="str">
            <v>Alpha Graphics Inc</v>
          </cell>
        </row>
        <row r="83">
          <cell r="B83" t="str">
            <v>Alsco Metals Corporation</v>
          </cell>
        </row>
        <row r="84">
          <cell r="B84" t="str">
            <v>Alujain Corp.</v>
          </cell>
        </row>
        <row r="85">
          <cell r="B85" t="str">
            <v>Aluminio Extruido Extral, S.A. de C.V.</v>
          </cell>
        </row>
        <row r="86">
          <cell r="B86" t="str">
            <v>Aluminio Texcoco S.A. De C.V.</v>
          </cell>
        </row>
        <row r="87">
          <cell r="B87" t="str">
            <v>Azinsa Aluminio S.A. de C.V.</v>
          </cell>
        </row>
        <row r="88">
          <cell r="B88" t="str">
            <v>Aluminum Extrusions Inc.</v>
          </cell>
        </row>
        <row r="89">
          <cell r="B89" t="str">
            <v>Aluminum Resources, Inc.</v>
          </cell>
        </row>
        <row r="90">
          <cell r="B90" t="str">
            <v>Aluminum Shapes L.L.C.</v>
          </cell>
        </row>
        <row r="91">
          <cell r="B91" t="str">
            <v>Alutrade, S.A. de C.V.</v>
          </cell>
        </row>
        <row r="92">
          <cell r="B92" t="str">
            <v>Ambrose Ave Advisors</v>
          </cell>
        </row>
        <row r="93">
          <cell r="B93" t="str">
            <v xml:space="preserve">Ambrose Light Shipping </v>
          </cell>
        </row>
        <row r="94">
          <cell r="B94" t="str">
            <v>Amerada Hess Corporation</v>
          </cell>
        </row>
        <row r="95">
          <cell r="B95" t="str">
            <v>Amerex Freight, Ltd.</v>
          </cell>
        </row>
        <row r="96">
          <cell r="B96" t="str">
            <v>Amerex Freight, Ltd.</v>
          </cell>
        </row>
        <row r="97">
          <cell r="B97" t="str">
            <v>American Agip Co.</v>
          </cell>
        </row>
        <row r="98">
          <cell r="B98" t="str">
            <v>American Aluminum Extrusions of OH, LLC.</v>
          </cell>
        </row>
        <row r="99">
          <cell r="B99" t="str">
            <v>American Chamber Of Commerce</v>
          </cell>
        </row>
        <row r="100">
          <cell r="B100" t="str">
            <v>American Club</v>
          </cell>
        </row>
        <row r="101">
          <cell r="B101" t="str">
            <v>American Club-Beijing</v>
          </cell>
        </row>
        <row r="102">
          <cell r="B102" t="str">
            <v>American Clubs IntL Ltd</v>
          </cell>
        </row>
        <row r="103">
          <cell r="B103" t="str">
            <v>American Coalition for Ethanol</v>
          </cell>
        </row>
        <row r="104">
          <cell r="B104" t="str">
            <v>American Commercial Barge Lines LLC.</v>
          </cell>
        </row>
        <row r="105">
          <cell r="B105" t="str">
            <v>American Compressed Steel Inc.</v>
          </cell>
        </row>
        <row r="106">
          <cell r="B106" t="str">
            <v>American Express</v>
          </cell>
        </row>
        <row r="107">
          <cell r="B107" t="str">
            <v>American Express IntL Inc</v>
          </cell>
        </row>
        <row r="108">
          <cell r="B108" t="str">
            <v>American Express-Platinum Card</v>
          </cell>
        </row>
        <row r="109">
          <cell r="B109" t="str">
            <v>American Extrusions Company</v>
          </cell>
        </row>
        <row r="110">
          <cell r="B110" t="str">
            <v>American Iron &amp; Metal Co. Inc. (Montreal)</v>
          </cell>
        </row>
        <row r="111">
          <cell r="B111" t="str">
            <v>American Nautical Services</v>
          </cell>
        </row>
        <row r="112">
          <cell r="B112" t="str">
            <v>APL Limited (American President Lines, Ltd.)</v>
          </cell>
        </row>
        <row r="113">
          <cell r="B113" t="str">
            <v>ARE American Road Express</v>
          </cell>
        </row>
        <row r="114">
          <cell r="B114" t="str">
            <v>American Shipping and Chartering</v>
          </cell>
        </row>
        <row r="115">
          <cell r="B115" t="str">
            <v>American Trans-Freight, LLC.</v>
          </cell>
        </row>
        <row r="116">
          <cell r="B116" t="str">
            <v>American Warehousing of New York, Inc.</v>
          </cell>
        </row>
        <row r="117">
          <cell r="B117" t="str">
            <v xml:space="preserve">Americargo Transport/ New Terminal </v>
          </cell>
        </row>
        <row r="118">
          <cell r="B118" t="str">
            <v>Amerop Sugar Corporation</v>
          </cell>
        </row>
        <row r="119">
          <cell r="B119" t="str">
            <v>Amhof Trucking, Inc.</v>
          </cell>
        </row>
        <row r="120">
          <cell r="B120" t="str">
            <v>AMNAV Maritime Services</v>
          </cell>
        </row>
        <row r="121">
          <cell r="B121" t="str">
            <v>Amsison</v>
          </cell>
        </row>
        <row r="122">
          <cell r="B122" t="str">
            <v>Amspec Services LLC.</v>
          </cell>
        </row>
        <row r="123">
          <cell r="B123" t="str">
            <v>Anadarko Energy Services Company</v>
          </cell>
        </row>
        <row r="124">
          <cell r="B124" t="str">
            <v>Ancon Marine, Inc.</v>
          </cell>
        </row>
        <row r="125">
          <cell r="B125" t="str">
            <v>Anderson Man/Lippo (Usa)</v>
          </cell>
        </row>
        <row r="126">
          <cell r="B126" t="str">
            <v>Annabel S</v>
          </cell>
        </row>
        <row r="127">
          <cell r="B127" t="str">
            <v>Anne-Jose Grin</v>
          </cell>
        </row>
        <row r="128">
          <cell r="B128" t="str">
            <v>Anno Design Co Ltd</v>
          </cell>
        </row>
        <row r="129">
          <cell r="B129" t="str">
            <v>Aon Hk Ltd</v>
          </cell>
        </row>
        <row r="130">
          <cell r="B130" t="str">
            <v>Aon Risk Services of CT</v>
          </cell>
        </row>
        <row r="131">
          <cell r="B131" t="str">
            <v>Aon Risk Services of NY</v>
          </cell>
        </row>
        <row r="132">
          <cell r="B132" t="str">
            <v>Ap Construction Company</v>
          </cell>
        </row>
        <row r="133">
          <cell r="B133" t="str">
            <v>Apartment Ltd</v>
          </cell>
        </row>
        <row r="134">
          <cell r="B134" t="str">
            <v>Apex Oil Company</v>
          </cell>
        </row>
        <row r="135">
          <cell r="B135" t="str">
            <v xml:space="preserve">Apex Transportation </v>
          </cell>
        </row>
        <row r="136">
          <cell r="B136" t="str">
            <v xml:space="preserve">Apex/Clark Oil </v>
          </cell>
        </row>
        <row r="137">
          <cell r="B137" t="str">
            <v>Applied Trading Systems Incorporated</v>
          </cell>
        </row>
        <row r="138">
          <cell r="B138" t="str">
            <v>Arabicafe, S.A. de C.V.</v>
          </cell>
        </row>
        <row r="139">
          <cell r="B139" t="str">
            <v xml:space="preserve">Aramis Shipping Ca </v>
          </cell>
        </row>
        <row r="140">
          <cell r="B140" t="str">
            <v xml:space="preserve">Aray Representaciones Sa </v>
          </cell>
        </row>
        <row r="141">
          <cell r="B141" t="str">
            <v>ARC Aziende Riunite Caffe Spa</v>
          </cell>
        </row>
        <row r="142">
          <cell r="B142" t="str">
            <v>ARC Oil, LLC</v>
          </cell>
        </row>
        <row r="143">
          <cell r="B143" t="str">
            <v xml:space="preserve">Arcadia Freight </v>
          </cell>
        </row>
        <row r="144">
          <cell r="B144" t="str">
            <v>Architectural Digest</v>
          </cell>
        </row>
        <row r="145">
          <cell r="B145" t="str">
            <v>ARCO Aluminum, Inc.</v>
          </cell>
        </row>
        <row r="146">
          <cell r="B146" t="str">
            <v xml:space="preserve">Are Redman Inc </v>
          </cell>
        </row>
        <row r="147">
          <cell r="B147" t="str">
            <v xml:space="preserve">Arga Europe </v>
          </cell>
        </row>
        <row r="148">
          <cell r="B148" t="str">
            <v>Argus Media Inc.</v>
          </cell>
        </row>
        <row r="149">
          <cell r="B149" t="str">
            <v>Arizona Commodity Traders, LLC</v>
          </cell>
        </row>
        <row r="150">
          <cell r="B150" t="str">
            <v>Armajaro (USA) Inc.</v>
          </cell>
        </row>
        <row r="151">
          <cell r="B151" t="str">
            <v>Armenia Coffee Corp.</v>
          </cell>
        </row>
        <row r="152">
          <cell r="B152" t="str">
            <v>Arrow Trucking Co.</v>
          </cell>
        </row>
        <row r="153">
          <cell r="B153" t="str">
            <v>Art City Productions</v>
          </cell>
        </row>
        <row r="154">
          <cell r="B154" t="str">
            <v>Art Printing Co Ltd</v>
          </cell>
        </row>
        <row r="155">
          <cell r="B155" t="str">
            <v>Arthur J. Gallagher Risk Management Services, Inc.</v>
          </cell>
        </row>
        <row r="156">
          <cell r="B156" t="str">
            <v>Ascendant Partners, Inc.</v>
          </cell>
        </row>
        <row r="157">
          <cell r="B157" t="str">
            <v>Ashley Delgado Flor</v>
          </cell>
        </row>
        <row r="158">
          <cell r="B158" t="str">
            <v>Asia Law &amp; Practice Ltd</v>
          </cell>
        </row>
        <row r="159">
          <cell r="B159" t="str">
            <v>Asia Tech Holdings Ltd</v>
          </cell>
        </row>
        <row r="160">
          <cell r="B160" t="str">
            <v>Asian American Real Est Agency</v>
          </cell>
        </row>
        <row r="161">
          <cell r="B161" t="str">
            <v>Asian Electronics Ltd</v>
          </cell>
        </row>
        <row r="162">
          <cell r="B162" t="str">
            <v>Asian Wall St Jrl</v>
          </cell>
        </row>
        <row r="163">
          <cell r="B163" t="str">
            <v>Asiaweek Ltd</v>
          </cell>
        </row>
        <row r="164">
          <cell r="B164" t="str">
            <v>Asl Management Services</v>
          </cell>
        </row>
        <row r="165">
          <cell r="B165" t="str">
            <v xml:space="preserve">Asociacion - Ucrabrobex </v>
          </cell>
        </row>
        <row r="166">
          <cell r="B166" t="str">
            <v>Assoc Of Average Adjusters</v>
          </cell>
        </row>
        <row r="167">
          <cell r="B167" t="str">
            <v>Associated Terminals LLC. of St. Bernard</v>
          </cell>
        </row>
        <row r="168">
          <cell r="B168" t="str">
            <v>Associates of Westport</v>
          </cell>
        </row>
        <row r="169">
          <cell r="B169" t="str">
            <v>Assurant Employee Benefits</v>
          </cell>
        </row>
        <row r="170">
          <cell r="B170" t="str">
            <v>Astra Oil Company, Inc.</v>
          </cell>
        </row>
        <row r="171">
          <cell r="B171" t="str">
            <v>AT &amp; T - Global Network</v>
          </cell>
        </row>
        <row r="172">
          <cell r="B172" t="str">
            <v>AT &amp; T - Global Remote Dial Up Service</v>
          </cell>
        </row>
        <row r="173">
          <cell r="B173" t="str">
            <v>AT &amp; T - ISDN Service</v>
          </cell>
        </row>
        <row r="174">
          <cell r="B174" t="str">
            <v>AT &amp; T - TeleConference Services</v>
          </cell>
        </row>
        <row r="175">
          <cell r="B175" t="str">
            <v>AT &amp; T - Telephone - Universal Biller</v>
          </cell>
        </row>
        <row r="176">
          <cell r="B176" t="str">
            <v>AT &amp; T - Wireless</v>
          </cell>
        </row>
        <row r="177">
          <cell r="B177" t="str">
            <v>Atlantic Product Services, Inc.</v>
          </cell>
        </row>
        <row r="178">
          <cell r="B178" t="str">
            <v>Atlantic Trading &amp; Marketing</v>
          </cell>
        </row>
        <row r="179">
          <cell r="B179" t="str">
            <v>Atlas Metal &amp; Iron Corp.</v>
          </cell>
        </row>
        <row r="180">
          <cell r="B180" t="str">
            <v xml:space="preserve">Atlas Transport Inc </v>
          </cell>
        </row>
        <row r="181">
          <cell r="B181" t="str">
            <v xml:space="preserve">Atofina Petrochemicals </v>
          </cell>
        </row>
        <row r="182">
          <cell r="B182" t="str">
            <v xml:space="preserve">Atofina Petrochemicals Inc </v>
          </cell>
        </row>
        <row r="183">
          <cell r="B183" t="str">
            <v>Atrium Companies, Inc.</v>
          </cell>
        </row>
        <row r="184">
          <cell r="B184" t="str">
            <v>Att Isgpas Charles Schwab</v>
          </cell>
        </row>
        <row r="185">
          <cell r="B185" t="str">
            <v xml:space="preserve">Atwells </v>
          </cell>
        </row>
        <row r="186">
          <cell r="B186" t="str">
            <v>Audio Messaging Solutions, LLC</v>
          </cell>
        </row>
        <row r="187">
          <cell r="B187" t="str">
            <v>August Trading Inc.</v>
          </cell>
        </row>
        <row r="188">
          <cell r="B188" t="str">
            <v>Austin Metal &amp; Iron, Co., L.P.</v>
          </cell>
        </row>
        <row r="189">
          <cell r="B189" t="str">
            <v>Austria Property Mgt Ltd</v>
          </cell>
        </row>
        <row r="190">
          <cell r="B190" t="str">
            <v>Automated Systems (Hk) Ltd</v>
          </cell>
        </row>
        <row r="191">
          <cell r="B191" t="str">
            <v>Autotoll Ltd</v>
          </cell>
        </row>
        <row r="192">
          <cell r="B192" t="str">
            <v xml:space="preserve">Avasa Honduras </v>
          </cell>
        </row>
        <row r="193">
          <cell r="B193" t="str">
            <v>Aventine Renewable Energy, Inc.</v>
          </cell>
        </row>
        <row r="194">
          <cell r="B194" t="str">
            <v xml:space="preserve">Avin International S.A. </v>
          </cell>
        </row>
        <row r="195">
          <cell r="B195" t="str">
            <v>Avrinex Communications Group</v>
          </cell>
        </row>
        <row r="196">
          <cell r="B196" t="str">
            <v>AWC Carriers, Inc</v>
          </cell>
        </row>
        <row r="197">
          <cell r="B197" t="str">
            <v>Axway Software</v>
          </cell>
        </row>
        <row r="198">
          <cell r="B198" t="str">
            <v>Axxis Petroleum</v>
          </cell>
        </row>
        <row r="199">
          <cell r="B199" t="str">
            <v>AZA Transport, Inc.</v>
          </cell>
        </row>
        <row r="200">
          <cell r="B200" t="str">
            <v>Azexsa</v>
          </cell>
        </row>
        <row r="201">
          <cell r="B201" t="str">
            <v>B and A Office Consumables</v>
          </cell>
        </row>
        <row r="202">
          <cell r="B202" t="str">
            <v xml:space="preserve">Bac Welding &amp; Fabrication </v>
          </cell>
        </row>
        <row r="203">
          <cell r="B203" t="str">
            <v xml:space="preserve">Bachus Navigation Inc </v>
          </cell>
        </row>
        <row r="204">
          <cell r="B204" t="str">
            <v>Baker &amp; McKenzie LLP.</v>
          </cell>
        </row>
        <row r="205">
          <cell r="B205" t="str">
            <v>Baker Brothers Trucking</v>
          </cell>
        </row>
        <row r="206">
          <cell r="B206" t="str">
            <v>Baker Iron &amp; Metal Co. Inc.</v>
          </cell>
        </row>
        <row r="207">
          <cell r="B207" t="str">
            <v>Baldwin Transfer Co., Inc.</v>
          </cell>
        </row>
        <row r="208">
          <cell r="B208" t="str">
            <v>Bank Of China</v>
          </cell>
        </row>
        <row r="209">
          <cell r="B209" t="str">
            <v>Bank Of China Group Insurance</v>
          </cell>
        </row>
        <row r="210">
          <cell r="B210" t="str">
            <v>Bank Of East Asia</v>
          </cell>
        </row>
        <row r="211">
          <cell r="B211" t="str">
            <v>Bank Of Tokyo</v>
          </cell>
        </row>
        <row r="212">
          <cell r="B212" t="str">
            <v>Banque Indosuez</v>
          </cell>
        </row>
        <row r="213">
          <cell r="B213" t="str">
            <v>Barclays Bank</v>
          </cell>
        </row>
        <row r="214">
          <cell r="B214" t="str">
            <v>Barnatrans, S.A.</v>
          </cell>
        </row>
        <row r="215">
          <cell r="B215" t="str">
            <v>Barrett, Easterday, Cunningham &amp; Eselgroth LLP</v>
          </cell>
        </row>
        <row r="216">
          <cell r="B216" t="str">
            <v>Barry Schechter</v>
          </cell>
        </row>
        <row r="217">
          <cell r="B217" t="str">
            <v>BASF</v>
          </cell>
        </row>
        <row r="218">
          <cell r="B218" t="str">
            <v>Bass Liquids</v>
          </cell>
        </row>
        <row r="219">
          <cell r="B219" t="str">
            <v>Bassett Trucking</v>
          </cell>
        </row>
        <row r="220">
          <cell r="B220" t="str">
            <v>Bay Gulf Trading Co. Ltd.</v>
          </cell>
        </row>
        <row r="221">
          <cell r="B221" t="str">
            <v>Bay Metal, Inc.</v>
          </cell>
        </row>
        <row r="222">
          <cell r="B222" t="str">
            <v>Bayards</v>
          </cell>
        </row>
        <row r="223">
          <cell r="B223" t="str">
            <v>BBI International</v>
          </cell>
        </row>
        <row r="224">
          <cell r="B224" t="str">
            <v>Beacon Stevedoring Corp.</v>
          </cell>
        </row>
        <row r="225">
          <cell r="B225" t="str">
            <v>Bear Transportation Services, L.P.</v>
          </cell>
        </row>
        <row r="226">
          <cell r="B226" t="str">
            <v>Beijing Tain Fu Club Co Ltd</v>
          </cell>
        </row>
        <row r="227">
          <cell r="B227" t="str">
            <v>Belin Lamson McCormick Zumbach Flynn</v>
          </cell>
        </row>
        <row r="228">
          <cell r="B228" t="str">
            <v>Belmont Metals</v>
          </cell>
        </row>
        <row r="229">
          <cell r="B229" t="str">
            <v xml:space="preserve">Bellsouth </v>
          </cell>
        </row>
        <row r="230">
          <cell r="B230" t="str">
            <v>Belships Tankers AS</v>
          </cell>
        </row>
        <row r="231">
          <cell r="B231" t="str">
            <v>Belvieu Enviromental Fuels, Inc.</v>
          </cell>
        </row>
        <row r="232">
          <cell r="B232" t="str">
            <v>Benchmark Search Group, Inc.</v>
          </cell>
        </row>
        <row r="233">
          <cell r="B233" t="str">
            <v>BenefitStreet Inc.</v>
          </cell>
        </row>
        <row r="234">
          <cell r="B234" t="str">
            <v>Bennett Motor Express Inc.</v>
          </cell>
        </row>
        <row r="235">
          <cell r="B235" t="str">
            <v>Bentley Hong Kong</v>
          </cell>
        </row>
        <row r="236">
          <cell r="B236" t="str">
            <v>Berkeley Aluminum, Inc. (Hawesville)</v>
          </cell>
        </row>
        <row r="237">
          <cell r="B237" t="str">
            <v>Berkeley Aluminum, Inc. (Ravenswood)</v>
          </cell>
        </row>
        <row r="238">
          <cell r="B238" t="str">
            <v>Berkshire Energy Ltd.</v>
          </cell>
        </row>
        <row r="239">
          <cell r="B239" t="str">
            <v>Bermont Pacific Ltd</v>
          </cell>
        </row>
        <row r="240">
          <cell r="B240" t="str">
            <v>Bernhard Metals Group</v>
          </cell>
        </row>
        <row r="241">
          <cell r="B241" t="str">
            <v>Berry Palmer &amp; Lyle Ltd</v>
          </cell>
        </row>
        <row r="242">
          <cell r="B242" t="str">
            <v>Bi-State Storage</v>
          </cell>
        </row>
        <row r="243">
          <cell r="B243" t="str">
            <v>Billion Sun Ltd</v>
          </cell>
        </row>
        <row r="244">
          <cell r="B244" t="str">
            <v>Binary Tree, Inc.</v>
          </cell>
        </row>
        <row r="245">
          <cell r="B245" t="str">
            <v>Bird Antenna Systems</v>
          </cell>
        </row>
        <row r="246">
          <cell r="B246" t="str">
            <v>BL II Logistics, LLC</v>
          </cell>
        </row>
        <row r="247">
          <cell r="B247" t="str">
            <v>Blackhawk Logistics LLC</v>
          </cell>
        </row>
        <row r="248">
          <cell r="B248" t="str">
            <v>Blackhawk Transport</v>
          </cell>
        </row>
        <row r="249">
          <cell r="B249" t="str">
            <v>Blessey Marine Services, Inc.</v>
          </cell>
        </row>
        <row r="250">
          <cell r="B250" t="str">
            <v>Blomer Accountants En Adviseur</v>
          </cell>
        </row>
        <row r="251">
          <cell r="B251" t="str">
            <v>Blommer Chocolate Company</v>
          </cell>
        </row>
        <row r="252">
          <cell r="B252" t="str">
            <v>Bloomberg L.P.</v>
          </cell>
        </row>
        <row r="253">
          <cell r="B253" t="str">
            <v>Blue &amp; Grey Transport Co. Inc.</v>
          </cell>
        </row>
        <row r="254">
          <cell r="B254" t="str">
            <v>Blue Cross (Asia Pacific) Insurance</v>
          </cell>
        </row>
        <row r="255">
          <cell r="B255" t="str">
            <v>Blue Cross Insurance Ltd</v>
          </cell>
        </row>
        <row r="256">
          <cell r="B256" t="str">
            <v>Blueberry Confections Inc.</v>
          </cell>
        </row>
        <row r="257">
          <cell r="B257" t="str">
            <v>Bmw Concessionaires (Hk) Ltd</v>
          </cell>
        </row>
        <row r="258">
          <cell r="B258" t="str">
            <v xml:space="preserve">Bnf Cormel Holdings Inc </v>
          </cell>
        </row>
        <row r="259">
          <cell r="B259" t="str">
            <v xml:space="preserve"> Burlington Northern Santa Fe Railroad (BNSF)</v>
          </cell>
        </row>
        <row r="260">
          <cell r="B260" t="str">
            <v>BNSF Logistics, LLC</v>
          </cell>
        </row>
        <row r="261">
          <cell r="B261" t="str">
            <v>Bo-Mark Transportation Inc.</v>
          </cell>
        </row>
        <row r="262">
          <cell r="B262" t="str">
            <v>Bon L Canada Inc.</v>
          </cell>
        </row>
        <row r="263">
          <cell r="B263" t="str">
            <v>Bonded Collection Corporation</v>
          </cell>
        </row>
        <row r="264">
          <cell r="B264" t="str">
            <v>Borden Ladner Gervais LLP</v>
          </cell>
        </row>
        <row r="265">
          <cell r="B265" t="str">
            <v>Borgonovo Pohl, S.A. DE C.V</v>
          </cell>
        </row>
        <row r="266">
          <cell r="B266" t="str">
            <v>Bouchard Transportation Co., Inc.</v>
          </cell>
        </row>
        <row r="267">
          <cell r="B267" t="str">
            <v>Bowne Of Singapore</v>
          </cell>
        </row>
        <row r="268">
          <cell r="B268" t="str">
            <v>Boyd  Bros. Transportation, Inc</v>
          </cell>
        </row>
        <row r="269">
          <cell r="B269" t="str">
            <v>Boyd Logistics, Inc.</v>
          </cell>
        </row>
        <row r="270">
          <cell r="B270" t="str">
            <v>Boyden International Ltd</v>
          </cell>
        </row>
        <row r="271">
          <cell r="B271" t="str">
            <v>BP Products North America, Inc. {Amoco}</v>
          </cell>
        </row>
        <row r="272">
          <cell r="B272" t="str">
            <v xml:space="preserve">BP Products North America, Inc. </v>
          </cell>
        </row>
        <row r="273">
          <cell r="B273" t="str">
            <v xml:space="preserve">BP Products North America, Inc. </v>
          </cell>
        </row>
        <row r="274">
          <cell r="B274" t="str">
            <v>BP Shipping USA</v>
          </cell>
        </row>
        <row r="275">
          <cell r="B275" t="str">
            <v>BP West Coast Products</v>
          </cell>
        </row>
        <row r="276">
          <cell r="B276" t="str">
            <v xml:space="preserve">Braceco Logistics Inc </v>
          </cell>
        </row>
        <row r="277">
          <cell r="B277" t="str">
            <v>Brass Leasing, Inc.</v>
          </cell>
        </row>
        <row r="278">
          <cell r="B278" t="str">
            <v>Brauner Int'l Corp.</v>
          </cell>
        </row>
        <row r="279">
          <cell r="B279" t="str">
            <v>Breck Logistics, Inc.</v>
          </cell>
        </row>
        <row r="280">
          <cell r="B280" t="str">
            <v>BRG Precision Products</v>
          </cell>
        </row>
        <row r="281">
          <cell r="B281" t="str">
            <v xml:space="preserve">Briarlake Plaza Garage </v>
          </cell>
        </row>
        <row r="282">
          <cell r="B282" t="str">
            <v>Bridge Information System (Hk)</v>
          </cell>
        </row>
        <row r="283">
          <cell r="B283" t="str">
            <v xml:space="preserve">Bright Five Shipping S.A. </v>
          </cell>
        </row>
        <row r="284">
          <cell r="B284" t="str">
            <v>Britania Food Ingridients, Ltd.</v>
          </cell>
        </row>
        <row r="285">
          <cell r="B285" t="str">
            <v>Brocade Trading Ltd</v>
          </cell>
        </row>
        <row r="286">
          <cell r="B286" t="str">
            <v>Brostrom Tankers AB</v>
          </cell>
        </row>
        <row r="287">
          <cell r="B287" t="str">
            <v xml:space="preserve">Bruce S. Walle </v>
          </cell>
        </row>
        <row r="288">
          <cell r="B288" t="str">
            <v xml:space="preserve">BSi Inspectorate de Argentina SA </v>
          </cell>
        </row>
        <row r="289">
          <cell r="B289" t="str">
            <v xml:space="preserve">Bsi Inspectorate Inspection </v>
          </cell>
        </row>
        <row r="290">
          <cell r="B290" t="str">
            <v xml:space="preserve">Buckler Shipping Company </v>
          </cell>
        </row>
        <row r="291">
          <cell r="B291" t="str">
            <v xml:space="preserve">Buckley Trans Logistics </v>
          </cell>
        </row>
        <row r="292">
          <cell r="B292" t="str">
            <v>Buddy Moore Trucking, Inc.</v>
          </cell>
        </row>
        <row r="293">
          <cell r="B293" t="str">
            <v xml:space="preserve">Builders Transportation Co Llc </v>
          </cell>
        </row>
        <row r="294">
          <cell r="B294" t="str">
            <v>Burotech Ltd</v>
          </cell>
        </row>
        <row r="295">
          <cell r="B295" t="str">
            <v>Burson Marsteller Hk Ltd</v>
          </cell>
        </row>
        <row r="296">
          <cell r="B296" t="str">
            <v>Business News (Asia) Private</v>
          </cell>
        </row>
        <row r="297">
          <cell r="B297" t="str">
            <v>Business News (Europe) Ltd</v>
          </cell>
        </row>
        <row r="298">
          <cell r="B298" t="str">
            <v>Business News Indochina</v>
          </cell>
        </row>
        <row r="299">
          <cell r="B299" t="str">
            <v>Business Seminars Intl Ltd</v>
          </cell>
        </row>
        <row r="300">
          <cell r="B300" t="str">
            <v>Business Traveller</v>
          </cell>
        </row>
        <row r="301">
          <cell r="B301" t="str">
            <v>Business Week</v>
          </cell>
        </row>
        <row r="302">
          <cell r="B302" t="str">
            <v>Butterfield Corp Services Ltd</v>
          </cell>
        </row>
        <row r="303">
          <cell r="B303" t="str">
            <v>Bv Chemie Pharmacie Holland</v>
          </cell>
        </row>
        <row r="304">
          <cell r="B304" t="str">
            <v xml:space="preserve">C &amp; B Trucking </v>
          </cell>
        </row>
        <row r="305">
          <cell r="B305" t="str">
            <v>C &amp; F Consulting Engineering</v>
          </cell>
        </row>
        <row r="306">
          <cell r="B306" t="str">
            <v xml:space="preserve">C &amp; H Distributors, Llc </v>
          </cell>
        </row>
        <row r="307">
          <cell r="B307" t="str">
            <v>C &amp; H Sugar Company, Inc.</v>
          </cell>
        </row>
        <row r="308">
          <cell r="B308" t="str">
            <v>C &amp; S Trading Company</v>
          </cell>
        </row>
        <row r="309">
          <cell r="B309" t="str">
            <v>C. Steinweg Handelsveem B.V.</v>
          </cell>
        </row>
        <row r="310">
          <cell r="B310" t="str">
            <v xml:space="preserve">C. Steinweg (USA) Inc. (Baltimore) </v>
          </cell>
        </row>
        <row r="311">
          <cell r="B311" t="str">
            <v>C. Steinweg (New Orleans), Inc.</v>
          </cell>
        </row>
        <row r="312">
          <cell r="B312" t="str">
            <v>C. Steinweg N.V.</v>
          </cell>
        </row>
        <row r="313">
          <cell r="B313" t="str">
            <v>C.E. Colomb, Co. LLC</v>
          </cell>
        </row>
        <row r="314">
          <cell r="B314" t="str">
            <v>Cable &amp; Wireless Hkt Ims Ltd</v>
          </cell>
        </row>
        <row r="315">
          <cell r="B315" t="str">
            <v>Cablevision of CT</v>
          </cell>
        </row>
        <row r="316">
          <cell r="B316" t="str">
            <v>Cafcom S.A.</v>
          </cell>
        </row>
        <row r="317">
          <cell r="B317" t="str">
            <v>Cafe Badilatti SA</v>
          </cell>
        </row>
        <row r="318">
          <cell r="B318" t="str">
            <v xml:space="preserve">Cafe Colsuaves Ltda. </v>
          </cell>
        </row>
        <row r="319">
          <cell r="B319" t="str">
            <v xml:space="preserve">Cal West Express Co. </v>
          </cell>
        </row>
        <row r="320">
          <cell r="B320" t="str">
            <v xml:space="preserve">Calco </v>
          </cell>
        </row>
        <row r="321">
          <cell r="B321" t="str">
            <v>California United Terminals</v>
          </cell>
        </row>
        <row r="322">
          <cell r="B322" t="str">
            <v xml:space="preserve">Camden International </v>
          </cell>
        </row>
        <row r="323">
          <cell r="B323" t="str">
            <v>Cameraman Ltd</v>
          </cell>
        </row>
        <row r="324">
          <cell r="B324" t="str">
            <v xml:space="preserve">Camin Cargo Control </v>
          </cell>
        </row>
        <row r="325">
          <cell r="B325" t="str">
            <v xml:space="preserve">Canal Barge Company, Inc. </v>
          </cell>
        </row>
        <row r="326">
          <cell r="B326" t="str">
            <v>Canon Marketing (Hk) Co Ltd</v>
          </cell>
        </row>
        <row r="327">
          <cell r="B327" t="str">
            <v>Canton Agency, LLC.</v>
          </cell>
        </row>
        <row r="328">
          <cell r="B328" t="str">
            <v xml:space="preserve">Canton Maritime Services </v>
          </cell>
        </row>
        <row r="329">
          <cell r="B329" t="str">
            <v>Capes Shipping Agencies, Inc.</v>
          </cell>
        </row>
        <row r="330">
          <cell r="B330" t="str">
            <v>Capital Club Co Ltd</v>
          </cell>
        </row>
        <row r="331">
          <cell r="B331" t="str">
            <v>Capital Communications Ltd</v>
          </cell>
        </row>
        <row r="332">
          <cell r="B332" t="str">
            <v xml:space="preserve">Capital Oil Brokers </v>
          </cell>
        </row>
        <row r="333">
          <cell r="B333" t="str">
            <v xml:space="preserve">Carcafe Ltd CI </v>
          </cell>
        </row>
        <row r="334">
          <cell r="B334" t="str">
            <v xml:space="preserve">Cargill Energy Division </v>
          </cell>
        </row>
        <row r="335">
          <cell r="B335" t="str">
            <v>Cargill International, SA</v>
          </cell>
        </row>
        <row r="336">
          <cell r="B336" t="str">
            <v xml:space="preserve">Cargo Logistics Inc </v>
          </cell>
        </row>
        <row r="337">
          <cell r="B337" t="str">
            <v>Carline Harper Interiors Ltd</v>
          </cell>
        </row>
        <row r="338">
          <cell r="B338" t="str">
            <v xml:space="preserve">Carlos A Lyng Falcone </v>
          </cell>
        </row>
        <row r="339">
          <cell r="B339" t="str">
            <v>Carlson Watch Co Ltd</v>
          </cell>
        </row>
        <row r="340">
          <cell r="B340" t="str">
            <v xml:space="preserve">Carolina Casualty Insurance Co </v>
          </cell>
        </row>
        <row r="341">
          <cell r="B341" t="str">
            <v>Carolinas Recycling Group LLC</v>
          </cell>
        </row>
        <row r="342">
          <cell r="B342" t="str">
            <v>Carr Future-Margin Deposit</v>
          </cell>
        </row>
        <row r="343">
          <cell r="B343" t="str">
            <v xml:space="preserve">Carrier Equipment </v>
          </cell>
        </row>
        <row r="344">
          <cell r="B344" t="str">
            <v xml:space="preserve">Carrier Services </v>
          </cell>
        </row>
        <row r="345">
          <cell r="B345" t="str">
            <v xml:space="preserve">Carson M Simon </v>
          </cell>
        </row>
        <row r="346">
          <cell r="B346" t="str">
            <v xml:space="preserve">Casa Homs Sc </v>
          </cell>
        </row>
        <row r="347">
          <cell r="B347" t="str">
            <v>Cayro Sadecv</v>
          </cell>
        </row>
        <row r="348">
          <cell r="B348" t="str">
            <v>CBS Blooms Business Systems Inc</v>
          </cell>
        </row>
        <row r="349">
          <cell r="B349" t="str">
            <v>Cch Incorporated</v>
          </cell>
        </row>
        <row r="350">
          <cell r="B350" t="str">
            <v>Cebo Staffing</v>
          </cell>
        </row>
        <row r="351">
          <cell r="B351" t="str">
            <v xml:space="preserve">Cedar Petrochemicals, Inc. </v>
          </cell>
        </row>
        <row r="352">
          <cell r="B352" t="str">
            <v xml:space="preserve">Celtic Marine Corporation </v>
          </cell>
        </row>
        <row r="353">
          <cell r="B353" t="str">
            <v>Centaline JulieS Personnel</v>
          </cell>
        </row>
        <row r="354">
          <cell r="B354" t="str">
            <v>Centrans Internacional SA</v>
          </cell>
        </row>
        <row r="355">
          <cell r="B355" t="str">
            <v>Centura Ltd</v>
          </cell>
        </row>
        <row r="356">
          <cell r="B356" t="str">
            <v>Century Aluminum Company (Hawesville)</v>
          </cell>
        </row>
        <row r="357">
          <cell r="B357" t="str">
            <v>Century Aluminum Company (Ravenswood)</v>
          </cell>
        </row>
        <row r="358">
          <cell r="B358" t="str">
            <v>Ceres Commodities Group LLC</v>
          </cell>
        </row>
        <row r="359">
          <cell r="B359" t="str">
            <v xml:space="preserve">CH Robinson Worldwide, Inc. </v>
          </cell>
        </row>
        <row r="360">
          <cell r="B360" t="str">
            <v xml:space="preserve">Chaney Express Line </v>
          </cell>
        </row>
        <row r="361">
          <cell r="B361" t="str">
            <v>Changdu International Co Ltd</v>
          </cell>
        </row>
        <row r="362">
          <cell r="B362" t="str">
            <v>Chao Lan</v>
          </cell>
        </row>
        <row r="363">
          <cell r="B363" t="str">
            <v>Charles Kolstad</v>
          </cell>
        </row>
        <row r="364">
          <cell r="B364" t="str">
            <v>Charles Schwab &amp; Co</v>
          </cell>
        </row>
        <row r="365">
          <cell r="B365" t="str">
            <v xml:space="preserve">Charter Brokerage Corporation </v>
          </cell>
        </row>
        <row r="366">
          <cell r="B366" t="str">
            <v xml:space="preserve">Charter Brokerage LLC </v>
          </cell>
        </row>
        <row r="367">
          <cell r="B367" t="str">
            <v>Charter Shipping Software Ltd</v>
          </cell>
        </row>
        <row r="368">
          <cell r="B368" t="str">
            <v>Chartered Asso Cert Accountant</v>
          </cell>
        </row>
        <row r="369">
          <cell r="B369" t="str">
            <v>Chase Access Services Corp</v>
          </cell>
        </row>
        <row r="370">
          <cell r="B370" t="str">
            <v>Chastant Llc</v>
          </cell>
        </row>
        <row r="371">
          <cell r="B371" t="str">
            <v>Chauffeured Limousine Service Inc</v>
          </cell>
        </row>
        <row r="372">
          <cell r="B372" t="str">
            <v>Chemarketing Industries Inc</v>
          </cell>
        </row>
        <row r="373">
          <cell r="B373" t="str">
            <v>Chembulk Trading, Inc.</v>
          </cell>
        </row>
        <row r="374">
          <cell r="B374" t="str">
            <v xml:space="preserve">Chemconnect </v>
          </cell>
        </row>
        <row r="375">
          <cell r="B375" t="str">
            <v>Chemical &amp; Petrochemical Inspections LLP</v>
          </cell>
        </row>
        <row r="376">
          <cell r="B376" t="str">
            <v>Chemical Bank-Visa</v>
          </cell>
        </row>
        <row r="377">
          <cell r="B377" t="str">
            <v>Chemium International Corp.</v>
          </cell>
        </row>
        <row r="378">
          <cell r="B378" t="str">
            <v xml:space="preserve">Chemtrec </v>
          </cell>
        </row>
        <row r="379">
          <cell r="B379" t="str">
            <v xml:space="preserve">ChemVista Inc. </v>
          </cell>
        </row>
        <row r="380">
          <cell r="B380" t="str">
            <v>Cheng Yuk Ying Margaret</v>
          </cell>
        </row>
        <row r="381">
          <cell r="B381" t="str">
            <v>Chevalier (Hk) Ltd</v>
          </cell>
        </row>
        <row r="382">
          <cell r="B382" t="str">
            <v>Chevron Phillips Chemical Company LP</v>
          </cell>
        </row>
        <row r="383">
          <cell r="B383" t="str">
            <v xml:space="preserve">Chevron Products Company </v>
          </cell>
        </row>
        <row r="384">
          <cell r="B384" t="str">
            <v>Chevron Corp.</v>
          </cell>
        </row>
        <row r="385">
          <cell r="B385" t="str">
            <v>Chicago Board of Trade</v>
          </cell>
        </row>
        <row r="386">
          <cell r="B386" t="str">
            <v>Chief Ethanol Fuels, Inc.</v>
          </cell>
        </row>
        <row r="387">
          <cell r="B387" t="str">
            <v>Child Thalassaemia Foundation</v>
          </cell>
        </row>
        <row r="388">
          <cell r="B388" t="str">
            <v>China Art</v>
          </cell>
        </row>
        <row r="389">
          <cell r="B389" t="str">
            <v>China Club Beijing Ltd</v>
          </cell>
        </row>
        <row r="390">
          <cell r="B390" t="str">
            <v>China Daily</v>
          </cell>
        </row>
        <row r="391">
          <cell r="B391" t="str">
            <v>China Hotel</v>
          </cell>
        </row>
        <row r="392">
          <cell r="B392" t="str">
            <v>China Inspection</v>
          </cell>
        </row>
        <row r="393">
          <cell r="B393" t="str">
            <v>China Inspection Co Ltd</v>
          </cell>
        </row>
        <row r="394">
          <cell r="B394" t="str">
            <v>China Intl Eco &amp; Tde Arbitration Co</v>
          </cell>
        </row>
        <row r="395">
          <cell r="B395" t="str">
            <v>China Phone Book Co Ltd</v>
          </cell>
        </row>
        <row r="396">
          <cell r="B396" t="str">
            <v>China Resources Ad &amp; ExhibitN</v>
          </cell>
        </row>
        <row r="397">
          <cell r="B397" t="str">
            <v>China World Hotel</v>
          </cell>
        </row>
        <row r="398">
          <cell r="B398" t="str">
            <v>Chinamotion Netcom</v>
          </cell>
        </row>
        <row r="399">
          <cell r="B399" t="str">
            <v>Chinese Language Institute Of</v>
          </cell>
        </row>
        <row r="400">
          <cell r="B400" t="str">
            <v xml:space="preserve">Chizek Transport, Inc. </v>
          </cell>
        </row>
        <row r="401">
          <cell r="B401" t="str">
            <v>Chorlotte Horstmann Gerald</v>
          </cell>
        </row>
        <row r="402">
          <cell r="B402" t="str">
            <v>Chubb Hong Kong Ltd</v>
          </cell>
        </row>
        <row r="403">
          <cell r="B403" t="str">
            <v>Chung Sau Lin (Pacific Develop)</v>
          </cell>
        </row>
        <row r="404">
          <cell r="B404" t="str">
            <v xml:space="preserve">Ci Co Cafetera Agricola Desantand </v>
          </cell>
        </row>
        <row r="405">
          <cell r="B405" t="str">
            <v>C.I.Compania Cafetera de Manzanares S.A.</v>
          </cell>
        </row>
        <row r="406">
          <cell r="B406" t="str">
            <v>C.I. Compañia Cafetera Agricola de Santander S.A.</v>
          </cell>
        </row>
        <row r="407">
          <cell r="B407" t="str">
            <v xml:space="preserve">Ci Del Mar Caribe S.A. </v>
          </cell>
        </row>
        <row r="408">
          <cell r="B408" t="str">
            <v>Ci Racafe &amp; Ciasca</v>
          </cell>
        </row>
        <row r="409">
          <cell r="B409" t="str">
            <v xml:space="preserve">Cia Com Agric De Santander 1 </v>
          </cell>
        </row>
        <row r="410">
          <cell r="B410" t="str">
            <v>CIAMSA</v>
          </cell>
        </row>
        <row r="411">
          <cell r="B411" t="str">
            <v>Cigna Group Insurance</v>
          </cell>
        </row>
        <row r="412">
          <cell r="B412" t="str">
            <v>Cimeurope Sarl</v>
          </cell>
        </row>
        <row r="413">
          <cell r="B413" t="str">
            <v>Cingular Wireless</v>
          </cell>
        </row>
        <row r="414">
          <cell r="B414" t="str">
            <v>CIS Navigation Inc.</v>
          </cell>
        </row>
        <row r="415">
          <cell r="B415" t="str">
            <v>CIT Group Inc.</v>
          </cell>
        </row>
        <row r="416">
          <cell r="B416" t="str">
            <v xml:space="preserve">Citgo Petroleum Corp. </v>
          </cell>
        </row>
        <row r="417">
          <cell r="B417" t="str">
            <v>Citibank Card Centre Products</v>
          </cell>
        </row>
        <row r="418">
          <cell r="B418" t="str">
            <v>Citic Finance Department</v>
          </cell>
        </row>
        <row r="419">
          <cell r="B419" t="str">
            <v>Citigroup Inc.</v>
          </cell>
        </row>
        <row r="420">
          <cell r="B420" t="str">
            <v>Citrix Systems Inc</v>
          </cell>
        </row>
        <row r="421">
          <cell r="B421" t="str">
            <v>Citybase Property Management</v>
          </cell>
        </row>
        <row r="422">
          <cell r="B422" t="str">
            <v>CJP International PTE LTD</v>
          </cell>
        </row>
        <row r="423">
          <cell r="B423" t="str">
            <v>CKS</v>
          </cell>
        </row>
        <row r="424">
          <cell r="B424" t="str">
            <v>C-Koe Metals Company</v>
          </cell>
        </row>
        <row r="425">
          <cell r="B425" t="str">
            <v>Claim Provision</v>
          </cell>
        </row>
        <row r="426">
          <cell r="B426" t="str">
            <v xml:space="preserve">Clark Farms Trucking, Inc. </v>
          </cell>
        </row>
        <row r="427">
          <cell r="B427" t="str">
            <v>Clarkson Asia Ltd</v>
          </cell>
        </row>
        <row r="428">
          <cell r="B428" t="str">
            <v>Clarkson Research Studies</v>
          </cell>
        </row>
        <row r="429">
          <cell r="B429" t="str">
            <v>Clayton Metals, Inc.</v>
          </cell>
        </row>
        <row r="430">
          <cell r="B430" t="str">
            <v>Clerical Medical General Life</v>
          </cell>
        </row>
        <row r="431">
          <cell r="B431" t="str">
            <v>Clerical Medical Inv Group Ltd</v>
          </cell>
        </row>
        <row r="432">
          <cell r="B432" t="str">
            <v>Clifford Chance (Singapore) Ltd</v>
          </cell>
        </row>
        <row r="433">
          <cell r="B433" t="str">
            <v>Clifford Chance Cis Ltd</v>
          </cell>
        </row>
        <row r="434">
          <cell r="B434" t="str">
            <v xml:space="preserve">Clifford Chance Us LLP </v>
          </cell>
        </row>
        <row r="435">
          <cell r="B435" t="str">
            <v xml:space="preserve">Clipper Denmark A/S </v>
          </cell>
        </row>
        <row r="436">
          <cell r="B436" t="str">
            <v xml:space="preserve">Clover Trucking </v>
          </cell>
        </row>
        <row r="437">
          <cell r="B437" t="str">
            <v>Clp Power Hong Kong Ltd</v>
          </cell>
        </row>
        <row r="438">
          <cell r="B438" t="str">
            <v>Clubtravel IntL Ltd</v>
          </cell>
        </row>
        <row r="439">
          <cell r="B439" t="str">
            <v>CMA-CGM</v>
          </cell>
        </row>
        <row r="440">
          <cell r="B440" t="str">
            <v>CMAI</v>
          </cell>
        </row>
        <row r="441">
          <cell r="B441" t="str">
            <v>Cms Cameron Mckenna</v>
          </cell>
        </row>
        <row r="442">
          <cell r="B442" t="str">
            <v xml:space="preserve">Cmw Express </v>
          </cell>
        </row>
        <row r="443">
          <cell r="B443" t="str">
            <v xml:space="preserve">Cn - Revenue Management </v>
          </cell>
        </row>
        <row r="444">
          <cell r="B444" t="str">
            <v>CN Consultancy Ltd</v>
          </cell>
        </row>
        <row r="445">
          <cell r="B445" t="str">
            <v>CNX Marine Terminals, Inc.</v>
          </cell>
        </row>
        <row r="446">
          <cell r="B446" t="str">
            <v>Coaltrade</v>
          </cell>
        </row>
        <row r="447">
          <cell r="B447" t="str">
            <v>Coaltrans Conferences Ltd</v>
          </cell>
        </row>
        <row r="448">
          <cell r="B448" t="str">
            <v>Coastal Aruba Refining Co., N.V.</v>
          </cell>
        </row>
        <row r="449">
          <cell r="B449" t="str">
            <v xml:space="preserve">Coastal Cargo Of Texas, Inc. </v>
          </cell>
        </row>
        <row r="450">
          <cell r="B450" t="str">
            <v>Coastal Chem Inc</v>
          </cell>
        </row>
        <row r="451">
          <cell r="B451" t="str">
            <v xml:space="preserve">Coastal Corporation </v>
          </cell>
        </row>
        <row r="452">
          <cell r="B452" t="str">
            <v xml:space="preserve">Coastal Gulf &amp; International </v>
          </cell>
        </row>
        <row r="453">
          <cell r="B453" t="str">
            <v xml:space="preserve">Cocal </v>
          </cell>
        </row>
        <row r="454">
          <cell r="B454" t="str">
            <v>Cocoa &amp; Chocolate Consultants Ltd</v>
          </cell>
        </row>
        <row r="455">
          <cell r="B455" t="str">
            <v>Cocoa Department - Interest Allocation</v>
          </cell>
        </row>
        <row r="456">
          <cell r="B456" t="str">
            <v>Cocoa Marketing Co. (Ghana) Ltd.</v>
          </cell>
        </row>
        <row r="457">
          <cell r="B457" t="str">
            <v xml:space="preserve">Cocoa Merchants Association of America </v>
          </cell>
        </row>
        <row r="458">
          <cell r="B458" t="str">
            <v>Cocoa Services, L.P.</v>
          </cell>
        </row>
        <row r="459">
          <cell r="B459" t="str">
            <v>Coda System Asia Pacific Pte Ltd</v>
          </cell>
        </row>
        <row r="460">
          <cell r="B460" t="str">
            <v>Codan Services Ltd</v>
          </cell>
        </row>
        <row r="461">
          <cell r="B461" t="str">
            <v xml:space="preserve">COEX EXPORTADORA (HONDURAS) S.A.DE C.V.
</v>
          </cell>
        </row>
        <row r="462">
          <cell r="B462" t="str">
            <v xml:space="preserve">Coffee America (Usa) Corp </v>
          </cell>
        </row>
        <row r="463">
          <cell r="B463" t="str">
            <v>Coffee Link International</v>
          </cell>
        </row>
        <row r="464">
          <cell r="B464" t="str">
            <v xml:space="preserve">Coffee Network </v>
          </cell>
        </row>
        <row r="465">
          <cell r="B465" t="str">
            <v>Coffee Publications Inc</v>
          </cell>
        </row>
        <row r="466">
          <cell r="B466" t="str">
            <v>CTH Coffee Terminal Hamburg GmbH</v>
          </cell>
        </row>
        <row r="467">
          <cell r="B467" t="str">
            <v>Coffee Transport Inc.</v>
          </cell>
        </row>
        <row r="468">
          <cell r="B468" t="str">
            <v>Coffein Compagnie</v>
          </cell>
        </row>
        <row r="469">
          <cell r="B469" t="str">
            <v>Coffexport N.V.</v>
          </cell>
        </row>
        <row r="470">
          <cell r="B470" t="str">
            <v>COHONDUCAFE
COMPAÑIA HONDUREÑA DE CAFE S. DE R.L.</v>
          </cell>
        </row>
        <row r="471">
          <cell r="B471" t="str">
            <v>Coimex Energy Inc.</v>
          </cell>
        </row>
        <row r="472">
          <cell r="B472" t="str">
            <v>Coke Market Report</v>
          </cell>
        </row>
        <row r="473">
          <cell r="B473" t="str">
            <v>Coldwell Banker Escrow</v>
          </cell>
        </row>
        <row r="474">
          <cell r="B474" t="str">
            <v>Colmar Storage LLC</v>
          </cell>
        </row>
        <row r="475">
          <cell r="B475" t="str">
            <v>Colonial Cocoa Del Ecuador S.A.</v>
          </cell>
        </row>
        <row r="476">
          <cell r="B476" t="str">
            <v>Colonial Coffee Roasters Inc.</v>
          </cell>
        </row>
        <row r="477">
          <cell r="B477" t="str">
            <v xml:space="preserve">Colonial Navigation Co. </v>
          </cell>
        </row>
        <row r="478">
          <cell r="B478" t="str">
            <v xml:space="preserve">Colonial Oil Industries </v>
          </cell>
        </row>
        <row r="479">
          <cell r="B479" t="str">
            <v>Colorado Fuel Maqnufacturers, Inc.</v>
          </cell>
        </row>
        <row r="480">
          <cell r="B480" t="str">
            <v xml:space="preserve">Colsuaves Ltda. </v>
          </cell>
        </row>
        <row r="481">
          <cell r="B481" t="str">
            <v>Columbia Metals Company</v>
          </cell>
        </row>
        <row r="482">
          <cell r="B482" t="str">
            <v>Columbia Shipmanagement Ltd.</v>
          </cell>
        </row>
        <row r="483">
          <cell r="B483" t="str">
            <v>Columbia Specialty Metals L.L.C.</v>
          </cell>
        </row>
        <row r="484">
          <cell r="B484" t="str">
            <v xml:space="preserve">Columbia Ventures Corporation </v>
          </cell>
        </row>
        <row r="485">
          <cell r="B485" t="str">
            <v xml:space="preserve">Comdata Network, Inc. </v>
          </cell>
        </row>
        <row r="486">
          <cell r="B486" t="str">
            <v>Comer Company Ltd</v>
          </cell>
        </row>
        <row r="487">
          <cell r="B487" t="str">
            <v xml:space="preserve">Comercial Exportadora Sa De CV </v>
          </cell>
        </row>
        <row r="488">
          <cell r="B488" t="str">
            <v>Cominter International</v>
          </cell>
        </row>
        <row r="489">
          <cell r="B489" t="str">
            <v>Commerce &amp; Finance Law Office</v>
          </cell>
        </row>
        <row r="490">
          <cell r="B490" t="str">
            <v>Commercial Alloys Corporation</v>
          </cell>
        </row>
        <row r="491">
          <cell r="B491" t="str">
            <v>Commercial Testing &amp; Engineering Co.</v>
          </cell>
        </row>
        <row r="492">
          <cell r="B492" t="str">
            <v>Commodities Management Exchange Inc.</v>
          </cell>
        </row>
        <row r="493">
          <cell r="B493" t="str">
            <v>Commodity Advisory Corp Of TX</v>
          </cell>
        </row>
        <row r="494">
          <cell r="B494" t="str">
            <v>Commonwealth Aluminum Corporation</v>
          </cell>
        </row>
        <row r="495">
          <cell r="B495" t="str">
            <v xml:space="preserve">Commonwealth Business Media, Inc. </v>
          </cell>
        </row>
        <row r="496">
          <cell r="B496" t="str">
            <v>Compania Agricola Industrial Santa Ana, SA</v>
          </cell>
        </row>
        <row r="497">
          <cell r="B497" t="str">
            <v>COHONDUCAFE
COMPAÑIA HONDUREÑA DE CAFE S. DE R.L.</v>
          </cell>
        </row>
        <row r="498">
          <cell r="B498" t="str">
            <v>Compania Maritima De Panama Sa</v>
          </cell>
        </row>
        <row r="499">
          <cell r="B499" t="str">
            <v>Compania Sud Americana de Vapores SA</v>
          </cell>
        </row>
        <row r="500">
          <cell r="B500" t="str">
            <v xml:space="preserve">Computek </v>
          </cell>
        </row>
        <row r="501">
          <cell r="B501" t="str">
            <v>Computer Education Services Corp</v>
          </cell>
        </row>
        <row r="502">
          <cell r="B502" t="str">
            <v>Computer Service &amp; Restoration Inc</v>
          </cell>
        </row>
        <row r="503">
          <cell r="B503" t="str">
            <v>Comtrade</v>
          </cell>
        </row>
        <row r="504">
          <cell r="B504" t="str">
            <v xml:space="preserve">Comtrol Services Corp.  Amspec </v>
          </cell>
        </row>
        <row r="505">
          <cell r="B505" t="str">
            <v xml:space="preserve">Comtrol Services Corp. </v>
          </cell>
        </row>
        <row r="506">
          <cell r="B506" t="str">
            <v>Concepcion SA</v>
          </cell>
        </row>
        <row r="507">
          <cell r="B507" t="str">
            <v>Conoco Phillips Company</v>
          </cell>
        </row>
        <row r="508">
          <cell r="B508" t="str">
            <v>Conrad International Hong Kong</v>
          </cell>
        </row>
        <row r="509">
          <cell r="B509" t="str">
            <v>Consult Teknik International</v>
          </cell>
        </row>
        <row r="510">
          <cell r="B510" t="str">
            <v>Consumer Appliances Serv Ltd</v>
          </cell>
        </row>
        <row r="511">
          <cell r="B511" t="str">
            <v>Continaf BV</v>
          </cell>
        </row>
        <row r="512">
          <cell r="B512" t="str">
            <v>Continental Enterprises Ltd</v>
          </cell>
        </row>
        <row r="513">
          <cell r="B513" t="str">
            <v xml:space="preserve">Continental Terminals, Inc. </v>
          </cell>
        </row>
        <row r="514">
          <cell r="B514" t="str">
            <v xml:space="preserve">Contract Resources Group </v>
          </cell>
        </row>
        <row r="515">
          <cell r="B515" t="str">
            <v>Conversent Communications Llc</v>
          </cell>
        </row>
        <row r="516">
          <cell r="B516" t="str">
            <v>Conyers Dill &amp; Pearman</v>
          </cell>
        </row>
        <row r="517">
          <cell r="B517" t="str">
            <v xml:space="preserve">Cooperative Agraria </v>
          </cell>
        </row>
        <row r="518">
          <cell r="B518" t="str">
            <v>Cooperative Cuzcachapa De RL</v>
          </cell>
        </row>
        <row r="519">
          <cell r="B519" t="str">
            <v>Cooperative De Cafetaleros "Los Ausolos"</v>
          </cell>
        </row>
        <row r="520">
          <cell r="B520" t="str">
            <v xml:space="preserve">Copersucar Trading Avv </v>
          </cell>
        </row>
        <row r="521">
          <cell r="B521" t="str">
            <v>Copesul International Trading</v>
          </cell>
        </row>
        <row r="522">
          <cell r="B522" t="str">
            <v xml:space="preserve">Coraltrade </v>
          </cell>
        </row>
        <row r="523">
          <cell r="B523" t="str">
            <v>Coremet Trading Inc.</v>
          </cell>
        </row>
        <row r="524">
          <cell r="B524" t="str">
            <v>Corniche Travel Ltd</v>
          </cell>
        </row>
        <row r="525">
          <cell r="B525" t="str">
            <v>Corporate Express - Chicago</v>
          </cell>
        </row>
        <row r="526">
          <cell r="B526" t="str">
            <v>Corporate Express - Stamford</v>
          </cell>
        </row>
        <row r="527">
          <cell r="B527" t="str">
            <v>Corporate Suites</v>
          </cell>
        </row>
        <row r="528">
          <cell r="B528" t="str">
            <v>Corporation Dynamo Logistik</v>
          </cell>
        </row>
        <row r="529">
          <cell r="B529" t="str">
            <v xml:space="preserve">Corporation Service Company </v>
          </cell>
        </row>
        <row r="530">
          <cell r="B530" t="str">
            <v>Corus Aluminum Service Center, Inc</v>
          </cell>
        </row>
        <row r="531">
          <cell r="B531" t="str">
            <v>Cosmopolitan Hotel Ltd</v>
          </cell>
        </row>
        <row r="532">
          <cell r="B532" t="str">
            <v xml:space="preserve">Cotterell Commodities International NV </v>
          </cell>
        </row>
        <row r="533">
          <cell r="B533" t="str">
            <v>Coudert Brothers LLP</v>
          </cell>
        </row>
        <row r="534">
          <cell r="B534" t="str">
            <v>County TV</v>
          </cell>
        </row>
        <row r="535">
          <cell r="B535" t="str">
            <v xml:space="preserve">Courtney Equipment Company, Inc. </v>
          </cell>
        </row>
        <row r="536">
          <cell r="B536" t="str">
            <v xml:space="preserve">Coyle Trucking Inc. </v>
          </cell>
        </row>
        <row r="537">
          <cell r="B537" t="str">
            <v>Cpcnet Hong Kong Ltd</v>
          </cell>
        </row>
        <row r="538">
          <cell r="B538" t="str">
            <v>Cpn Incorporated Ltd Rp</v>
          </cell>
        </row>
        <row r="539">
          <cell r="B539" t="str">
            <v xml:space="preserve">Cqg Inc </v>
          </cell>
        </row>
        <row r="540">
          <cell r="B540" t="str">
            <v xml:space="preserve">Cr England Inc </v>
          </cell>
        </row>
        <row r="541">
          <cell r="B541" t="str">
            <v>Craig M Ferguson &amp; Co</v>
          </cell>
        </row>
        <row r="542">
          <cell r="B542" t="str">
            <v>Creative Premium Dev Co Ltd</v>
          </cell>
        </row>
        <row r="543">
          <cell r="B543" t="str">
            <v xml:space="preserve">Credit Lyonnais Rouse (Usa) Ltd. </v>
          </cell>
        </row>
        <row r="544">
          <cell r="B544" t="str">
            <v>Credit Suisse</v>
          </cell>
        </row>
        <row r="545">
          <cell r="B545" t="str">
            <v xml:space="preserve">Crescent One Briarlake </v>
          </cell>
        </row>
        <row r="546">
          <cell r="B546" t="str">
            <v>Crescent Transport Inc.</v>
          </cell>
        </row>
        <row r="547">
          <cell r="B547" t="str">
            <v xml:space="preserve">Cresco Lines Inc. </v>
          </cell>
        </row>
        <row r="548">
          <cell r="B548" t="str">
            <v>Croft L.L.C.</v>
          </cell>
        </row>
        <row r="549">
          <cell r="B549" t="str">
            <v xml:space="preserve">Crosby Brokerage </v>
          </cell>
        </row>
        <row r="550">
          <cell r="B550" t="str">
            <v xml:space="preserve">Cross Chartering NV </v>
          </cell>
        </row>
        <row r="551">
          <cell r="B551" t="str">
            <v xml:space="preserve">Crossroad Carriers, Inc. </v>
          </cell>
        </row>
        <row r="552">
          <cell r="B552" t="str">
            <v xml:space="preserve">Crowley Liner Services, Inc. </v>
          </cell>
        </row>
        <row r="553">
          <cell r="B553" t="str">
            <v>Crown Central Petroleum Corp.</v>
          </cell>
        </row>
        <row r="554">
          <cell r="B554" t="str">
            <v>Crown Motors Ltd</v>
          </cell>
        </row>
        <row r="555">
          <cell r="B555" t="str">
            <v>Crown Pacific Ltd</v>
          </cell>
        </row>
        <row r="556">
          <cell r="B556" t="str">
            <v>Crown Worldwide Hk Ltd</v>
          </cell>
        </row>
        <row r="557">
          <cell r="B557" t="str">
            <v xml:space="preserve">CRST International, Inc. </v>
          </cell>
        </row>
        <row r="558">
          <cell r="B558" t="str">
            <v>Cru International Ltd</v>
          </cell>
        </row>
        <row r="559">
          <cell r="B559" t="str">
            <v>Cru Publishing Ltd</v>
          </cell>
        </row>
        <row r="560">
          <cell r="B560" t="str">
            <v>Crystal Rock</v>
          </cell>
        </row>
        <row r="561">
          <cell r="B561" t="str">
            <v>CSX Transportation, Inc.</v>
          </cell>
        </row>
        <row r="562">
          <cell r="B562" t="str">
            <v>CT Corporation Systems</v>
          </cell>
        </row>
        <row r="563">
          <cell r="B563" t="str">
            <v>CTBK Corporation</v>
          </cell>
        </row>
        <row r="564">
          <cell r="B564" t="str">
            <v xml:space="preserve">CTC International </v>
          </cell>
        </row>
        <row r="565">
          <cell r="B565" t="str">
            <v>Cto Data Services Co</v>
          </cell>
        </row>
        <row r="566">
          <cell r="B566" t="str">
            <v xml:space="preserve">Cumbre Exportada De Cafe </v>
          </cell>
        </row>
        <row r="567">
          <cell r="B567" t="str">
            <v>Curzon Maritime Ltd</v>
          </cell>
        </row>
        <row r="568">
          <cell r="B568" t="str">
            <v>Custom Aluminum Products, Inc.</v>
          </cell>
        </row>
        <row r="569">
          <cell r="B569" t="str">
            <v>Custom Image Embroidery</v>
          </cell>
        </row>
        <row r="570">
          <cell r="B570" t="str">
            <v>CY Kwan &amp; Co</v>
          </cell>
        </row>
        <row r="571">
          <cell r="B571" t="str">
            <v>Cynkei Enterprises</v>
          </cell>
        </row>
        <row r="572">
          <cell r="B572" t="str">
            <v>Cyrilla House Florist</v>
          </cell>
        </row>
        <row r="573">
          <cell r="B573" t="str">
            <v>Dade Enterprises, Inc.</v>
          </cell>
        </row>
        <row r="574">
          <cell r="B574" t="str">
            <v>Dallas-Mavis Specialized Carrier</v>
          </cell>
        </row>
        <row r="575">
          <cell r="B575" t="str">
            <v>Dan Groshong</v>
          </cell>
        </row>
        <row r="576">
          <cell r="B576" t="str">
            <v>Danzas Aei Drawback Services Inc.</v>
          </cell>
        </row>
        <row r="577">
          <cell r="B577" t="str">
            <v>Dapco Brokerage, Ltd</v>
          </cell>
        </row>
        <row r="578">
          <cell r="B578" t="str">
            <v>Darome Teleconference</v>
          </cell>
        </row>
        <row r="579">
          <cell r="B579" t="str">
            <v xml:space="preserve">Darrin Donegan </v>
          </cell>
        </row>
        <row r="580">
          <cell r="B580" t="str">
            <v>Data Tel Llc</v>
          </cell>
        </row>
        <row r="581">
          <cell r="B581" t="str">
            <v xml:space="preserve">Data Transmission Network </v>
          </cell>
        </row>
        <row r="582">
          <cell r="B582" t="str">
            <v>Data World Computer &amp; Com</v>
          </cell>
        </row>
        <row r="583">
          <cell r="B583" t="str">
            <v xml:space="preserve">Datablox Inc </v>
          </cell>
        </row>
        <row r="584">
          <cell r="B584" t="str">
            <v>DataVox Business Communications</v>
          </cell>
        </row>
        <row r="585">
          <cell r="B585" t="str">
            <v>David A Sabini &amp; Co Inc</v>
          </cell>
        </row>
        <row r="586">
          <cell r="B586" t="str">
            <v>David Ball Esq</v>
          </cell>
        </row>
        <row r="587">
          <cell r="B587" t="str">
            <v>David J. Joseph Co.</v>
          </cell>
        </row>
        <row r="588">
          <cell r="B588" t="str">
            <v>Davnet Digital Hk Ltd</v>
          </cell>
        </row>
        <row r="589">
          <cell r="B589" t="str">
            <v>C &amp; L Transport</v>
          </cell>
        </row>
        <row r="590">
          <cell r="B590" t="str">
            <v>DBS Securities Honk Kong Ltd</v>
          </cell>
        </row>
        <row r="591">
          <cell r="B591" t="str">
            <v>Dch Interior Products Co Ltd</v>
          </cell>
        </row>
        <row r="592">
          <cell r="B592" t="str">
            <v>De Clercq Office Group</v>
          </cell>
        </row>
        <row r="593">
          <cell r="B593" t="str">
            <v>Decotrade AG</v>
          </cell>
        </row>
        <row r="594">
          <cell r="B594" t="str">
            <v xml:space="preserve">De Marasquin Inc </v>
          </cell>
        </row>
        <row r="595">
          <cell r="B595" t="str">
            <v>Deacons</v>
          </cell>
        </row>
        <row r="596">
          <cell r="B596" t="str">
            <v>Debis International Trading Venezuela, CA</v>
          </cell>
        </row>
        <row r="597">
          <cell r="B597" t="str">
            <v xml:space="preserve">Decker Truck Line Inc. </v>
          </cell>
        </row>
        <row r="598">
          <cell r="B598" t="str">
            <v xml:space="preserve">Dedini S/A Indústrias de Base </v>
          </cell>
        </row>
        <row r="599">
          <cell r="B599" t="str">
            <v>Delaware Division of Revenue</v>
          </cell>
        </row>
        <row r="600">
          <cell r="B600" t="str">
            <v>Delphitech Solutions Ltd</v>
          </cell>
        </row>
        <row r="601">
          <cell r="B601" t="str">
            <v>Deluxe Blind Engineering Ltd</v>
          </cell>
        </row>
        <row r="602">
          <cell r="B602" t="str">
            <v>Deluxe Business Checks &amp; Solutions</v>
          </cell>
        </row>
        <row r="603">
          <cell r="B603" t="str">
            <v>Dentsu Young &amp; Rubicam Pte Ltd</v>
          </cell>
        </row>
        <row r="604">
          <cell r="B604" t="str">
            <v>Dependable Distribution Centers</v>
          </cell>
        </row>
        <row r="605">
          <cell r="B605" t="str">
            <v xml:space="preserve">Depoli Tankers BV </v>
          </cell>
        </row>
        <row r="606">
          <cell r="B606" t="str">
            <v>Desjardins Ducharme Stein Monast</v>
          </cell>
        </row>
        <row r="607">
          <cell r="B607" t="str">
            <v>Desmond J Mcclean</v>
          </cell>
        </row>
        <row r="608">
          <cell r="B608" t="str">
            <v>Dewitt &amp; Company Inc</v>
          </cell>
        </row>
        <row r="609">
          <cell r="B609" t="str">
            <v>Dharmala Securities Co Ltd</v>
          </cell>
        </row>
        <row r="610">
          <cell r="B610" t="str">
            <v>DHL Express - Houston</v>
          </cell>
        </row>
        <row r="611">
          <cell r="B611" t="str">
            <v>Dhl IntL (Hk) Ltd</v>
          </cell>
        </row>
        <row r="612">
          <cell r="B612" t="str">
            <v>DHL Worldwide - New Orleans</v>
          </cell>
        </row>
        <row r="613">
          <cell r="B613" t="str">
            <v>DHL Worldwide - Stamford</v>
          </cell>
        </row>
        <row r="614">
          <cell r="B614" t="str">
            <v xml:space="preserve">Diamond State Trucking Incorporated </v>
          </cell>
        </row>
        <row r="615">
          <cell r="B615" t="str">
            <v>Dibb Lupton Alsop</v>
          </cell>
        </row>
        <row r="616">
          <cell r="B616" t="str">
            <v>Digital Island</v>
          </cell>
        </row>
        <row r="617">
          <cell r="B617" t="str">
            <v xml:space="preserve">Dillion Energy, Inc. </v>
          </cell>
        </row>
        <row r="618">
          <cell r="B618" t="str">
            <v>Diners Club</v>
          </cell>
        </row>
        <row r="619">
          <cell r="B619" t="str">
            <v>Diners Prof Translation Serv</v>
          </cell>
        </row>
        <row r="620">
          <cell r="B620" t="str">
            <v>Discount Trucking Inc.</v>
          </cell>
        </row>
        <row r="621">
          <cell r="B621" t="str">
            <v xml:space="preserve">Ditzfeld Transfer </v>
          </cell>
        </row>
        <row r="622">
          <cell r="B622" t="str">
            <v>Dixie Drayage Service Inc</v>
          </cell>
        </row>
        <row r="623">
          <cell r="B623" t="str">
            <v>Dolium Sa</v>
          </cell>
        </row>
        <row r="624">
          <cell r="B624" t="str">
            <v>Domino Sugar Corp.</v>
          </cell>
        </row>
        <row r="625">
          <cell r="B625" t="str">
            <v>Don DeMarco</v>
          </cell>
        </row>
        <row r="626">
          <cell r="B626" t="str">
            <v>Donald Cocoa Associates</v>
          </cell>
        </row>
        <row r="627">
          <cell r="B627" t="str">
            <v xml:space="preserve">Donald Cocoa Jersey Ltd </v>
          </cell>
        </row>
        <row r="628">
          <cell r="B628" t="str">
            <v>Dorado Tankers Inc</v>
          </cell>
        </row>
        <row r="629">
          <cell r="B629" t="str">
            <v>Doveriya Hldgs Ltd</v>
          </cell>
        </row>
        <row r="630">
          <cell r="B630" t="str">
            <v xml:space="preserve">Dow Chemical Company </v>
          </cell>
        </row>
        <row r="631">
          <cell r="B631" t="str">
            <v>Dow Hydrocarbons &amp; Resources Inc.</v>
          </cell>
        </row>
        <row r="632">
          <cell r="B632" t="str">
            <v>Dow Jones &amp; Company</v>
          </cell>
        </row>
        <row r="633">
          <cell r="B633" t="str">
            <v>DP Publications Newsletters</v>
          </cell>
        </row>
        <row r="634">
          <cell r="B634" t="str">
            <v>Drewry Shipping Consultants</v>
          </cell>
        </row>
        <row r="635">
          <cell r="B635" t="str">
            <v>DSLnet Inc</v>
          </cell>
        </row>
        <row r="636">
          <cell r="B636" t="str">
            <v xml:space="preserve">Dts Truck Division Company </v>
          </cell>
        </row>
        <row r="637">
          <cell r="B637" t="str">
            <v xml:space="preserve">Dubai Natural Gas </v>
          </cell>
        </row>
        <row r="638">
          <cell r="B638" t="str">
            <v xml:space="preserve">Dufour Petroleum Lp </v>
          </cell>
        </row>
        <row r="639">
          <cell r="B639" t="str">
            <v xml:space="preserve">Duke Energy Field Services </v>
          </cell>
        </row>
        <row r="640">
          <cell r="B640" t="str">
            <v xml:space="preserve">Duke Energy Merchants </v>
          </cell>
        </row>
        <row r="641">
          <cell r="B641" t="str">
            <v xml:space="preserve">Dulce Corp </v>
          </cell>
        </row>
        <row r="642">
          <cell r="B642" t="str">
            <v>Dun &amp; Bradstreet</v>
          </cell>
        </row>
        <row r="643">
          <cell r="B643" t="str">
            <v>Dun &amp; Broadstreet (Hk) Ltd</v>
          </cell>
        </row>
        <row r="644">
          <cell r="B644" t="str">
            <v>Dunham-Bush Services Co Ltd</v>
          </cell>
        </row>
        <row r="645">
          <cell r="B645" t="str">
            <v xml:space="preserve">Dunhill Products </v>
          </cell>
        </row>
        <row r="646">
          <cell r="B646" t="str">
            <v xml:space="preserve">Dupuy Storage &amp; Forwading Corp </v>
          </cell>
        </row>
        <row r="647">
          <cell r="B647" t="str">
            <v>Duval Vassiliades Solicitors</v>
          </cell>
        </row>
        <row r="648">
          <cell r="B648" t="str">
            <v>DW Aluminum</v>
          </cell>
        </row>
        <row r="649">
          <cell r="B649" t="str">
            <v xml:space="preserve">Dws Trucking Inc </v>
          </cell>
        </row>
        <row r="650">
          <cell r="B650" t="str">
            <v>DYNEA</v>
          </cell>
        </row>
        <row r="651">
          <cell r="B651" t="str">
            <v xml:space="preserve">Dynegy Midstream Services </v>
          </cell>
        </row>
        <row r="652">
          <cell r="B652" t="str">
            <v xml:space="preserve">E &amp; J Miertschn </v>
          </cell>
        </row>
        <row r="653">
          <cell r="B653" t="str">
            <v>E Wah Marine</v>
          </cell>
        </row>
        <row r="654">
          <cell r="B654" t="str">
            <v xml:space="preserve">Eagle Capital Corporation </v>
          </cell>
        </row>
        <row r="655">
          <cell r="B655" t="str">
            <v xml:space="preserve">Eagle Express Trucking Inc </v>
          </cell>
        </row>
        <row r="656">
          <cell r="B656" t="str">
            <v>East Asia Corp Services Bvi</v>
          </cell>
        </row>
        <row r="657">
          <cell r="B657" t="str">
            <v>East Asia Insurance Brokers</v>
          </cell>
        </row>
        <row r="658">
          <cell r="B658" t="str">
            <v xml:space="preserve">East Coast Scrap Metal </v>
          </cell>
        </row>
        <row r="659">
          <cell r="B659" t="str">
            <v xml:space="preserve">East Coast Terminal Co </v>
          </cell>
        </row>
        <row r="660">
          <cell r="B660" t="str">
            <v>Eastern Alloys, Inc.</v>
          </cell>
        </row>
        <row r="661">
          <cell r="B661" t="str">
            <v xml:space="preserve">Eastern Express Inc </v>
          </cell>
        </row>
        <row r="662">
          <cell r="B662" t="str">
            <v xml:space="preserve">Eastport Maritime </v>
          </cell>
        </row>
        <row r="663">
          <cell r="B663" t="str">
            <v>Eaton &amp; Van Winkle LLP</v>
          </cell>
        </row>
        <row r="664">
          <cell r="B664" t="str">
            <v>Eaton House International Ltd</v>
          </cell>
        </row>
        <row r="665">
          <cell r="B665" t="str">
            <v>Ebsworth &amp; Ebsworth</v>
          </cell>
        </row>
        <row r="666">
          <cell r="B666" t="str">
            <v xml:space="preserve">Echolding Int' Ltd </v>
          </cell>
        </row>
        <row r="667">
          <cell r="B667" t="str">
            <v xml:space="preserve">Ecofuel C/O Agip </v>
          </cell>
        </row>
        <row r="668">
          <cell r="B668" t="str">
            <v xml:space="preserve">Ecom Agroindustrial Corp Ltd </v>
          </cell>
        </row>
        <row r="669">
          <cell r="B669" t="str">
            <v xml:space="preserve">Econocaribe Consolidators </v>
          </cell>
        </row>
        <row r="670">
          <cell r="B670" t="str">
            <v xml:space="preserve">Econ-O-Copy </v>
          </cell>
        </row>
        <row r="671">
          <cell r="B671" t="str">
            <v xml:space="preserve">Econoline Storage Corp </v>
          </cell>
        </row>
        <row r="672">
          <cell r="B672" t="str">
            <v>Economist Group (Asia Pacific)</v>
          </cell>
        </row>
        <row r="673">
          <cell r="B673" t="str">
            <v xml:space="preserve">Ed Morris Moving &amp; Hauling </v>
          </cell>
        </row>
        <row r="674">
          <cell r="B674" t="str">
            <v>Edgard Rojas Gooding</v>
          </cell>
        </row>
        <row r="675">
          <cell r="B675" t="str">
            <v>Edward Keller Ltd</v>
          </cell>
        </row>
        <row r="676">
          <cell r="B676" t="str">
            <v>EIC Corporation Ltd</v>
          </cell>
        </row>
        <row r="677">
          <cell r="B677" t="str">
            <v xml:space="preserve">Eichhholtz </v>
          </cell>
        </row>
        <row r="678">
          <cell r="B678" t="str">
            <v xml:space="preserve">El Baru Petroleum Supply </v>
          </cell>
        </row>
        <row r="679">
          <cell r="B679" t="str">
            <v>El Baul Sa</v>
          </cell>
        </row>
        <row r="680">
          <cell r="B680" t="str">
            <v xml:space="preserve">El Paso Merchant Energy </v>
          </cell>
        </row>
        <row r="681">
          <cell r="B681" t="str">
            <v xml:space="preserve">Eland Logistics </v>
          </cell>
        </row>
        <row r="682">
          <cell r="B682" t="str">
            <v>Elegance Printing Co Ltd</v>
          </cell>
        </row>
        <row r="683">
          <cell r="B683" t="str">
            <v xml:space="preserve">Eletson Corporation </v>
          </cell>
        </row>
        <row r="684">
          <cell r="B684" t="str">
            <v>Eleven Oclock Associates Llc - Ma</v>
          </cell>
        </row>
        <row r="685">
          <cell r="B685" t="str">
            <v>Eleven Oclock Associates Llc - Pa</v>
          </cell>
        </row>
        <row r="686">
          <cell r="B686" t="str">
            <v>Elfin Travels</v>
          </cell>
        </row>
        <row r="687">
          <cell r="B687" t="str">
            <v xml:space="preserve">Elias Labrinos Marine Enterprises </v>
          </cell>
        </row>
        <row r="688">
          <cell r="B688" t="str">
            <v>Ellemby Management Pty Ltd</v>
          </cell>
        </row>
        <row r="689">
          <cell r="B689" t="str">
            <v>Elm Computer Technologies</v>
          </cell>
        </row>
        <row r="690">
          <cell r="B690" t="str">
            <v xml:space="preserve">Elmore Freight Systems </v>
          </cell>
        </row>
        <row r="691">
          <cell r="B691" t="str">
            <v xml:space="preserve">Emerald Star Shipping </v>
          </cell>
        </row>
        <row r="692">
          <cell r="B692" t="str">
            <v>Empire Hotel</v>
          </cell>
        </row>
        <row r="693">
          <cell r="B693" t="str">
            <v>Empire Resources, Inc.</v>
          </cell>
        </row>
        <row r="694">
          <cell r="B694" t="str">
            <v xml:space="preserve">Empire Stevedoring Co., Ltd. </v>
          </cell>
        </row>
        <row r="695">
          <cell r="B695" t="str">
            <v>Emporium Travel Ltd</v>
          </cell>
        </row>
        <row r="696">
          <cell r="B696" t="str">
            <v xml:space="preserve">Energy Resources Exchange </v>
          </cell>
        </row>
        <row r="697">
          <cell r="B697" t="str">
            <v>Energy Seminars</v>
          </cell>
        </row>
        <row r="698">
          <cell r="B698" t="str">
            <v xml:space="preserve">Entergy </v>
          </cell>
        </row>
        <row r="699">
          <cell r="B699" t="str">
            <v xml:space="preserve">Enterprise Products Operating </v>
          </cell>
        </row>
        <row r="700">
          <cell r="B700" t="str">
            <v xml:space="preserve">Eott Energy Liquids </v>
          </cell>
        </row>
        <row r="701">
          <cell r="B701" t="str">
            <v xml:space="preserve">Epes Logistics Services Inc </v>
          </cell>
        </row>
        <row r="702">
          <cell r="B702" t="str">
            <v>Epp Mar Metal Company</v>
          </cell>
        </row>
        <row r="703">
          <cell r="B703" t="str">
            <v xml:space="preserve">Equipco Ii </v>
          </cell>
        </row>
        <row r="704">
          <cell r="B704" t="str">
            <v xml:space="preserve">Equistar Chemicals </v>
          </cell>
        </row>
        <row r="705">
          <cell r="B705" t="str">
            <v>Equiva Trading Company</v>
          </cell>
        </row>
        <row r="706">
          <cell r="B706" t="str">
            <v>Erg Raffinerie Mediterranee</v>
          </cell>
        </row>
        <row r="707">
          <cell r="B707" t="str">
            <v>Ernst &amp; Young</v>
          </cell>
        </row>
        <row r="708">
          <cell r="B708" t="str">
            <v>Ernst &amp; Young - Prc Clients</v>
          </cell>
        </row>
        <row r="709">
          <cell r="B709" t="str">
            <v>Ernst &amp; Young (Uk)</v>
          </cell>
        </row>
        <row r="710">
          <cell r="B710" t="str">
            <v>Ernst &amp; Young Llp</v>
          </cell>
        </row>
        <row r="711">
          <cell r="B711" t="str">
            <v>ES Concept Communication Ltd</v>
          </cell>
        </row>
        <row r="712">
          <cell r="B712" t="str">
            <v xml:space="preserve">Esignal Future Source </v>
          </cell>
        </row>
        <row r="713">
          <cell r="B713" t="str">
            <v>Esso Sapa</v>
          </cell>
        </row>
        <row r="714">
          <cell r="B714" t="str">
            <v>Ethanol Producer Magazine</v>
          </cell>
        </row>
        <row r="715">
          <cell r="B715" t="str">
            <v>Ethanol Products Llc</v>
          </cell>
        </row>
        <row r="716">
          <cell r="B716" t="str">
            <v xml:space="preserve">Eugen Atte </v>
          </cell>
        </row>
        <row r="717">
          <cell r="B717" t="str">
            <v xml:space="preserve">Euler American Credit Indemnity </v>
          </cell>
        </row>
        <row r="718">
          <cell r="B718" t="str">
            <v>Eurocard Gold</v>
          </cell>
        </row>
        <row r="719">
          <cell r="B719" t="str">
            <v xml:space="preserve">Euromex Logistics </v>
          </cell>
        </row>
        <row r="720">
          <cell r="B720" t="str">
            <v>Europe West Indies Lines</v>
          </cell>
        </row>
        <row r="721">
          <cell r="B721" t="str">
            <v xml:space="preserve">European Shipping &amp; Logistics </v>
          </cell>
        </row>
        <row r="722">
          <cell r="B722" t="str">
            <v>Euroservice (United Trading Sts)</v>
          </cell>
        </row>
        <row r="723">
          <cell r="B723" t="str">
            <v xml:space="preserve">Evergreen America Corporation </v>
          </cell>
        </row>
        <row r="724">
          <cell r="B724" t="str">
            <v xml:space="preserve">Evergreen Brokerage </v>
          </cell>
        </row>
        <row r="725">
          <cell r="B725" t="str">
            <v xml:space="preserve">Evergreen Marine Corporation </v>
          </cell>
        </row>
        <row r="726">
          <cell r="B726" t="str">
            <v>Evergreen Plaza Hotel (Hk)</v>
          </cell>
        </row>
        <row r="727">
          <cell r="B727" t="str">
            <v>Excel Partners</v>
          </cell>
        </row>
        <row r="728">
          <cell r="B728" t="str">
            <v>Exceptional Resources Group</v>
          </cell>
        </row>
        <row r="729">
          <cell r="B729" t="str">
            <v>Exclusive Designs</v>
          </cell>
        </row>
        <row r="730">
          <cell r="B730" t="str">
            <v>Executive Car Service</v>
          </cell>
        </row>
        <row r="731">
          <cell r="B731" t="str">
            <v>Executive Courier of Greenwich Inc</v>
          </cell>
        </row>
        <row r="732">
          <cell r="B732" t="str">
            <v>Expert System Co Ltd</v>
          </cell>
        </row>
        <row r="733">
          <cell r="B733" t="str">
            <v xml:space="preserve">Expocafe </v>
          </cell>
        </row>
        <row r="734">
          <cell r="B734" t="str">
            <v xml:space="preserve">Exportadora Comercial Sade Cv </v>
          </cell>
        </row>
        <row r="735">
          <cell r="B735" t="str">
            <v xml:space="preserve">Exportadora El Volcan Sa De Cv </v>
          </cell>
        </row>
        <row r="736">
          <cell r="B736" t="str">
            <v xml:space="preserve">Exporters International Services </v>
          </cell>
        </row>
        <row r="737">
          <cell r="B737" t="str">
            <v xml:space="preserve">Express Office Products </v>
          </cell>
        </row>
        <row r="738">
          <cell r="B738" t="str">
            <v xml:space="preserve">Extruders </v>
          </cell>
        </row>
        <row r="739">
          <cell r="B739" t="str">
            <v xml:space="preserve">Exxonmobil Oil Corp </v>
          </cell>
        </row>
        <row r="740">
          <cell r="B740" t="str">
            <v xml:space="preserve">Ezell &amp; Son Transportation </v>
          </cell>
        </row>
        <row r="741">
          <cell r="B741" t="str">
            <v xml:space="preserve">Factura </v>
          </cell>
        </row>
        <row r="742">
          <cell r="B742" t="str">
            <v>Fairfield Chemical Carriers Inc.</v>
          </cell>
        </row>
        <row r="743">
          <cell r="B743" t="str">
            <v>Farrington American Express</v>
          </cell>
        </row>
        <row r="744">
          <cell r="B744" t="str">
            <v>Farwealth Consultancy &amp; Ser</v>
          </cell>
        </row>
        <row r="745">
          <cell r="B745" t="str">
            <v>Fastport Cargo Service Ltd</v>
          </cell>
        </row>
        <row r="746">
          <cell r="B746" t="str">
            <v xml:space="preserve">Fc Consultoria Empresarial </v>
          </cell>
        </row>
        <row r="747">
          <cell r="B747" t="str">
            <v xml:space="preserve">Fcib-Nacm </v>
          </cell>
        </row>
        <row r="748">
          <cell r="B748" t="str">
            <v xml:space="preserve">Fcstone Llc </v>
          </cell>
        </row>
        <row r="749">
          <cell r="B749" t="str">
            <v>Fdc Relocations Ltd</v>
          </cell>
        </row>
        <row r="750">
          <cell r="B750" t="str">
            <v xml:space="preserve">Fedecocagua </v>
          </cell>
        </row>
        <row r="751">
          <cell r="B751" t="str">
            <v>Federal Express Corp</v>
          </cell>
        </row>
        <row r="752">
          <cell r="B752" t="str">
            <v>Federal Express Pacific</v>
          </cell>
        </row>
        <row r="753">
          <cell r="B753" t="str">
            <v xml:space="preserve">Ferrell Gas Lp </v>
          </cell>
        </row>
        <row r="754">
          <cell r="B754" t="str">
            <v xml:space="preserve">Ferrell International Ltd </v>
          </cell>
        </row>
        <row r="755">
          <cell r="B755" t="str">
            <v>Ficus Ltd</v>
          </cell>
        </row>
        <row r="756">
          <cell r="B756" t="str">
            <v xml:space="preserve">Fideicomiso Walter A Soundy </v>
          </cell>
        </row>
        <row r="757">
          <cell r="B757" t="str">
            <v>Fidelity Investments</v>
          </cell>
        </row>
        <row r="758">
          <cell r="B758" t="str">
            <v xml:space="preserve">Figueroa Sierra &amp; Asociados </v>
          </cell>
        </row>
        <row r="759">
          <cell r="B759" t="str">
            <v>Figueroa Sierra and Asociados</v>
          </cell>
        </row>
        <row r="760">
          <cell r="B760" t="str">
            <v xml:space="preserve">Fikes Truck Linesinc </v>
          </cell>
        </row>
        <row r="761">
          <cell r="B761" t="str">
            <v xml:space="preserve">Fillet Green Shipping Services Corp </v>
          </cell>
        </row>
        <row r="762">
          <cell r="B762" t="str">
            <v>FinanceasiaCom Ltd</v>
          </cell>
        </row>
        <row r="763">
          <cell r="B763" t="str">
            <v>Financial CAD Corporation</v>
          </cell>
        </row>
        <row r="764">
          <cell r="B764" t="str">
            <v>Financial Time (Europe) Gmbh</v>
          </cell>
        </row>
        <row r="765">
          <cell r="B765" t="str">
            <v>First Magazine Ltd</v>
          </cell>
        </row>
        <row r="766">
          <cell r="B766" t="str">
            <v xml:space="preserve">First National Oil Brokers </v>
          </cell>
        </row>
        <row r="767">
          <cell r="B767" t="str">
            <v>Fjord Catering &amp; Charters Llc</v>
          </cell>
        </row>
        <row r="768">
          <cell r="B768" t="str">
            <v xml:space="preserve">Flenory'S Trans </v>
          </cell>
        </row>
        <row r="769">
          <cell r="B769" t="str">
            <v>Flexsystem Ltd</v>
          </cell>
        </row>
        <row r="770">
          <cell r="B770" t="str">
            <v xml:space="preserve">Flint Hills Resources Lp </v>
          </cell>
        </row>
        <row r="771">
          <cell r="B771" t="str">
            <v>Floral Expressions Inc</v>
          </cell>
        </row>
        <row r="772">
          <cell r="B772" t="str">
            <v xml:space="preserve">Florence Warehouse - Marin Blvd </v>
          </cell>
        </row>
        <row r="773">
          <cell r="B773" t="str">
            <v xml:space="preserve">Florida Marine Transporters </v>
          </cell>
        </row>
        <row r="774">
          <cell r="B774" t="str">
            <v xml:space="preserve">Fls Transportation Services Inc </v>
          </cell>
        </row>
        <row r="775">
          <cell r="B775" t="str">
            <v>Fnb (Asia) Ltd</v>
          </cell>
        </row>
        <row r="776">
          <cell r="B776" t="str">
            <v xml:space="preserve">Fo Lichts </v>
          </cell>
        </row>
        <row r="777">
          <cell r="B777" t="str">
            <v xml:space="preserve">Folger Coffee Co </v>
          </cell>
        </row>
        <row r="778">
          <cell r="B778" t="str">
            <v xml:space="preserve">Foothills Ind </v>
          </cell>
        </row>
        <row r="779">
          <cell r="B779" t="str">
            <v>Forbes Global</v>
          </cell>
        </row>
        <row r="780">
          <cell r="B780" t="str">
            <v>Forever Greetings</v>
          </cell>
        </row>
        <row r="781">
          <cell r="B781" t="str">
            <v xml:space="preserve">Formosa Petrochemical </v>
          </cell>
        </row>
        <row r="782">
          <cell r="B782" t="str">
            <v xml:space="preserve">Formosa Plastic Marine </v>
          </cell>
        </row>
        <row r="783">
          <cell r="B783" t="str">
            <v xml:space="preserve">Fort Pitt Consolidators </v>
          </cell>
        </row>
        <row r="784">
          <cell r="B784" t="str">
            <v>Fortis Benefits</v>
          </cell>
        </row>
        <row r="785">
          <cell r="B785" t="str">
            <v>Fortress Ltd</v>
          </cell>
        </row>
        <row r="786">
          <cell r="B786" t="str">
            <v>Forum Computer Services Ltd</v>
          </cell>
        </row>
        <row r="787">
          <cell r="B787" t="str">
            <v xml:space="preserve">Foster Sales And Delivery </v>
          </cell>
        </row>
        <row r="788">
          <cell r="B788" t="str">
            <v xml:space="preserve">Four C Transportation </v>
          </cell>
        </row>
        <row r="789">
          <cell r="B789" t="str">
            <v>Fourteen Florence Street Corp</v>
          </cell>
        </row>
        <row r="790">
          <cell r="B790" t="str">
            <v>Fp Marine Risks</v>
          </cell>
        </row>
        <row r="791">
          <cell r="B791" t="str">
            <v>Fpd International Medical Practice</v>
          </cell>
        </row>
        <row r="792">
          <cell r="B792" t="str">
            <v xml:space="preserve">Frachtcontor Junge &amp; Co </v>
          </cell>
        </row>
        <row r="793">
          <cell r="B793" t="str">
            <v xml:space="preserve">Frader Holding Sa </v>
          </cell>
        </row>
        <row r="794">
          <cell r="B794" t="str">
            <v>Francis Garnier</v>
          </cell>
        </row>
        <row r="795">
          <cell r="B795" t="str">
            <v xml:space="preserve">Freer </v>
          </cell>
        </row>
        <row r="796">
          <cell r="B796" t="str">
            <v xml:space="preserve">Freight Management </v>
          </cell>
        </row>
        <row r="797">
          <cell r="B797" t="str">
            <v>Ft Management Reports</v>
          </cell>
        </row>
        <row r="798">
          <cell r="B798" t="str">
            <v xml:space="preserve">Ftc Inc </v>
          </cell>
        </row>
        <row r="799">
          <cell r="B799" t="str">
            <v xml:space="preserve">Fuci Metals Usa Inc </v>
          </cell>
        </row>
        <row r="800">
          <cell r="B800" t="str">
            <v>Fulbright &amp; Jaworski LLP</v>
          </cell>
        </row>
        <row r="801">
          <cell r="B801" t="str">
            <v>Functional B Electronics</v>
          </cell>
        </row>
        <row r="802">
          <cell r="B802" t="str">
            <v>Future Source</v>
          </cell>
        </row>
        <row r="803">
          <cell r="B803" t="str">
            <v xml:space="preserve">G &amp; S Metal Consultants Inc </v>
          </cell>
        </row>
        <row r="804">
          <cell r="B804" t="str">
            <v>G &amp; S Systems Ltd</v>
          </cell>
        </row>
        <row r="805">
          <cell r="B805" t="str">
            <v xml:space="preserve">Gachman Metals &amp; Recycling </v>
          </cell>
        </row>
        <row r="806">
          <cell r="B806" t="str">
            <v>Galerie Du Monde Ltd</v>
          </cell>
        </row>
        <row r="807">
          <cell r="B807" t="str">
            <v xml:space="preserve">Gamtex Industries </v>
          </cell>
        </row>
        <row r="808">
          <cell r="B808" t="str">
            <v xml:space="preserve">Garcia Express </v>
          </cell>
        </row>
        <row r="809">
          <cell r="B809" t="str">
            <v xml:space="preserve">Gateway Chartering Corp </v>
          </cell>
        </row>
        <row r="810">
          <cell r="B810" t="str">
            <v xml:space="preserve">Gateway Towing </v>
          </cell>
        </row>
        <row r="811">
          <cell r="B811" t="str">
            <v>Gazebo Glorist</v>
          </cell>
        </row>
        <row r="812">
          <cell r="B812" t="str">
            <v xml:space="preserve">Gcr Tire Centers </v>
          </cell>
        </row>
        <row r="813">
          <cell r="B813" t="str">
            <v>Ge Capital Finance Ltd</v>
          </cell>
        </row>
        <row r="814">
          <cell r="B814" t="str">
            <v>GE Group Life Assurance Company</v>
          </cell>
        </row>
        <row r="815">
          <cell r="B815" t="str">
            <v>Gemini Personel Ltd</v>
          </cell>
        </row>
        <row r="816">
          <cell r="B816" t="str">
            <v>General Cocoa Company</v>
          </cell>
        </row>
        <row r="817">
          <cell r="B817" t="str">
            <v xml:space="preserve">General Corporation Services Ltd </v>
          </cell>
        </row>
        <row r="818">
          <cell r="B818" t="str">
            <v xml:space="preserve">General De Productos De El Salvador </v>
          </cell>
        </row>
        <row r="819">
          <cell r="B819" t="str">
            <v xml:space="preserve">General Maritime Corp </v>
          </cell>
        </row>
        <row r="820">
          <cell r="B820" t="str">
            <v xml:space="preserve">General Motors Corporation </v>
          </cell>
        </row>
        <row r="821">
          <cell r="B821" t="str">
            <v>Genesis Personnel Consultancy</v>
          </cell>
        </row>
        <row r="822">
          <cell r="B822" t="str">
            <v xml:space="preserve">Geo Wm Rueff Inc </v>
          </cell>
        </row>
        <row r="823">
          <cell r="B823" t="str">
            <v xml:space="preserve">George E Warren Corp </v>
          </cell>
        </row>
        <row r="824">
          <cell r="B824" t="str">
            <v>Georgetown Publishing House</v>
          </cell>
        </row>
        <row r="825">
          <cell r="B825" t="str">
            <v xml:space="preserve">Gepro El Salvador </v>
          </cell>
        </row>
        <row r="826">
          <cell r="B826" t="str">
            <v xml:space="preserve">Gerald Metals Inc </v>
          </cell>
        </row>
        <row r="827">
          <cell r="B827" t="str">
            <v xml:space="preserve">Getty Petroleum Marketing </v>
          </cell>
        </row>
        <row r="828">
          <cell r="B828" t="str">
            <v xml:space="preserve">Gfi Brokers Ltd </v>
          </cell>
        </row>
        <row r="829">
          <cell r="B829" t="str">
            <v xml:space="preserve">Giant </v>
          </cell>
        </row>
        <row r="830">
          <cell r="B830" t="str">
            <v xml:space="preserve">Gilliam Express </v>
          </cell>
        </row>
        <row r="831">
          <cell r="B831" t="str">
            <v>Gilman Office Automation</v>
          </cell>
        </row>
        <row r="832">
          <cell r="B832" t="str">
            <v>Gimpex Industrial Co</v>
          </cell>
        </row>
        <row r="833">
          <cell r="B833" t="str">
            <v>Glass Radcliffe &amp; Wee</v>
          </cell>
        </row>
        <row r="834">
          <cell r="B834" t="str">
            <v>Glass Radcliffe Chan</v>
          </cell>
        </row>
        <row r="835">
          <cell r="B835" t="str">
            <v xml:space="preserve">Glencore Ltd </v>
          </cell>
        </row>
        <row r="836">
          <cell r="B836" t="str">
            <v>Global Coal Ltd</v>
          </cell>
        </row>
        <row r="837">
          <cell r="B837" t="str">
            <v xml:space="preserve">Global Companies </v>
          </cell>
        </row>
        <row r="838">
          <cell r="B838" t="str">
            <v>Global Credit Services</v>
          </cell>
        </row>
        <row r="839">
          <cell r="B839" t="str">
            <v>Global Imaging Systems Inc</v>
          </cell>
        </row>
        <row r="840">
          <cell r="B840" t="str">
            <v>Global Materials Services</v>
          </cell>
        </row>
        <row r="841">
          <cell r="B841" t="str">
            <v xml:space="preserve">Global Octanes Tx </v>
          </cell>
        </row>
        <row r="842">
          <cell r="B842" t="str">
            <v xml:space="preserve">Global Terminal &amp; Container </v>
          </cell>
        </row>
        <row r="843">
          <cell r="B843" t="str">
            <v>GlobalTel Communications</v>
          </cell>
        </row>
        <row r="844">
          <cell r="B844" t="str">
            <v>Golden Code Development Ltd</v>
          </cell>
        </row>
        <row r="845">
          <cell r="B845" t="str">
            <v xml:space="preserve">Golden Stevedoring Co </v>
          </cell>
        </row>
        <row r="846">
          <cell r="B846" t="str">
            <v>Goldstein Lem &amp; Isaacson PC</v>
          </cell>
        </row>
        <row r="847">
          <cell r="B847" t="str">
            <v xml:space="preserve">Goleman Trucking </v>
          </cell>
        </row>
        <row r="848">
          <cell r="B848" t="str">
            <v xml:space="preserve">Golluecke &amp; Rothfos </v>
          </cell>
        </row>
        <row r="849">
          <cell r="B849" t="str">
            <v xml:space="preserve">Gonzalez </v>
          </cell>
        </row>
        <row r="850">
          <cell r="B850" t="str">
            <v>Goodearth Co</v>
          </cell>
        </row>
        <row r="851">
          <cell r="B851" t="str">
            <v>Goodtake Express (Hk) Ltd</v>
          </cell>
        </row>
        <row r="852">
          <cell r="B852" t="str">
            <v>Goodwill Information Ltd</v>
          </cell>
        </row>
        <row r="853">
          <cell r="B853" t="str">
            <v>Gourmet Coffee Financial Corp</v>
          </cell>
        </row>
        <row r="854">
          <cell r="B854" t="str">
            <v>Grace Business Appliances Ltd</v>
          </cell>
        </row>
        <row r="855">
          <cell r="B855" t="str">
            <v>Graham Laird</v>
          </cell>
        </row>
        <row r="856">
          <cell r="B856" t="str">
            <v>Grain Journal</v>
          </cell>
        </row>
        <row r="857">
          <cell r="B857" t="str">
            <v>Grand Hyatt Hong Kong</v>
          </cell>
        </row>
        <row r="858">
          <cell r="B858" t="str">
            <v>Grand Star Marine Ltd</v>
          </cell>
        </row>
        <row r="859">
          <cell r="B859" t="str">
            <v>Grande Insurance Brokers Ltd</v>
          </cell>
        </row>
        <row r="860">
          <cell r="B860" t="str">
            <v>Grandison Hong Kong Ltd</v>
          </cell>
        </row>
        <row r="861">
          <cell r="B861" t="str">
            <v>Grandmart Warehouse Club Ltd</v>
          </cell>
        </row>
        <row r="862">
          <cell r="B862" t="str">
            <v xml:space="preserve">Grant Douglass Group </v>
          </cell>
        </row>
        <row r="863">
          <cell r="B863" t="str">
            <v xml:space="preserve">Grant Tire &amp; Service Inc # 54 </v>
          </cell>
        </row>
        <row r="864">
          <cell r="B864" t="str">
            <v>Graphicat Ltd</v>
          </cell>
        </row>
        <row r="865">
          <cell r="B865" t="str">
            <v>Graphicat-Tao Ltd</v>
          </cell>
        </row>
        <row r="866">
          <cell r="B866" t="str">
            <v xml:space="preserve">Great Lakes Trading Corp </v>
          </cell>
        </row>
        <row r="867">
          <cell r="B867" t="str">
            <v xml:space="preserve">Green Coffee Association </v>
          </cell>
        </row>
        <row r="868">
          <cell r="B868" t="str">
            <v xml:space="preserve">Greene'S Carthage Co </v>
          </cell>
        </row>
        <row r="869">
          <cell r="B869" t="str">
            <v xml:space="preserve">Griswold Enterprises </v>
          </cell>
        </row>
        <row r="870">
          <cell r="B870" t="str">
            <v>Gtm Carparks Hong Kong Ltd</v>
          </cell>
        </row>
        <row r="871">
          <cell r="B871" t="str">
            <v>Guarani</v>
          </cell>
        </row>
        <row r="872">
          <cell r="B872" t="str">
            <v>Guardian</v>
          </cell>
        </row>
        <row r="873">
          <cell r="B873" t="str">
            <v xml:space="preserve">Gulf Coast Office Products </v>
          </cell>
        </row>
        <row r="874">
          <cell r="B874" t="str">
            <v xml:space="preserve">Gulf Stream Marine </v>
          </cell>
        </row>
        <row r="875">
          <cell r="B875" t="str">
            <v xml:space="preserve">H &amp; J Trucking </v>
          </cell>
        </row>
        <row r="876">
          <cell r="B876" t="str">
            <v xml:space="preserve">H &amp; L Metals Inc </v>
          </cell>
        </row>
        <row r="877">
          <cell r="B877" t="str">
            <v>H &amp; M International Transport</v>
          </cell>
        </row>
        <row r="878">
          <cell r="B878" t="str">
            <v>H &amp; R Limousine</v>
          </cell>
        </row>
        <row r="879">
          <cell r="B879" t="str">
            <v>H A Christie</v>
          </cell>
        </row>
        <row r="880">
          <cell r="B880" t="str">
            <v xml:space="preserve">Hacienda Lpg </v>
          </cell>
        </row>
        <row r="881">
          <cell r="B881" t="str">
            <v>Haldanes</v>
          </cell>
        </row>
        <row r="882">
          <cell r="B882" t="str">
            <v xml:space="preserve">Hamilton Transportation </v>
          </cell>
        </row>
        <row r="883">
          <cell r="B883" t="str">
            <v>Hang Seng Bank (Trustee) Ltd</v>
          </cell>
        </row>
        <row r="884">
          <cell r="B884" t="str">
            <v>Hang Seng Credit Card Ltd</v>
          </cell>
        </row>
        <row r="885">
          <cell r="B885" t="str">
            <v xml:space="preserve">Hapag Lloyd (America) Inc </v>
          </cell>
        </row>
        <row r="886">
          <cell r="B886" t="str">
            <v>Happy Way Travel Ltd</v>
          </cell>
        </row>
        <row r="887">
          <cell r="B887" t="str">
            <v>Harbor Associates</v>
          </cell>
        </row>
        <row r="888">
          <cell r="B888" t="str">
            <v>Harris International</v>
          </cell>
        </row>
        <row r="889">
          <cell r="B889" t="str">
            <v>Harrods Card Services</v>
          </cell>
        </row>
        <row r="890">
          <cell r="B890" t="str">
            <v>HarryS Bar Ltd</v>
          </cell>
        </row>
        <row r="891">
          <cell r="B891" t="str">
            <v xml:space="preserve">Hartley Trucking Company Inc </v>
          </cell>
        </row>
        <row r="892">
          <cell r="B892" t="str">
            <v>Harworth Hk Ltd</v>
          </cell>
        </row>
        <row r="893">
          <cell r="B893" t="str">
            <v>Heathfield School</v>
          </cell>
        </row>
        <row r="894">
          <cell r="B894" t="str">
            <v xml:space="preserve">Heinz Bonacker </v>
          </cell>
        </row>
        <row r="895">
          <cell r="B895" t="str">
            <v xml:space="preserve">Henderson County Riverport </v>
          </cell>
        </row>
        <row r="896">
          <cell r="B896" t="str">
            <v xml:space="preserve">Henry Bath &amp; Sons </v>
          </cell>
        </row>
        <row r="897">
          <cell r="B897" t="str">
            <v xml:space="preserve">Henry Pike Co </v>
          </cell>
        </row>
        <row r="898">
          <cell r="B898" t="str">
            <v>Herbert Smith</v>
          </cell>
        </row>
        <row r="899">
          <cell r="B899" t="str">
            <v xml:space="preserve">Heritage Energy </v>
          </cell>
        </row>
        <row r="900">
          <cell r="B900" t="str">
            <v xml:space="preserve">Heritage Operating Lp </v>
          </cell>
        </row>
        <row r="901">
          <cell r="B901" t="str">
            <v>HFS &amp; Associates</v>
          </cell>
        </row>
        <row r="902">
          <cell r="B902" t="str">
            <v xml:space="preserve">Hickerson Steel &amp; Pipe Inc </v>
          </cell>
        </row>
        <row r="903">
          <cell r="B903" t="str">
            <v>Hill &amp; Associates Ltd</v>
          </cell>
        </row>
        <row r="904">
          <cell r="B904" t="str">
            <v>Hitachi Credit Hk Ltd</v>
          </cell>
        </row>
        <row r="905">
          <cell r="B905" t="str">
            <v>Hi-Tech Interior Design</v>
          </cell>
        </row>
        <row r="906">
          <cell r="B906" t="str">
            <v>HitrustCom(Hk) Inc Ltd</v>
          </cell>
        </row>
        <row r="907">
          <cell r="B907" t="str">
            <v>Hk &amp; Shanghai Banking Corp</v>
          </cell>
        </row>
        <row r="908">
          <cell r="B908" t="str">
            <v>Hk Automobile Association</v>
          </cell>
        </row>
        <row r="909">
          <cell r="B909" t="str">
            <v>Hk Confederation of Insurance Broker</v>
          </cell>
        </row>
        <row r="910">
          <cell r="B910" t="str">
            <v>Hk Country Club</v>
          </cell>
        </row>
        <row r="911">
          <cell r="B911" t="str">
            <v>Hk Electric Co Ltd</v>
          </cell>
        </row>
        <row r="912">
          <cell r="B912" t="str">
            <v>Hk Four Seas Tours Ltd</v>
          </cell>
        </row>
        <row r="913">
          <cell r="B913" t="str">
            <v>Hk General Chamber Of Commerce</v>
          </cell>
        </row>
        <row r="914">
          <cell r="B914" t="str">
            <v>Hk Government (Treasury)</v>
          </cell>
        </row>
        <row r="915">
          <cell r="B915" t="str">
            <v>Hk Island Landscape Co</v>
          </cell>
        </row>
        <row r="916">
          <cell r="B916" t="str">
            <v>Hk Shipping Gazette</v>
          </cell>
        </row>
        <row r="917">
          <cell r="B917" t="str">
            <v>Hk Ships Supplies Co</v>
          </cell>
        </row>
        <row r="918">
          <cell r="B918" t="str">
            <v>Hk Society Of  Accountants</v>
          </cell>
        </row>
        <row r="919">
          <cell r="B919" t="str">
            <v>Hk Stamps Specialist</v>
          </cell>
        </row>
        <row r="920">
          <cell r="B920" t="str">
            <v>Hk Standard Newspapers Ltd</v>
          </cell>
        </row>
        <row r="921">
          <cell r="B921" t="str">
            <v>Hk Telecom Csl Ltd</v>
          </cell>
        </row>
        <row r="922">
          <cell r="B922" t="str">
            <v>HKMA</v>
          </cell>
        </row>
        <row r="923">
          <cell r="B923" t="str">
            <v xml:space="preserve">Hodges </v>
          </cell>
        </row>
        <row r="924">
          <cell r="B924" t="str">
            <v xml:space="preserve">Holly Shipping </v>
          </cell>
        </row>
        <row r="925">
          <cell r="B925" t="str">
            <v>Holman Fenwick &amp; Willan</v>
          </cell>
        </row>
        <row r="926">
          <cell r="B926" t="str">
            <v>Honest Concept Ltd</v>
          </cell>
        </row>
        <row r="927">
          <cell r="B927" t="str">
            <v>Hong Kong &amp; China Gas Co</v>
          </cell>
        </row>
        <row r="928">
          <cell r="B928" t="str">
            <v>Hong Kong Bank</v>
          </cell>
        </row>
        <row r="929">
          <cell r="B929" t="str">
            <v>Hong Kong Economics Times</v>
          </cell>
        </row>
        <row r="930">
          <cell r="B930" t="str">
            <v>Hong Kong Institute Of</v>
          </cell>
        </row>
        <row r="931">
          <cell r="B931" t="str">
            <v>Hong Kong Parkview Management Service</v>
          </cell>
        </row>
        <row r="932">
          <cell r="B932" t="str">
            <v>Hong Kong Search</v>
          </cell>
        </row>
        <row r="933">
          <cell r="B933" t="str">
            <v>Hong Kong Tatler</v>
          </cell>
        </row>
        <row r="934">
          <cell r="B934" t="str">
            <v>Hong Kong Telecom</v>
          </cell>
        </row>
        <row r="935">
          <cell r="B935" t="str">
            <v>Hong Shu Kin James</v>
          </cell>
        </row>
        <row r="936">
          <cell r="B936" t="str">
            <v>Hopo IntL Ltd</v>
          </cell>
        </row>
        <row r="937">
          <cell r="B937" t="str">
            <v xml:space="preserve">Hornbeck Offshore </v>
          </cell>
        </row>
        <row r="938">
          <cell r="B938" t="str">
            <v>Host America Corporation</v>
          </cell>
        </row>
        <row r="939">
          <cell r="B939" t="str">
            <v xml:space="preserve">Hot Shot Messenger Service </v>
          </cell>
        </row>
        <row r="940">
          <cell r="B940" t="str">
            <v xml:space="preserve">Houff Transfer Inc </v>
          </cell>
        </row>
        <row r="941">
          <cell r="B941" t="str">
            <v xml:space="preserve">Houston Tanker Services </v>
          </cell>
        </row>
        <row r="942">
          <cell r="B942" t="str">
            <v xml:space="preserve">Hovensa </v>
          </cell>
        </row>
        <row r="943">
          <cell r="B943" t="str">
            <v>Hover System Ltd</v>
          </cell>
        </row>
        <row r="944">
          <cell r="B944" t="str">
            <v xml:space="preserve">Howard Company </v>
          </cell>
        </row>
        <row r="945">
          <cell r="B945" t="str">
            <v xml:space="preserve">Howard'S Inc </v>
          </cell>
        </row>
        <row r="946">
          <cell r="B946" t="str">
            <v xml:space="preserve">Hq Global Workplaces </v>
          </cell>
        </row>
        <row r="947">
          <cell r="B947" t="str">
            <v xml:space="preserve">Hrsi </v>
          </cell>
        </row>
        <row r="948">
          <cell r="B948" t="str">
            <v>Hsbc Ins Brokers (Ap) Ltd</v>
          </cell>
        </row>
        <row r="949">
          <cell r="B949" t="str">
            <v>Hsbc Life (IntL) Ltd - P Fund</v>
          </cell>
        </row>
        <row r="950">
          <cell r="B950" t="str">
            <v>Hsbc Provident Fund Trustee</v>
          </cell>
        </row>
        <row r="951">
          <cell r="B951" t="str">
            <v>Hughes-Castell (Hk) Ltd</v>
          </cell>
        </row>
        <row r="952">
          <cell r="B952" t="str">
            <v xml:space="preserve">Hunter Douglas Metals </v>
          </cell>
        </row>
        <row r="953">
          <cell r="B953" t="str">
            <v xml:space="preserve">Huntsman Fuel Lp </v>
          </cell>
        </row>
        <row r="954">
          <cell r="B954" t="str">
            <v>HuskerOilcom</v>
          </cell>
        </row>
        <row r="955">
          <cell r="B955" t="str">
            <v>Hutchison Telephone Co Ltd</v>
          </cell>
        </row>
        <row r="956">
          <cell r="B956" t="str">
            <v>Hydro Aluminum As</v>
          </cell>
        </row>
        <row r="957">
          <cell r="B957" t="str">
            <v xml:space="preserve">Hydro Aluminum North America </v>
          </cell>
        </row>
        <row r="958">
          <cell r="B958" t="str">
            <v xml:space="preserve">Hydro Aluminum North America </v>
          </cell>
        </row>
        <row r="959">
          <cell r="B959" t="str">
            <v xml:space="preserve">Hydro Aluminum North America </v>
          </cell>
        </row>
        <row r="960">
          <cell r="B960" t="str">
            <v xml:space="preserve">Hyundai Petrochemical </v>
          </cell>
        </row>
        <row r="961">
          <cell r="B961" t="str">
            <v>IBM China/Hong Kong Ltd</v>
          </cell>
        </row>
        <row r="962">
          <cell r="B962" t="str">
            <v>Icaa</v>
          </cell>
        </row>
        <row r="963">
          <cell r="B963" t="str">
            <v>IcazaGonzalez-Ruiz &amp; Aleman</v>
          </cell>
        </row>
        <row r="964">
          <cell r="B964" t="str">
            <v xml:space="preserve">Icbt Company </v>
          </cell>
        </row>
        <row r="965">
          <cell r="B965" t="str">
            <v>Icc IntL Court Of Arbitration</v>
          </cell>
        </row>
        <row r="966">
          <cell r="B966" t="str">
            <v>Idg Communications Hk Ltd</v>
          </cell>
        </row>
        <row r="967">
          <cell r="B967" t="str">
            <v>Ifn Financial Press Ltd</v>
          </cell>
        </row>
        <row r="968">
          <cell r="B968" t="str">
            <v>Illy Caffe North America Inc</v>
          </cell>
        </row>
        <row r="969">
          <cell r="B969" t="str">
            <v xml:space="preserve">Imaraex Asia Pte Ltd </v>
          </cell>
        </row>
        <row r="970">
          <cell r="B970" t="str">
            <v xml:space="preserve">Imsamet Of Arizona </v>
          </cell>
        </row>
        <row r="971">
          <cell r="B971" t="str">
            <v xml:space="preserve">Inbesa America Inc </v>
          </cell>
        </row>
        <row r="972">
          <cell r="B972" t="str">
            <v>Inchcape Shipping Services (Us)</v>
          </cell>
        </row>
        <row r="973">
          <cell r="B973" t="str">
            <v>Inchroy Credit Corporation Ltd</v>
          </cell>
        </row>
        <row r="974">
          <cell r="B974" t="str">
            <v xml:space="preserve">Indalex Inc </v>
          </cell>
        </row>
        <row r="975">
          <cell r="B975" t="str">
            <v xml:space="preserve">Indalloy </v>
          </cell>
        </row>
        <row r="976">
          <cell r="B976" t="str">
            <v xml:space="preserve">Independent Commodity Info Services </v>
          </cell>
        </row>
        <row r="977">
          <cell r="B977" t="str">
            <v xml:space="preserve">Independent Container Line </v>
          </cell>
        </row>
        <row r="978">
          <cell r="B978" t="str">
            <v xml:space="preserve">Independent Ship &amp; Cargo Surveyors </v>
          </cell>
        </row>
        <row r="979">
          <cell r="B979" t="str">
            <v>India Club</v>
          </cell>
        </row>
        <row r="980">
          <cell r="B980" t="str">
            <v>Indian Ironmaking Conference</v>
          </cell>
        </row>
        <row r="981">
          <cell r="B981" t="str">
            <v>Industrial Information Res Inc</v>
          </cell>
        </row>
        <row r="982">
          <cell r="B982" t="str">
            <v xml:space="preserve">Industrial Materials Inspectorate </v>
          </cell>
        </row>
        <row r="983">
          <cell r="B983" t="str">
            <v>Industrial Mineral Information</v>
          </cell>
        </row>
        <row r="984">
          <cell r="B984" t="str">
            <v xml:space="preserve">Ineos Phenol </v>
          </cell>
        </row>
        <row r="985">
          <cell r="B985" t="str">
            <v xml:space="preserve">Inergy Propane </v>
          </cell>
        </row>
        <row r="986">
          <cell r="B986" t="str">
            <v>Informa Asia Publishing</v>
          </cell>
        </row>
        <row r="987">
          <cell r="B987" t="str">
            <v>Informa Professional</v>
          </cell>
        </row>
        <row r="988">
          <cell r="B988" t="str">
            <v>Infospectrum</v>
          </cell>
        </row>
        <row r="989">
          <cell r="B989" t="str">
            <v>Infotech Service Hk Ltd</v>
          </cell>
        </row>
        <row r="990">
          <cell r="B990" t="str">
            <v>Ing Baring Securities (Hk) Ltd</v>
          </cell>
        </row>
        <row r="991">
          <cell r="B991" t="str">
            <v xml:space="preserve">Ingenio El Pilar </v>
          </cell>
        </row>
        <row r="992">
          <cell r="B992" t="str">
            <v xml:space="preserve">Ingenio Guadalupe Sa </v>
          </cell>
        </row>
        <row r="993">
          <cell r="B993" t="str">
            <v xml:space="preserve">Ingenio La Cabana </v>
          </cell>
        </row>
        <row r="994">
          <cell r="B994" t="str">
            <v xml:space="preserve">Ingjose Antonio Salaverria Y Co </v>
          </cell>
        </row>
        <row r="995">
          <cell r="B995" t="str">
            <v xml:space="preserve">Inspect Consultoria Ltda </v>
          </cell>
        </row>
        <row r="996">
          <cell r="B996" t="str">
            <v xml:space="preserve">Inspectorate America </v>
          </cell>
        </row>
        <row r="997">
          <cell r="B997" t="str">
            <v xml:space="preserve">Inspectorate Turkey Ltd </v>
          </cell>
        </row>
        <row r="998">
          <cell r="B998" t="str">
            <v xml:space="preserve">Integra Us Marketing </v>
          </cell>
        </row>
        <row r="999">
          <cell r="B999" t="str">
            <v>Integrated Digital Solutions Llc</v>
          </cell>
        </row>
        <row r="1000">
          <cell r="B1000" t="str">
            <v xml:space="preserve">Interchem Americas </v>
          </cell>
        </row>
        <row r="1001">
          <cell r="B1001" t="str">
            <v>Intercomet Ltd</v>
          </cell>
        </row>
        <row r="1002">
          <cell r="B1002" t="str">
            <v xml:space="preserve">Intercontiental Terminals Company </v>
          </cell>
        </row>
        <row r="1003">
          <cell r="B1003" t="str">
            <v xml:space="preserve">Interfreight / Core Logistics </v>
          </cell>
        </row>
        <row r="1004">
          <cell r="B1004" t="str">
            <v>Interlite Lighting Hk Ltd</v>
          </cell>
        </row>
        <row r="1005">
          <cell r="B1005" t="str">
            <v>Intermarine Llc</v>
          </cell>
        </row>
        <row r="1006">
          <cell r="B1006" t="str">
            <v>International Coal &amp; Carbon Club</v>
          </cell>
        </row>
        <row r="1007">
          <cell r="B1007" t="str">
            <v xml:space="preserve">International Coffee Company </v>
          </cell>
        </row>
        <row r="1008">
          <cell r="B1008" t="str">
            <v xml:space="preserve">International Coffee Whse Of Miami </v>
          </cell>
        </row>
        <row r="1009">
          <cell r="B1009" t="str">
            <v>International Energy Credit Association</v>
          </cell>
        </row>
        <row r="1010">
          <cell r="B1010" t="str">
            <v xml:space="preserve">International Energy Partners </v>
          </cell>
        </row>
        <row r="1011">
          <cell r="B1011" t="str">
            <v>International Living</v>
          </cell>
        </row>
        <row r="1012">
          <cell r="B1012" t="str">
            <v xml:space="preserve">International Sureties Ltd </v>
          </cell>
        </row>
        <row r="1013">
          <cell r="B1013" t="str">
            <v xml:space="preserve">Interstate Trucking Inc </v>
          </cell>
        </row>
        <row r="1014">
          <cell r="B1014" t="str">
            <v xml:space="preserve">Intertek Bahamas Ltd </v>
          </cell>
        </row>
        <row r="1015">
          <cell r="B1015" t="str">
            <v xml:space="preserve">Intertek Caleb Brett Canada </v>
          </cell>
        </row>
        <row r="1016">
          <cell r="B1016" t="str">
            <v xml:space="preserve">Intertek Do Brasil </v>
          </cell>
        </row>
        <row r="1017">
          <cell r="B1017" t="str">
            <v xml:space="preserve">Intertek Panama </v>
          </cell>
        </row>
        <row r="1018">
          <cell r="B1018" t="str">
            <v xml:space="preserve">Intertek Testing Services </v>
          </cell>
        </row>
        <row r="1019">
          <cell r="B1019" t="str">
            <v xml:space="preserve">Intertek Trinidad Ltd </v>
          </cell>
        </row>
        <row r="1020">
          <cell r="B1020" t="str">
            <v>Inter-Tel Network Solutions</v>
          </cell>
        </row>
        <row r="1021">
          <cell r="B1021" t="str">
            <v>Intl Business Communications</v>
          </cell>
        </row>
        <row r="1022">
          <cell r="B1022" t="str">
            <v>Intl Business Lawyer Co Ltd</v>
          </cell>
        </row>
        <row r="1023">
          <cell r="B1023" t="str">
            <v>Intl Chamber Of Commerce</v>
          </cell>
        </row>
        <row r="1024">
          <cell r="B1024" t="str">
            <v>Intl Chromium Dev Association</v>
          </cell>
        </row>
        <row r="1025">
          <cell r="B1025" t="str">
            <v>Intl Fertilizer Industry Asso</v>
          </cell>
        </row>
        <row r="1026">
          <cell r="B1026" t="str">
            <v>Intl Golf &amp; Yacht Club</v>
          </cell>
        </row>
        <row r="1027">
          <cell r="B1027" t="str">
            <v>Intl Newspaper &amp; Magazine Subs</v>
          </cell>
        </row>
        <row r="1028">
          <cell r="B1028" t="str">
            <v xml:space="preserve">Intrametco </v>
          </cell>
        </row>
        <row r="1029">
          <cell r="B1029" t="str">
            <v>Intreco Sa</v>
          </cell>
        </row>
        <row r="1030">
          <cell r="B1030" t="str">
            <v>Intuit Inc</v>
          </cell>
        </row>
        <row r="1031">
          <cell r="B1031" t="str">
            <v xml:space="preserve">Inversiones El Carmen Sca </v>
          </cell>
        </row>
        <row r="1032">
          <cell r="B1032" t="str">
            <v>Iroquois Bio-Energy</v>
          </cell>
        </row>
        <row r="1033">
          <cell r="B1033" t="str">
            <v xml:space="preserve">Irving Oil Terminals </v>
          </cell>
        </row>
        <row r="1034">
          <cell r="B1034" t="str">
            <v>Isg Sparrows Point Inc</v>
          </cell>
        </row>
        <row r="1035">
          <cell r="B1035" t="str">
            <v>Island Shangri-La</v>
          </cell>
        </row>
        <row r="1036">
          <cell r="B1036" t="str">
            <v>Isr Infomedia Ltd</v>
          </cell>
        </row>
        <row r="1037">
          <cell r="B1037" t="str">
            <v>Isr Publications Ltd</v>
          </cell>
        </row>
        <row r="1038">
          <cell r="B1038" t="str">
            <v>Isr Publications Private Ltd</v>
          </cell>
        </row>
        <row r="1039">
          <cell r="B1039" t="str">
            <v xml:space="preserve">Iss Riomar Llc </v>
          </cell>
        </row>
        <row r="1040">
          <cell r="B1040" t="str">
            <v>It Solutions Ltd</v>
          </cell>
        </row>
        <row r="1041">
          <cell r="B1041" t="str">
            <v xml:space="preserve">Itawamba Investments </v>
          </cell>
        </row>
        <row r="1042">
          <cell r="B1042" t="str">
            <v xml:space="preserve">Itochu Singapore Pte Ltd </v>
          </cell>
        </row>
        <row r="1043">
          <cell r="B1043" t="str">
            <v xml:space="preserve">Iver Ships Ltd </v>
          </cell>
        </row>
        <row r="1044">
          <cell r="B1044" t="str">
            <v xml:space="preserve">Iwd Transportation Llc </v>
          </cell>
        </row>
        <row r="1045">
          <cell r="B1045" t="str">
            <v xml:space="preserve">J &amp; S Bulk Transport Co Inc </v>
          </cell>
        </row>
        <row r="1046">
          <cell r="B1046" t="str">
            <v>J Aron &amp; Co</v>
          </cell>
        </row>
        <row r="1047">
          <cell r="B1047" t="str">
            <v>J Bauml &amp; Co</v>
          </cell>
        </row>
        <row r="1048">
          <cell r="B1048" t="str">
            <v>J J Borja Nathan Sa</v>
          </cell>
        </row>
        <row r="1049">
          <cell r="B1049" t="str">
            <v>Jacar Distribuidora De Petroleo Ltda</v>
          </cell>
        </row>
        <row r="1050">
          <cell r="B1050" t="str">
            <v>Jackel Porter Co Ltd</v>
          </cell>
        </row>
        <row r="1051">
          <cell r="B1051" t="str">
            <v xml:space="preserve">Jackson Truck &amp; Trailer Repair </v>
          </cell>
        </row>
        <row r="1052">
          <cell r="B1052" t="str">
            <v xml:space="preserve">Jaguar Coal Holding Inc </v>
          </cell>
        </row>
        <row r="1053">
          <cell r="B1053" t="str">
            <v>Jaguar Hk</v>
          </cell>
        </row>
        <row r="1054">
          <cell r="B1054" t="str">
            <v>James Acep Pty Ltd</v>
          </cell>
        </row>
        <row r="1055">
          <cell r="B1055" t="str">
            <v>James Daniel Entertainment Inc</v>
          </cell>
        </row>
        <row r="1056">
          <cell r="B1056" t="str">
            <v xml:space="preserve">James S Cattanach Jr </v>
          </cell>
        </row>
        <row r="1057">
          <cell r="B1057" t="str">
            <v>Jardine Insurance Brokers Ltd</v>
          </cell>
        </row>
        <row r="1058">
          <cell r="B1058" t="str">
            <v>Jardine Lloyd Thompson Ltd</v>
          </cell>
        </row>
        <row r="1059">
          <cell r="B1059" t="str">
            <v>Jardine Matheson &amp; Co Ltd</v>
          </cell>
        </row>
        <row r="1060">
          <cell r="B1060" t="str">
            <v>Jardine Onesolution HK Ltd</v>
          </cell>
        </row>
        <row r="1061">
          <cell r="B1061" t="str">
            <v>Jc Bosley Construction Inc</v>
          </cell>
        </row>
        <row r="1062">
          <cell r="B1062" t="str">
            <v xml:space="preserve">Jc Transport Services Inc </v>
          </cell>
        </row>
        <row r="1063">
          <cell r="B1063" t="str">
            <v>JeffersonUrainDoane &amp; Sterner PA</v>
          </cell>
        </row>
        <row r="1064">
          <cell r="B1064" t="str">
            <v>Jeffrey M Wilkinson PC</v>
          </cell>
        </row>
        <row r="1065">
          <cell r="B1065" t="str">
            <v>Jenston IntL (Hk) Ltd</v>
          </cell>
        </row>
        <row r="1066">
          <cell r="B1066" t="str">
            <v xml:space="preserve">Jerry R Haaland </v>
          </cell>
        </row>
        <row r="1067">
          <cell r="B1067" t="str">
            <v xml:space="preserve">Jesse's Welding &amp; Fabrication </v>
          </cell>
        </row>
        <row r="1068">
          <cell r="B1068" t="str">
            <v xml:space="preserve">Jetco Delivery Services </v>
          </cell>
        </row>
        <row r="1069">
          <cell r="B1069" t="str">
            <v>Jewish Club</v>
          </cell>
        </row>
        <row r="1070">
          <cell r="B1070" t="str">
            <v xml:space="preserve">Jim Jordan &amp; Associates </v>
          </cell>
        </row>
        <row r="1071">
          <cell r="B1071" t="str">
            <v>Jimmy Crawford Trucking Corp</v>
          </cell>
        </row>
        <row r="1072">
          <cell r="B1072" t="str">
            <v xml:space="preserve">Jl French </v>
          </cell>
        </row>
        <row r="1073">
          <cell r="B1073" t="str">
            <v xml:space="preserve">Jlm International Inc </v>
          </cell>
        </row>
        <row r="1074">
          <cell r="B1074" t="str">
            <v xml:space="preserve">Jm Enterprises </v>
          </cell>
        </row>
        <row r="1075">
          <cell r="B1075" t="str">
            <v xml:space="preserve">Jmuller Weser Gmbh &amp; Co </v>
          </cell>
        </row>
        <row r="1076">
          <cell r="B1076" t="str">
            <v xml:space="preserve">Jo Tankers Bv </v>
          </cell>
        </row>
        <row r="1077">
          <cell r="B1077" t="str">
            <v>Job Access Ltd</v>
          </cell>
        </row>
        <row r="1078">
          <cell r="B1078" t="str">
            <v xml:space="preserve">Joe D Hughes </v>
          </cell>
        </row>
        <row r="1079">
          <cell r="B1079" t="str">
            <v>John Fayard Moving &amp; Warehousing</v>
          </cell>
        </row>
        <row r="1080">
          <cell r="B1080" t="str">
            <v>John Wohn - Equipment</v>
          </cell>
        </row>
        <row r="1081">
          <cell r="B1081" t="str">
            <v>Johnson Strokes &amp; Master</v>
          </cell>
        </row>
        <row r="1082">
          <cell r="B1082" t="str">
            <v xml:space="preserve">Jones Motor Co </v>
          </cell>
        </row>
        <row r="1083">
          <cell r="B1083" t="str">
            <v xml:space="preserve">Jordan Extrusions </v>
          </cell>
        </row>
        <row r="1084">
          <cell r="B1084" t="str">
            <v xml:space="preserve">Jordan'S Trucking </v>
          </cell>
        </row>
        <row r="1085">
          <cell r="B1085" t="str">
            <v>Jos Services (Hk) Ltd</v>
          </cell>
        </row>
        <row r="1086">
          <cell r="B1086" t="str">
            <v>Jose Roberto Dias Gomes de Silva</v>
          </cell>
        </row>
        <row r="1087">
          <cell r="B1087" t="str">
            <v xml:space="preserve">Jowin Express </v>
          </cell>
        </row>
        <row r="1088">
          <cell r="B1088" t="str">
            <v xml:space="preserve">Js Xpress </v>
          </cell>
        </row>
        <row r="1089">
          <cell r="B1089" t="str">
            <v xml:space="preserve">Jst Navigation Ltd </v>
          </cell>
        </row>
        <row r="1090">
          <cell r="B1090" t="str">
            <v xml:space="preserve">Jt &amp; T Drayage </v>
          </cell>
        </row>
        <row r="1091">
          <cell r="B1091" t="str">
            <v xml:space="preserve">Jtcoffee Trading Inc </v>
          </cell>
        </row>
        <row r="1092">
          <cell r="B1092" t="str">
            <v xml:space="preserve">Juan Federico Schonenberg Silva </v>
          </cell>
        </row>
        <row r="1093">
          <cell r="B1093" t="str">
            <v xml:space="preserve">Jupiter Transport Services </v>
          </cell>
        </row>
        <row r="1094">
          <cell r="B1094" t="str">
            <v xml:space="preserve">Jw Aluminum Company </v>
          </cell>
        </row>
        <row r="1095">
          <cell r="B1095" t="str">
            <v>Jw Marriott Hotel</v>
          </cell>
        </row>
        <row r="1096">
          <cell r="B1096" t="str">
            <v xml:space="preserve">K P Sales </v>
          </cell>
        </row>
        <row r="1097">
          <cell r="B1097" t="str">
            <v>Ka Shing Electrical Co</v>
          </cell>
        </row>
        <row r="1098">
          <cell r="B1098" t="str">
            <v>Kadoorie Estates Ltd</v>
          </cell>
        </row>
        <row r="1099">
          <cell r="B1099" t="str">
            <v xml:space="preserve">Kaffee-Lagerei </v>
          </cell>
        </row>
        <row r="1100">
          <cell r="B1100" t="str">
            <v xml:space="preserve">Kaiser Aluminum </v>
          </cell>
        </row>
        <row r="1101">
          <cell r="B1101" t="str">
            <v xml:space="preserve">Kaiser Aluminum &amp; Chemical </v>
          </cell>
        </row>
        <row r="1102">
          <cell r="B1102" t="str">
            <v>Kakao Verarbeitung Berlin</v>
          </cell>
        </row>
        <row r="1103">
          <cell r="B1103" t="str">
            <v>Kalix Investment Ltd</v>
          </cell>
        </row>
        <row r="1104">
          <cell r="B1104" t="str">
            <v>KamS Cleaning Service</v>
          </cell>
        </row>
        <row r="1105">
          <cell r="B1105" t="str">
            <v xml:space="preserve">Kaplan Trucking Compnay </v>
          </cell>
        </row>
        <row r="1106">
          <cell r="B1106" t="str">
            <v>Katz Ippoliti &amp; Co PC</v>
          </cell>
        </row>
        <row r="1107">
          <cell r="B1107" t="str">
            <v xml:space="preserve">Kearney Companies </v>
          </cell>
        </row>
        <row r="1108">
          <cell r="B1108" t="str">
            <v xml:space="preserve">Kearney Companies Inc </v>
          </cell>
        </row>
        <row r="1109">
          <cell r="B1109" t="str">
            <v>Kei Yip Audio &amp; Video Electric</v>
          </cell>
        </row>
        <row r="1110">
          <cell r="B1110" t="str">
            <v xml:space="preserve">Kellogg Brown &amp; Root Inc </v>
          </cell>
        </row>
        <row r="1111">
          <cell r="B1111" t="str">
            <v xml:space="preserve">Ken Moran Trucking </v>
          </cell>
        </row>
        <row r="1112">
          <cell r="B1112" t="str">
            <v xml:space="preserve">Kent H Picknell </v>
          </cell>
        </row>
        <row r="1113">
          <cell r="B1113" t="str">
            <v xml:space="preserve">Kerry Jones Trucking Llc </v>
          </cell>
        </row>
        <row r="1114">
          <cell r="B1114" t="str">
            <v xml:space="preserve">Kevin Burke </v>
          </cell>
        </row>
        <row r="1115">
          <cell r="B1115" t="str">
            <v xml:space="preserve">Kevin'S Trucks Inc </v>
          </cell>
        </row>
        <row r="1116">
          <cell r="B1116" t="str">
            <v>Key Logic Education Center</v>
          </cell>
        </row>
        <row r="1117">
          <cell r="B1117" t="str">
            <v xml:space="preserve">Keymar Warehouse </v>
          </cell>
        </row>
        <row r="1118">
          <cell r="B1118" t="str">
            <v xml:space="preserve">Keymark Corp Of Florida </v>
          </cell>
        </row>
        <row r="1119">
          <cell r="B1119" t="str">
            <v xml:space="preserve">Keystates Inc </v>
          </cell>
        </row>
        <row r="1120">
          <cell r="B1120" t="str">
            <v>Kforce Inc</v>
          </cell>
        </row>
        <row r="1121">
          <cell r="B1121" t="str">
            <v xml:space="preserve">Kinder Morgan </v>
          </cell>
        </row>
        <row r="1122">
          <cell r="B1122" t="str">
            <v xml:space="preserve">Kinder Morgan Liquid Terminals </v>
          </cell>
        </row>
        <row r="1123">
          <cell r="B1123" t="str">
            <v>King Choice Industrial Ltd</v>
          </cell>
        </row>
        <row r="1124">
          <cell r="B1124" t="str">
            <v xml:space="preserve">Kingman Dedicated Service </v>
          </cell>
        </row>
        <row r="1125">
          <cell r="B1125" t="str">
            <v>Kinkos</v>
          </cell>
        </row>
        <row r="1126">
          <cell r="B1126" t="str">
            <v xml:space="preserve">Kirby Inland Marine </v>
          </cell>
        </row>
        <row r="1127">
          <cell r="B1127" t="str">
            <v>Kirkpatrick &amp; Lockhart Llp</v>
          </cell>
        </row>
        <row r="1128">
          <cell r="B1128" t="str">
            <v xml:space="preserve">Kj &amp; J Transportation Inc </v>
          </cell>
        </row>
        <row r="1129">
          <cell r="B1129" t="str">
            <v xml:space="preserve">Klemm Tank Lines </v>
          </cell>
        </row>
        <row r="1130">
          <cell r="B1130" t="str">
            <v xml:space="preserve">Klinkenberg Koffie Bv </v>
          </cell>
        </row>
        <row r="1131">
          <cell r="B1131" t="str">
            <v>Knight Energy Services</v>
          </cell>
        </row>
        <row r="1132">
          <cell r="B1132" t="str">
            <v>Knight Transportation Services</v>
          </cell>
        </row>
        <row r="1133">
          <cell r="B1133" t="str">
            <v xml:space="preserve">Koch Supply &amp; Trading </v>
          </cell>
        </row>
        <row r="1134">
          <cell r="B1134" t="str">
            <v xml:space="preserve">Kolmar Petrochemicals </v>
          </cell>
        </row>
        <row r="1135">
          <cell r="B1135" t="str">
            <v>Kong Mou Holdings Ltd</v>
          </cell>
        </row>
        <row r="1136">
          <cell r="B1136" t="str">
            <v>Korea First Finance Ltd</v>
          </cell>
        </row>
        <row r="1137">
          <cell r="B1137" t="str">
            <v>Korn Ferry IntL</v>
          </cell>
        </row>
        <row r="1138">
          <cell r="B1138" t="str">
            <v>Kosoku Business Paper Ltd</v>
          </cell>
        </row>
        <row r="1139">
          <cell r="B1139" t="str">
            <v>Kow Tung Tyre Company</v>
          </cell>
        </row>
        <row r="1140">
          <cell r="B1140" t="str">
            <v>Kowloon Cricket Club</v>
          </cell>
        </row>
        <row r="1141">
          <cell r="B1141" t="str">
            <v>Kowloon Shangri-La</v>
          </cell>
        </row>
        <row r="1142">
          <cell r="B1142" t="str">
            <v>KPMG</v>
          </cell>
        </row>
        <row r="1143">
          <cell r="B1143" t="str">
            <v>Kraft 3P Ltd</v>
          </cell>
        </row>
        <row r="1144">
          <cell r="B1144" t="str">
            <v xml:space="preserve">Kripke Enterprises </v>
          </cell>
        </row>
        <row r="1145">
          <cell r="B1145" t="str">
            <v>K-Sea Transportation Corp</v>
          </cell>
        </row>
        <row r="1146">
          <cell r="B1146" t="str">
            <v xml:space="preserve">Kwik Trip Inc </v>
          </cell>
        </row>
        <row r="1147">
          <cell r="B1147" t="str">
            <v xml:space="preserve">L &amp; M Brokerage Llc </v>
          </cell>
        </row>
        <row r="1148">
          <cell r="B1148" t="str">
            <v xml:space="preserve">L &amp; M Logistics </v>
          </cell>
        </row>
        <row r="1149">
          <cell r="B1149" t="str">
            <v xml:space="preserve">L E Faubert &amp; Co </v>
          </cell>
        </row>
        <row r="1150">
          <cell r="B1150" t="str">
            <v xml:space="preserve">L T Hawthorne &amp; Co Inc </v>
          </cell>
        </row>
        <row r="1151">
          <cell r="B1151" t="str">
            <v xml:space="preserve">La Libertad </v>
          </cell>
        </row>
        <row r="1152">
          <cell r="B1152" t="str">
            <v>La Majada - Cf</v>
          </cell>
        </row>
        <row r="1153">
          <cell r="B1153" t="str">
            <v xml:space="preserve">Lacy'S Express </v>
          </cell>
        </row>
        <row r="1154">
          <cell r="B1154" t="str">
            <v xml:space="preserve">Lagniappe Logistics Inc </v>
          </cell>
        </row>
        <row r="1155">
          <cell r="B1155" t="str">
            <v>Lakes Region Audi</v>
          </cell>
        </row>
        <row r="1156">
          <cell r="B1156" t="str">
            <v>Lalemant (Usa) Inc</v>
          </cell>
        </row>
        <row r="1157">
          <cell r="B1157" t="str">
            <v>Lam Hong Kit</v>
          </cell>
        </row>
        <row r="1158">
          <cell r="B1158" t="str">
            <v>Lamex Trading Co Ltd</v>
          </cell>
        </row>
        <row r="1159">
          <cell r="B1159" t="str">
            <v>Land Development Corporation</v>
          </cell>
        </row>
        <row r="1160">
          <cell r="B1160" t="str">
            <v>Landerer Company</v>
          </cell>
        </row>
        <row r="1161">
          <cell r="B1161" t="str">
            <v xml:space="preserve">Landmark Chemicals Sa </v>
          </cell>
        </row>
        <row r="1162">
          <cell r="B1162" t="str">
            <v>Landscope Surveyors Ltd</v>
          </cell>
        </row>
        <row r="1163">
          <cell r="B1163" t="str">
            <v xml:space="preserve">Landstar Inway Inc </v>
          </cell>
        </row>
        <row r="1164">
          <cell r="B1164" t="str">
            <v xml:space="preserve">Landstar Ligon </v>
          </cell>
        </row>
        <row r="1165">
          <cell r="B1165" t="str">
            <v xml:space="preserve">Landstar Logistics </v>
          </cell>
        </row>
        <row r="1166">
          <cell r="B1166" t="str">
            <v xml:space="preserve">Landstar Ranger Inc </v>
          </cell>
        </row>
        <row r="1167">
          <cell r="B1167" t="str">
            <v>Landwide Property Management</v>
          </cell>
        </row>
        <row r="1168">
          <cell r="B1168" t="str">
            <v xml:space="preserve">Laridea Ltd </v>
          </cell>
        </row>
        <row r="1169">
          <cell r="B1169" t="str">
            <v>Lau Yim Yin Eileen</v>
          </cell>
        </row>
        <row r="1170">
          <cell r="B1170" t="str">
            <v xml:space="preserve">Laurand Associates </v>
          </cell>
        </row>
        <row r="1171">
          <cell r="B1171" t="str">
            <v>Laurin Tankers America Inc</v>
          </cell>
        </row>
        <row r="1172">
          <cell r="B1172" t="str">
            <v>Law Society</v>
          </cell>
        </row>
        <row r="1173">
          <cell r="B1173" t="str">
            <v>LB Europe</v>
          </cell>
        </row>
        <row r="1174">
          <cell r="B1174" t="str">
            <v>Lbc Petrounited Lp</v>
          </cell>
        </row>
        <row r="1175">
          <cell r="B1175" t="str">
            <v xml:space="preserve">Ld Brokerage Services </v>
          </cell>
        </row>
        <row r="1176">
          <cell r="B1176" t="str">
            <v>Lea Hall Ltd</v>
          </cell>
        </row>
        <row r="1177">
          <cell r="B1177" t="str">
            <v>Leader Motors Service Centre</v>
          </cell>
        </row>
        <row r="1178">
          <cell r="B1178" t="str">
            <v>Leao Irmaos Acucar</v>
          </cell>
        </row>
        <row r="1179">
          <cell r="B1179" t="str">
            <v>Lee Chan Cheng</v>
          </cell>
        </row>
        <row r="1180">
          <cell r="B1180" t="str">
            <v xml:space="preserve">Left Lane Transportation </v>
          </cell>
        </row>
        <row r="1181">
          <cell r="B1181" t="str">
            <v xml:space="preserve">Legacy Transportation </v>
          </cell>
        </row>
        <row r="1182">
          <cell r="B1182" t="str">
            <v>Legend Expert Systems Ltd</v>
          </cell>
        </row>
        <row r="1183">
          <cell r="B1183" t="str">
            <v>Leigh McPherson</v>
          </cell>
        </row>
        <row r="1184">
          <cell r="B1184" t="str">
            <v>Leo &amp; Company</v>
          </cell>
        </row>
        <row r="1185">
          <cell r="B1185" t="str">
            <v>Leonard A Segal</v>
          </cell>
        </row>
        <row r="1186">
          <cell r="B1186" t="str">
            <v>lescale restaurant</v>
          </cell>
        </row>
        <row r="1187">
          <cell r="B1187" t="str">
            <v xml:space="preserve">Levitt Commodities Inc </v>
          </cell>
        </row>
        <row r="1188">
          <cell r="B1188" t="str">
            <v xml:space="preserve">Lexington Shipping Corp </v>
          </cell>
        </row>
        <row r="1189">
          <cell r="B1189" t="str">
            <v>Lightship Chartering A/S</v>
          </cell>
        </row>
        <row r="1190">
          <cell r="B1190" t="str">
            <v>Lim Associates (Pte) Ltd</v>
          </cell>
        </row>
        <row r="1191">
          <cell r="B1191" t="str">
            <v>Lim Soon Jong Susan</v>
          </cell>
        </row>
        <row r="1192">
          <cell r="B1192" t="str">
            <v xml:space="preserve">Lincoln Transportation Ins </v>
          </cell>
        </row>
        <row r="1193">
          <cell r="B1193" t="str">
            <v>Lindy Williams Ltd</v>
          </cell>
        </row>
        <row r="1194">
          <cell r="B1194" t="str">
            <v xml:space="preserve">Line Drive Logistics </v>
          </cell>
        </row>
        <row r="1195">
          <cell r="B1195" t="str">
            <v>Lippo Securities Ltd</v>
          </cell>
        </row>
        <row r="1196">
          <cell r="B1196" t="str">
            <v xml:space="preserve">Liquidity Partners </v>
          </cell>
        </row>
        <row r="1197">
          <cell r="B1197" t="str">
            <v>Littlejohn Frazer</v>
          </cell>
        </row>
        <row r="1198">
          <cell r="B1198" t="str">
            <v>Lloyd &amp; Co</v>
          </cell>
        </row>
        <row r="1199">
          <cell r="B1199" t="str">
            <v>Lloyd Wise &amp; Co</v>
          </cell>
        </row>
        <row r="1200">
          <cell r="B1200" t="str">
            <v>Llp Asia Ltd</v>
          </cell>
        </row>
        <row r="1201">
          <cell r="B1201" t="str">
            <v xml:space="preserve">Lms International </v>
          </cell>
        </row>
        <row r="1202">
          <cell r="B1202" t="str">
            <v>Lo Wong &amp; Tsui Solicitors</v>
          </cell>
        </row>
        <row r="1203">
          <cell r="B1203" t="str">
            <v>Lobdell Transportation Inc</v>
          </cell>
        </row>
        <row r="1204">
          <cell r="B1204" t="str">
            <v>Local not AIT</v>
          </cell>
        </row>
        <row r="1205">
          <cell r="B1205" t="str">
            <v>Logic Office Supplies Ltd</v>
          </cell>
        </row>
        <row r="1206">
          <cell r="B1206" t="str">
            <v>London Special Risks Ltd</v>
          </cell>
        </row>
        <row r="1207">
          <cell r="B1207" t="str">
            <v>Long &amp; Wide Development Ltd</v>
          </cell>
        </row>
        <row r="1208">
          <cell r="B1208" t="str">
            <v xml:space="preserve">Longhorn Recycling Lp </v>
          </cell>
        </row>
        <row r="1209">
          <cell r="B1209" t="str">
            <v xml:space="preserve">Los Ausoles </v>
          </cell>
        </row>
        <row r="1210">
          <cell r="B1210" t="str">
            <v>Lotus Tours Ltd</v>
          </cell>
        </row>
        <row r="1211">
          <cell r="B1211" t="str">
            <v>Loudon County Trucking Inc</v>
          </cell>
        </row>
        <row r="1212">
          <cell r="B1212" t="str">
            <v xml:space="preserve">Louis Dreyfus Energy </v>
          </cell>
        </row>
        <row r="1213">
          <cell r="B1213" t="str">
            <v xml:space="preserve">Louisiana Transportation </v>
          </cell>
        </row>
        <row r="1214">
          <cell r="B1214" t="str">
            <v>Lovells</v>
          </cell>
        </row>
        <row r="1215">
          <cell r="B1215" t="str">
            <v>Lowndes Lambert Marine Ltd</v>
          </cell>
        </row>
        <row r="1216">
          <cell r="B1216" t="str">
            <v>Lp Contractors B Construction</v>
          </cell>
        </row>
        <row r="1217">
          <cell r="B1217" t="str">
            <v xml:space="preserve">Lpt Llc </v>
          </cell>
        </row>
        <row r="1218">
          <cell r="B1218" t="str">
            <v>Lucullus Food &amp; Wines Co Ltd</v>
          </cell>
        </row>
        <row r="1219">
          <cell r="B1219" t="str">
            <v>Luk Kwok Hotel</v>
          </cell>
        </row>
        <row r="1220">
          <cell r="B1220" t="str">
            <v xml:space="preserve">Lukoil Pan Americas </v>
          </cell>
        </row>
        <row r="1221">
          <cell r="B1221" t="str">
            <v xml:space="preserve">Lumber Transport </v>
          </cell>
        </row>
        <row r="1222">
          <cell r="B1222" t="str">
            <v xml:space="preserve">Lykes Lines Ltd Llc </v>
          </cell>
        </row>
        <row r="1223">
          <cell r="B1223" t="str">
            <v xml:space="preserve">Lyondell Chemical </v>
          </cell>
        </row>
        <row r="1224">
          <cell r="B1224" t="str">
            <v xml:space="preserve">Lyondell-Citgo Refining Lp </v>
          </cell>
        </row>
        <row r="1225">
          <cell r="B1225" t="str">
            <v xml:space="preserve">Lyons &amp; Sons </v>
          </cell>
        </row>
        <row r="1226">
          <cell r="B1226" t="str">
            <v>Lyreco (Hk) Co Ltd</v>
          </cell>
        </row>
        <row r="1227">
          <cell r="B1227" t="str">
            <v>M &amp; H Printing Co</v>
          </cell>
        </row>
        <row r="1228">
          <cell r="B1228" t="str">
            <v xml:space="preserve">M &amp; M Mars </v>
          </cell>
        </row>
        <row r="1229">
          <cell r="B1229" t="str">
            <v xml:space="preserve">M &amp; M Trucking Inc </v>
          </cell>
        </row>
        <row r="1230">
          <cell r="B1230" t="str">
            <v>M Communications Inc</v>
          </cell>
        </row>
        <row r="1231">
          <cell r="B1231" t="str">
            <v xml:space="preserve">Mabe Sanyo Compressors Sa De Cv </v>
          </cell>
        </row>
        <row r="1232">
          <cell r="B1232" t="str">
            <v>Macdonnell Hostel Company Ltd</v>
          </cell>
        </row>
        <row r="1233">
          <cell r="B1233" t="str">
            <v>Macro Systems Ltd</v>
          </cell>
        </row>
        <row r="1234">
          <cell r="B1234" t="str">
            <v>Macsteel Intl Far East Ltd</v>
          </cell>
        </row>
        <row r="1235">
          <cell r="B1235" t="str">
            <v>Madre Tierra</v>
          </cell>
        </row>
        <row r="1236">
          <cell r="B1236" t="str">
            <v xml:space="preserve">Maersk Sealand Nc </v>
          </cell>
        </row>
        <row r="1237">
          <cell r="B1237" t="str">
            <v xml:space="preserve">Maersk Sealand Ny </v>
          </cell>
        </row>
        <row r="1238">
          <cell r="B1238" t="str">
            <v>Magazines International</v>
          </cell>
        </row>
        <row r="1239">
          <cell r="B1239" t="str">
            <v xml:space="preserve">Magellan Pipeline Co </v>
          </cell>
        </row>
        <row r="1240">
          <cell r="B1240" t="str">
            <v>Magellan Terminals Formly Williamsenergy</v>
          </cell>
        </row>
        <row r="1241">
          <cell r="B1241" t="str">
            <v>Maggie S Florist &amp; Gift Co</v>
          </cell>
        </row>
        <row r="1242">
          <cell r="B1242" t="str">
            <v>Magic Computer Hong Kong Ltd</v>
          </cell>
        </row>
        <row r="1243">
          <cell r="B1243" t="str">
            <v>Magna Shipholding Sa</v>
          </cell>
        </row>
        <row r="1244">
          <cell r="B1244" t="str">
            <v xml:space="preserve">Mallard Transport </v>
          </cell>
        </row>
        <row r="1245">
          <cell r="B1245" t="str">
            <v xml:space="preserve">Mallory Jones Lynch Flynn </v>
          </cell>
        </row>
        <row r="1246">
          <cell r="B1246" t="str">
            <v>Mandarin Oriental Hk</v>
          </cell>
        </row>
        <row r="1247">
          <cell r="B1247" t="str">
            <v xml:space="preserve">Manfinancial Inc </v>
          </cell>
        </row>
        <row r="1248">
          <cell r="B1248" t="str">
            <v>Manpower Services (Hong Kong)</v>
          </cell>
        </row>
        <row r="1249">
          <cell r="B1249" t="str">
            <v>Manulife</v>
          </cell>
        </row>
        <row r="1250">
          <cell r="B1250" t="str">
            <v xml:space="preserve">Marathon Ashland Petro </v>
          </cell>
        </row>
        <row r="1251">
          <cell r="B1251" t="str">
            <v xml:space="preserve">Marine Freight Company Inc </v>
          </cell>
        </row>
        <row r="1252">
          <cell r="B1252" t="str">
            <v xml:space="preserve">Marine Transport - Crowley Co </v>
          </cell>
        </row>
        <row r="1253">
          <cell r="B1253" t="str">
            <v xml:space="preserve">Marine Transport Lines </v>
          </cell>
        </row>
        <row r="1254">
          <cell r="B1254" t="str">
            <v>Maritima Interoceanica</v>
          </cell>
        </row>
        <row r="1255">
          <cell r="B1255" t="str">
            <v xml:space="preserve">Maritrans Operating Co </v>
          </cell>
        </row>
        <row r="1256">
          <cell r="B1256" t="str">
            <v>Mark Universal Ltd</v>
          </cell>
        </row>
        <row r="1257">
          <cell r="B1257" t="str">
            <v>Markasia (Hk) Ltd</v>
          </cell>
        </row>
        <row r="1258">
          <cell r="B1258" t="str">
            <v>Marsh USA Inc</v>
          </cell>
        </row>
        <row r="1259">
          <cell r="B1259" t="str">
            <v>Martinez Odell &amp; Calabria</v>
          </cell>
        </row>
        <row r="1260">
          <cell r="B1260" t="str">
            <v xml:space="preserve">Martz Transportation </v>
          </cell>
        </row>
        <row r="1261">
          <cell r="B1261" t="str">
            <v>Maruba S C A</v>
          </cell>
        </row>
        <row r="1262">
          <cell r="B1262" t="str">
            <v xml:space="preserve">Marubeni America Corp </v>
          </cell>
        </row>
        <row r="1263">
          <cell r="B1263" t="str">
            <v xml:space="preserve">Mason Dixon Lines </v>
          </cell>
        </row>
        <row r="1264">
          <cell r="B1264" t="str">
            <v>Master Service Pers Consultant</v>
          </cell>
        </row>
        <row r="1265">
          <cell r="B1265" t="str">
            <v xml:space="preserve">Matson Integrated Logistics </v>
          </cell>
        </row>
        <row r="1266">
          <cell r="B1266" t="str">
            <v xml:space="preserve">Maverick Transportation Inc </v>
          </cell>
        </row>
        <row r="1267">
          <cell r="B1267" t="str">
            <v>Maxibit Hk/China</v>
          </cell>
        </row>
        <row r="1268">
          <cell r="B1268" t="str">
            <v>MaximS Caterers Ltd</v>
          </cell>
        </row>
        <row r="1269">
          <cell r="B1269" t="str">
            <v>Maxtech Plaza Ltd</v>
          </cell>
        </row>
        <row r="1270">
          <cell r="B1270" t="str">
            <v>May Wah Printing Co</v>
          </cell>
        </row>
        <row r="1271">
          <cell r="B1271" t="str">
            <v>Maylanie Docena</v>
          </cell>
        </row>
        <row r="1272">
          <cell r="B1272" t="str">
            <v>Mayora &amp; Mayora SC</v>
          </cell>
        </row>
        <row r="1273">
          <cell r="B1273" t="str">
            <v>Mayra Lorena Carrillo</v>
          </cell>
        </row>
        <row r="1274">
          <cell r="B1274" t="str">
            <v>Mccloskey Coal Informational</v>
          </cell>
        </row>
        <row r="1275">
          <cell r="B1275" t="str">
            <v xml:space="preserve">Mccloskey Energy Publishing </v>
          </cell>
        </row>
        <row r="1276">
          <cell r="B1276" t="str">
            <v>McGladrey &amp; Pullen LLP</v>
          </cell>
        </row>
        <row r="1277">
          <cell r="B1277" t="str">
            <v>Mci Worldcom Asia Pacific Ltd</v>
          </cell>
        </row>
        <row r="1278">
          <cell r="B1278" t="str">
            <v xml:space="preserve">Mcsweeney Sampling </v>
          </cell>
        </row>
        <row r="1279">
          <cell r="B1279" t="str">
            <v>Md Motors</v>
          </cell>
        </row>
        <row r="1280">
          <cell r="B1280" t="str">
            <v xml:space="preserve">Md Recycling </v>
          </cell>
        </row>
        <row r="1281">
          <cell r="B1281" t="str">
            <v xml:space="preserve">Mecafe Sa De Cv </v>
          </cell>
        </row>
        <row r="1282">
          <cell r="B1282" t="str">
            <v xml:space="preserve">Mecca &amp; Son Trucking Co </v>
          </cell>
        </row>
        <row r="1283">
          <cell r="B1283" t="str">
            <v>Mediterraneo Egypt</v>
          </cell>
        </row>
        <row r="1284">
          <cell r="B1284" t="str">
            <v>Meespierson NV (Amsterdam)</v>
          </cell>
        </row>
        <row r="1285">
          <cell r="B1285" t="str">
            <v>Megh Shipping Panama Inc</v>
          </cell>
        </row>
        <row r="1286">
          <cell r="B1286" t="str">
            <v>Mercafe Trading Corp</v>
          </cell>
        </row>
        <row r="1287">
          <cell r="B1287" t="str">
            <v xml:space="preserve">Merger Transportation Co </v>
          </cell>
        </row>
        <row r="1288">
          <cell r="B1288" t="str">
            <v xml:space="preserve">Metal Bulletin Inc </v>
          </cell>
        </row>
        <row r="1289">
          <cell r="B1289" t="str">
            <v>Metal Bulletin Plc</v>
          </cell>
        </row>
        <row r="1290">
          <cell r="B1290" t="str">
            <v>Metal Bulletin Plc</v>
          </cell>
        </row>
        <row r="1291">
          <cell r="B1291" t="str">
            <v xml:space="preserve">Metal Conversions Ltd </v>
          </cell>
        </row>
        <row r="1292">
          <cell r="B1292" t="str">
            <v xml:space="preserve">Metal Exchange Corp </v>
          </cell>
        </row>
        <row r="1293">
          <cell r="B1293" t="str">
            <v xml:space="preserve">Metal Recovery Indiana Co </v>
          </cell>
        </row>
        <row r="1294">
          <cell r="B1294" t="str">
            <v xml:space="preserve">Metal Solutions Co </v>
          </cell>
        </row>
        <row r="1295">
          <cell r="B1295" t="str">
            <v xml:space="preserve">Metal Transportation Systems </v>
          </cell>
        </row>
        <row r="1296">
          <cell r="B1296" t="str">
            <v>Metales Refinados</v>
          </cell>
        </row>
        <row r="1297">
          <cell r="B1297" t="str">
            <v xml:space="preserve">Methanex Methanol </v>
          </cell>
        </row>
        <row r="1298">
          <cell r="B1298" t="str">
            <v xml:space="preserve">Methanol Holdings (Trinidad) Ltd </v>
          </cell>
        </row>
        <row r="1299">
          <cell r="B1299" t="str">
            <v>Metro Business Systems</v>
          </cell>
        </row>
        <row r="1300">
          <cell r="B1300" t="str">
            <v xml:space="preserve">Metro International Trade Services </v>
          </cell>
        </row>
        <row r="1301">
          <cell r="B1301" t="str">
            <v xml:space="preserve">Metro Terminals Corp </v>
          </cell>
        </row>
        <row r="1302">
          <cell r="B1302" t="str">
            <v xml:space="preserve">Mg&amp;B Services </v>
          </cell>
        </row>
        <row r="1303">
          <cell r="B1303" t="str">
            <v xml:space="preserve">Mgp Ingredients Of Il </v>
          </cell>
        </row>
        <row r="1304">
          <cell r="B1304" t="str">
            <v xml:space="preserve">Mi Metals Inc </v>
          </cell>
        </row>
        <row r="1305">
          <cell r="B1305" t="str">
            <v xml:space="preserve">Miami Foods </v>
          </cell>
        </row>
        <row r="1306">
          <cell r="B1306" t="str">
            <v>Michael Else &amp; Co Ltd "Charterers P&amp;I"</v>
          </cell>
        </row>
        <row r="1307">
          <cell r="B1307" t="str">
            <v>Michael Werth</v>
          </cell>
        </row>
        <row r="1308">
          <cell r="B1308" t="str">
            <v>Mid Levels Portfolio Tavistock</v>
          </cell>
        </row>
        <row r="1309">
          <cell r="B1309" t="str">
            <v>Mid-Continent Coal &amp; Coke Company</v>
          </cell>
        </row>
        <row r="1310">
          <cell r="B1310" t="str">
            <v xml:space="preserve">Midwest Coast Transport </v>
          </cell>
        </row>
        <row r="1311">
          <cell r="B1311" t="str">
            <v xml:space="preserve">Midwest Grain Processors </v>
          </cell>
        </row>
        <row r="1312">
          <cell r="B1312" t="str">
            <v xml:space="preserve">Midwest Metals Corporation </v>
          </cell>
        </row>
        <row r="1313">
          <cell r="B1313" t="str">
            <v xml:space="preserve">Mieco Inc </v>
          </cell>
        </row>
        <row r="1314">
          <cell r="B1314" t="str">
            <v xml:space="preserve">Milan Express Co Inc </v>
          </cell>
        </row>
        <row r="1315">
          <cell r="B1315" t="str">
            <v xml:space="preserve">Millennium Brokerage </v>
          </cell>
        </row>
        <row r="1316">
          <cell r="B1316" t="str">
            <v>Million Wealth Inv Ltd</v>
          </cell>
        </row>
        <row r="1317">
          <cell r="B1317" t="str">
            <v xml:space="preserve">Milone Pest Control </v>
          </cell>
        </row>
        <row r="1318">
          <cell r="B1318" t="str">
            <v>Minerals &amp; Metals Review</v>
          </cell>
        </row>
        <row r="1319">
          <cell r="B1319" t="str">
            <v>Minolta Hk Ltd</v>
          </cell>
        </row>
        <row r="1320">
          <cell r="B1320" t="str">
            <v xml:space="preserve">Mirro Company The </v>
          </cell>
        </row>
        <row r="1321">
          <cell r="B1321" t="str">
            <v>Mission Hills (China) Ltd</v>
          </cell>
        </row>
        <row r="1322">
          <cell r="B1322" t="str">
            <v>Mission Trading</v>
          </cell>
        </row>
        <row r="1323">
          <cell r="B1323" t="str">
            <v xml:space="preserve">Mitco - Malaysian International </v>
          </cell>
        </row>
        <row r="1324">
          <cell r="B1324" t="str">
            <v xml:space="preserve">Mitsubishi International Corp </v>
          </cell>
        </row>
        <row r="1325">
          <cell r="B1325" t="str">
            <v xml:space="preserve">Mitsui &amp; Company (Usa) </v>
          </cell>
        </row>
        <row r="1326">
          <cell r="B1326" t="str">
            <v xml:space="preserve">Mitsui Mining Co Ltd </v>
          </cell>
        </row>
        <row r="1327">
          <cell r="B1327" t="str">
            <v>Mittoland Ltd</v>
          </cell>
        </row>
        <row r="1328">
          <cell r="B1328" t="str">
            <v>Mka Management Consulting Ltd</v>
          </cell>
        </row>
        <row r="1329">
          <cell r="B1329" t="str">
            <v xml:space="preserve">Moab - Merit Oil Advisory Brokers </v>
          </cell>
        </row>
        <row r="1330">
          <cell r="B1330" t="str">
            <v xml:space="preserve">Moab Oil Inc </v>
          </cell>
        </row>
        <row r="1331">
          <cell r="B1331" t="str">
            <v>Mocom International Inc</v>
          </cell>
        </row>
        <row r="1332">
          <cell r="B1332" t="str">
            <v>Modern Century Forwarding Ltd</v>
          </cell>
        </row>
        <row r="1333">
          <cell r="B1333" t="str">
            <v xml:space="preserve">Montgomery Scrap Corporation </v>
          </cell>
        </row>
        <row r="1334">
          <cell r="B1334" t="str">
            <v xml:space="preserve">Montship Inc </v>
          </cell>
        </row>
        <row r="1335">
          <cell r="B1335" t="str">
            <v xml:space="preserve">Moore Freight Lines </v>
          </cell>
        </row>
        <row r="1336">
          <cell r="B1336" t="str">
            <v xml:space="preserve">Morgan Stanely </v>
          </cell>
        </row>
        <row r="1337">
          <cell r="B1337" t="str">
            <v>Morley Brett Andrew</v>
          </cell>
        </row>
        <row r="1338">
          <cell r="B1338" t="str">
            <v>Morrison &amp; Foerster Llp</v>
          </cell>
        </row>
        <row r="1339">
          <cell r="B1339" t="str">
            <v xml:space="preserve">Motiva Enterprises </v>
          </cell>
        </row>
        <row r="1340">
          <cell r="B1340" t="str">
            <v xml:space="preserve">Motor Ways Inc </v>
          </cell>
        </row>
        <row r="1341">
          <cell r="B1341" t="str">
            <v>Mount Oscar Navigation Ltd</v>
          </cell>
        </row>
        <row r="1342">
          <cell r="B1342" t="str">
            <v>Mr Suen Ho</v>
          </cell>
        </row>
        <row r="1343">
          <cell r="B1343" t="str">
            <v>Mr WJ Attenborough</v>
          </cell>
        </row>
        <row r="1344">
          <cell r="B1344" t="str">
            <v>MrHammer Design &amp; Decoration</v>
          </cell>
        </row>
        <row r="1345">
          <cell r="B1345" t="str">
            <v xml:space="preserve">Msc Mediterranean Shipping Company </v>
          </cell>
        </row>
        <row r="1346">
          <cell r="B1346" t="str">
            <v xml:space="preserve">Murex Na Ltd </v>
          </cell>
        </row>
        <row r="1347">
          <cell r="B1347" t="str">
            <v>Murphy Oil</v>
          </cell>
        </row>
        <row r="1348">
          <cell r="B1348" t="str">
            <v>Mvp Energy Llc</v>
          </cell>
        </row>
        <row r="1349">
          <cell r="B1349" t="str">
            <v xml:space="preserve">Nacional De Conductores Electricos </v>
          </cell>
        </row>
        <row r="1350">
          <cell r="B1350" t="str">
            <v xml:space="preserve">Natco Inc </v>
          </cell>
        </row>
        <row r="1351">
          <cell r="B1351" t="str">
            <v>National Assoc of Credit Mgt CT Inc</v>
          </cell>
        </row>
        <row r="1352">
          <cell r="B1352" t="str">
            <v>National Futures Association (NFA) Cocoa</v>
          </cell>
        </row>
        <row r="1353">
          <cell r="B1353" t="str">
            <v>National Mutual Insurance</v>
          </cell>
        </row>
        <row r="1354">
          <cell r="B1354" t="str">
            <v>National Petrochemical &amp; Refiners Assoc</v>
          </cell>
        </row>
        <row r="1355">
          <cell r="B1355" t="str">
            <v>National Primary Copper &amp; Al Trade Cr Grp</v>
          </cell>
        </row>
        <row r="1356">
          <cell r="B1356" t="str">
            <v>Nautical Ltd</v>
          </cell>
        </row>
        <row r="1357">
          <cell r="B1357" t="str">
            <v>Navios International</v>
          </cell>
        </row>
        <row r="1358">
          <cell r="B1358" t="str">
            <v>Navy Base Terminal Fund</v>
          </cell>
        </row>
        <row r="1359">
          <cell r="B1359" t="str">
            <v>NCC Extended Studies</v>
          </cell>
        </row>
        <row r="1360">
          <cell r="B1360" t="str">
            <v xml:space="preserve">Neftali Armando Portillo </v>
          </cell>
        </row>
        <row r="1361">
          <cell r="B1361" t="str">
            <v>Network Solutions Inc</v>
          </cell>
        </row>
        <row r="1362">
          <cell r="B1362" t="str">
            <v>Network Synergy</v>
          </cell>
        </row>
        <row r="1363">
          <cell r="B1363" t="str">
            <v>New Caledonian Removal/Storage</v>
          </cell>
        </row>
        <row r="1364">
          <cell r="B1364" t="str">
            <v>New Century Company</v>
          </cell>
        </row>
        <row r="1365">
          <cell r="B1365" t="str">
            <v xml:space="preserve">New Energy </v>
          </cell>
        </row>
        <row r="1366">
          <cell r="B1366" t="str">
            <v>New Hong Kong Tunnel Co Ltd</v>
          </cell>
        </row>
        <row r="1367">
          <cell r="B1367" t="str">
            <v>New Horizons</v>
          </cell>
        </row>
        <row r="1368">
          <cell r="B1368" t="str">
            <v>New Jersey Family Support</v>
          </cell>
        </row>
        <row r="1369">
          <cell r="B1369" t="str">
            <v xml:space="preserve">New Phoenix Group Inc </v>
          </cell>
        </row>
        <row r="1370">
          <cell r="B1370" t="str">
            <v xml:space="preserve">New Phoenix Metals Ltd </v>
          </cell>
        </row>
        <row r="1371">
          <cell r="B1371" t="str">
            <v>New Shanghai IntL Prop Mngml</v>
          </cell>
        </row>
        <row r="1372">
          <cell r="B1372" t="str">
            <v>New World Harbourview Hotel Co</v>
          </cell>
        </row>
        <row r="1373">
          <cell r="B1373" t="str">
            <v>New World Telephone Ltd</v>
          </cell>
        </row>
        <row r="1374">
          <cell r="B1374" t="str">
            <v xml:space="preserve">New York Board of Trade </v>
          </cell>
        </row>
        <row r="1375">
          <cell r="B1375" t="str">
            <v>New York Coal Trade Association</v>
          </cell>
        </row>
        <row r="1376">
          <cell r="B1376" t="str">
            <v xml:space="preserve">New York Customs Brokers </v>
          </cell>
        </row>
        <row r="1377">
          <cell r="B1377" t="str">
            <v xml:space="preserve">New York Nautical Inst </v>
          </cell>
        </row>
        <row r="1378">
          <cell r="B1378" t="str">
            <v>Newco Hong Kong Ltd</v>
          </cell>
        </row>
        <row r="1379">
          <cell r="B1379" t="str">
            <v xml:space="preserve">Newco Metals Inc </v>
          </cell>
        </row>
        <row r="1380">
          <cell r="B1380" t="str">
            <v xml:space="preserve">Newell Recycling Of San Antonio </v>
          </cell>
        </row>
        <row r="1381">
          <cell r="B1381" t="str">
            <v>Nextel Communication</v>
          </cell>
        </row>
        <row r="1382">
          <cell r="B1382" t="str">
            <v>NextiraOne Business</v>
          </cell>
        </row>
        <row r="1383">
          <cell r="B1383" t="str">
            <v>Ng Kin Wah George</v>
          </cell>
        </row>
        <row r="1384">
          <cell r="B1384" t="str">
            <v>Ngai Wah Lamps &amp; Machine</v>
          </cell>
        </row>
        <row r="1385">
          <cell r="B1385" t="str">
            <v>Nh St Asia Pte Ltd-Tradewinds</v>
          </cell>
        </row>
        <row r="1386">
          <cell r="B1386" t="str">
            <v xml:space="preserve">Nic Holding </v>
          </cell>
        </row>
        <row r="1387">
          <cell r="B1387" t="str">
            <v>Nice Garden</v>
          </cell>
        </row>
        <row r="1388">
          <cell r="B1388" t="str">
            <v xml:space="preserve">Nicholas Aluminum Golden </v>
          </cell>
        </row>
        <row r="1389">
          <cell r="B1389" t="str">
            <v xml:space="preserve">Nick Strimbu Inc </v>
          </cell>
        </row>
        <row r="1390">
          <cell r="B1390" t="str">
            <v>Nicoletti Hornig Campise Sweeney &amp; Paige</v>
          </cell>
        </row>
        <row r="1391">
          <cell r="B1391" t="str">
            <v xml:space="preserve">Noble &amp; Pitts </v>
          </cell>
        </row>
        <row r="1392">
          <cell r="B1392" t="str">
            <v>Node - Langlois Matieres Premieres Sa</v>
          </cell>
        </row>
        <row r="1393">
          <cell r="B1393" t="str">
            <v xml:space="preserve">Noranda Inc </v>
          </cell>
        </row>
        <row r="1394">
          <cell r="B1394" t="str">
            <v xml:space="preserve">Nordico Energy (Usa) </v>
          </cell>
        </row>
        <row r="1395">
          <cell r="B1395" t="str">
            <v>Nordstern Trading Co</v>
          </cell>
        </row>
        <row r="1396">
          <cell r="B1396" t="str">
            <v xml:space="preserve">Norfolk Southern </v>
          </cell>
        </row>
        <row r="1397">
          <cell r="B1397" t="str">
            <v xml:space="preserve">Norfolk Southern Corp </v>
          </cell>
        </row>
        <row r="1398">
          <cell r="B1398" t="str">
            <v>Norgan Grenfell Asia Hk Ltd</v>
          </cell>
        </row>
        <row r="1399">
          <cell r="B1399" t="str">
            <v xml:space="preserve">Norman G Jensen </v>
          </cell>
        </row>
        <row r="1400">
          <cell r="B1400" t="str">
            <v xml:space="preserve">Normet </v>
          </cell>
        </row>
        <row r="1401">
          <cell r="B1401" t="str">
            <v xml:space="preserve">Northeast Texas Tire </v>
          </cell>
        </row>
        <row r="1402">
          <cell r="B1402" t="str">
            <v>Notebook Collection (Hk)</v>
          </cell>
        </row>
        <row r="1403">
          <cell r="B1403" t="str">
            <v xml:space="preserve">Nova Chemicals </v>
          </cell>
        </row>
        <row r="1404">
          <cell r="B1404" t="str">
            <v>Novamar International Usa Inc</v>
          </cell>
        </row>
        <row r="1405">
          <cell r="B1405" t="str">
            <v>Novel Infomation Sys Ltd</v>
          </cell>
        </row>
        <row r="1406">
          <cell r="B1406" t="str">
            <v>Novomet Ltd</v>
          </cell>
        </row>
        <row r="1407">
          <cell r="B1407" t="str">
            <v>Novoship (Uk) Ltd</v>
          </cell>
        </row>
        <row r="1408">
          <cell r="B1408" t="str">
            <v xml:space="preserve">Nyk Logistics (Americas) Inc </v>
          </cell>
        </row>
        <row r="1409">
          <cell r="B1409" t="str">
            <v xml:space="preserve">Nymex </v>
          </cell>
        </row>
        <row r="1410">
          <cell r="B1410" t="str">
            <v>O &amp; L Design Associates</v>
          </cell>
        </row>
        <row r="1411">
          <cell r="B1411" t="str">
            <v xml:space="preserve">Ocala Recycling Co </v>
          </cell>
        </row>
        <row r="1412">
          <cell r="B1412" t="str">
            <v xml:space="preserve">Oceana Marine Transportation Ltd </v>
          </cell>
        </row>
        <row r="1413">
          <cell r="B1413" t="str">
            <v xml:space="preserve">Oceana Peterochemicals Ag </v>
          </cell>
        </row>
        <row r="1414">
          <cell r="B1414" t="str">
            <v>Oceana Petrochemicals Ag</v>
          </cell>
        </row>
        <row r="1415">
          <cell r="B1415" t="str">
            <v>Oceana Petrochemicals Ag</v>
          </cell>
        </row>
        <row r="1416">
          <cell r="B1416" t="str">
            <v xml:space="preserve">Odfjell Terminals </v>
          </cell>
        </row>
        <row r="1417">
          <cell r="B1417" t="str">
            <v xml:space="preserve">Odin Marine </v>
          </cell>
        </row>
        <row r="1418">
          <cell r="B1418" t="str">
            <v>Odonnell / Snider Construction</v>
          </cell>
        </row>
        <row r="1419">
          <cell r="B1419" t="str">
            <v>Offenberg Associates</v>
          </cell>
        </row>
        <row r="1420">
          <cell r="B1420" t="str">
            <v xml:space="preserve">Office Assistance </v>
          </cell>
        </row>
        <row r="1421">
          <cell r="B1421" t="str">
            <v>Office Depot Ltd</v>
          </cell>
        </row>
        <row r="1422">
          <cell r="B1422" t="str">
            <v>Office Partners (Hk) Co</v>
          </cell>
        </row>
        <row r="1423">
          <cell r="B1423" t="str">
            <v>Office Systems Ltd</v>
          </cell>
        </row>
        <row r="1424">
          <cell r="B1424" t="str">
            <v>Offshore Incorporations Ltd</v>
          </cell>
        </row>
        <row r="1425">
          <cell r="B1425" t="str">
            <v>Ogilvyone Worldwide</v>
          </cell>
        </row>
        <row r="1426">
          <cell r="B1426" t="str">
            <v>Ohel Leah Synagogue</v>
          </cell>
        </row>
        <row r="1427">
          <cell r="B1427" t="str">
            <v xml:space="preserve">Ohio Valley Alluminum Co Llc </v>
          </cell>
        </row>
        <row r="1428">
          <cell r="B1428" t="str">
            <v xml:space="preserve">Oiltest Inc </v>
          </cell>
        </row>
        <row r="1429">
          <cell r="B1429" t="str">
            <v>Omnipotech</v>
          </cell>
        </row>
        <row r="1430">
          <cell r="B1430" t="str">
            <v>On Hing Paper Co Ltd</v>
          </cell>
        </row>
        <row r="1431">
          <cell r="B1431" t="str">
            <v>On Hing Transportation Co</v>
          </cell>
        </row>
        <row r="1432">
          <cell r="B1432" t="str">
            <v>On Hold Services</v>
          </cell>
        </row>
        <row r="1433">
          <cell r="B1433" t="str">
            <v>Op Secretan</v>
          </cell>
        </row>
        <row r="1434">
          <cell r="B1434" t="str">
            <v>Operation Smile-China Medical</v>
          </cell>
        </row>
        <row r="1435">
          <cell r="B1435" t="str">
            <v>OperationsInccom</v>
          </cell>
        </row>
        <row r="1436">
          <cell r="B1436" t="str">
            <v xml:space="preserve">Opis - Petroleum Terminal Encyc </v>
          </cell>
        </row>
        <row r="1437">
          <cell r="B1437" t="str">
            <v>OPIS/Stalsby Directories</v>
          </cell>
        </row>
        <row r="1438">
          <cell r="B1438" t="str">
            <v>Option View System International</v>
          </cell>
        </row>
        <row r="1439">
          <cell r="B1439" t="str">
            <v>Oracle Systems HK Ltd</v>
          </cell>
        </row>
        <row r="1440">
          <cell r="B1440" t="str">
            <v>Oreilly Vernier &amp; Gurka Ltd</v>
          </cell>
        </row>
        <row r="1441">
          <cell r="B1441" t="str">
            <v xml:space="preserve">Orion Associates </v>
          </cell>
        </row>
        <row r="1442">
          <cell r="B1442" t="str">
            <v>Oscar Armando Melhado Montes</v>
          </cell>
        </row>
        <row r="1443">
          <cell r="B1443" t="str">
            <v>Overseas Ii Export Ltd</v>
          </cell>
        </row>
        <row r="1444">
          <cell r="B1444" t="str">
            <v>Overseas Management Co (Asia)</v>
          </cell>
        </row>
        <row r="1445">
          <cell r="B1445" t="str">
            <v xml:space="preserve">Owensboro Riverport Authority </v>
          </cell>
        </row>
        <row r="1446">
          <cell r="B1446" t="str">
            <v xml:space="preserve">Owl'S Head Alloys Inc </v>
          </cell>
        </row>
        <row r="1447">
          <cell r="B1447" t="str">
            <v>Oxford Health Plans</v>
          </cell>
        </row>
        <row r="1448">
          <cell r="B1448" t="str">
            <v>Oxford Health Plans</v>
          </cell>
        </row>
        <row r="1449">
          <cell r="B1449" t="str">
            <v>Ozark Utility</v>
          </cell>
        </row>
        <row r="1450">
          <cell r="B1450" t="str">
            <v xml:space="preserve">P &amp; O Nedlloyd Ltd </v>
          </cell>
        </row>
        <row r="1451">
          <cell r="B1451" t="str">
            <v xml:space="preserve">P &amp; O Ports North America </v>
          </cell>
        </row>
        <row r="1452">
          <cell r="B1452" t="str">
            <v>P W Bellingall Inc</v>
          </cell>
        </row>
        <row r="1453">
          <cell r="B1453" t="str">
            <v xml:space="preserve">Pacer Transport </v>
          </cell>
        </row>
        <row r="1454">
          <cell r="B1454" t="str">
            <v>Pacific Alliance Eng Ltd</v>
          </cell>
        </row>
        <row r="1455">
          <cell r="B1455" t="str">
            <v>Pacific Century Publishers Ltd</v>
          </cell>
        </row>
        <row r="1456">
          <cell r="B1456" t="str">
            <v>Pacific Decor Ltd</v>
          </cell>
        </row>
        <row r="1457">
          <cell r="B1457" t="str">
            <v>Pacific Development</v>
          </cell>
        </row>
        <row r="1458">
          <cell r="B1458" t="str">
            <v>Pacific Gallant Ltd</v>
          </cell>
        </row>
        <row r="1459">
          <cell r="B1459" t="str">
            <v>Pacific Link Communication Ltd</v>
          </cell>
        </row>
        <row r="1460">
          <cell r="B1460" t="str">
            <v>Pacific One Net Ltd</v>
          </cell>
        </row>
        <row r="1461">
          <cell r="B1461" t="str">
            <v xml:space="preserve">Packard Transport Inc </v>
          </cell>
        </row>
        <row r="1462">
          <cell r="B1462" t="str">
            <v xml:space="preserve">Pacorini Usa </v>
          </cell>
        </row>
        <row r="1463">
          <cell r="B1463" t="str">
            <v>Paisner &amp; Co</v>
          </cell>
        </row>
        <row r="1464">
          <cell r="B1464" t="str">
            <v xml:space="preserve">Palletized Trucking Inc </v>
          </cell>
        </row>
        <row r="1465">
          <cell r="B1465" t="str">
            <v xml:space="preserve">Palo Duro Freight Services </v>
          </cell>
        </row>
        <row r="1466">
          <cell r="B1466" t="str">
            <v>Paola Dindo &amp; Associates Ltd</v>
          </cell>
        </row>
        <row r="1467">
          <cell r="B1467" t="str">
            <v xml:space="preserve">Paragon </v>
          </cell>
        </row>
        <row r="1468">
          <cell r="B1468" t="str">
            <v>Parker Towing Company Inc</v>
          </cell>
        </row>
        <row r="1469">
          <cell r="B1469" t="str">
            <v xml:space="preserve">Parrett Trucking Inc </v>
          </cell>
        </row>
        <row r="1470">
          <cell r="B1470" t="str">
            <v>Patterson Palmer Law</v>
          </cell>
        </row>
        <row r="1471">
          <cell r="B1471" t="str">
            <v xml:space="preserve">Paul Hastings </v>
          </cell>
        </row>
        <row r="1472">
          <cell r="B1472" t="str">
            <v>Paul Miller Trucking - Pmt</v>
          </cell>
        </row>
        <row r="1473">
          <cell r="B1473" t="str">
            <v>Paul Weiss Rifkind Wharton</v>
          </cell>
        </row>
        <row r="1474">
          <cell r="B1474" t="str">
            <v>Pavlich Inc</v>
          </cell>
        </row>
        <row r="1475">
          <cell r="B1475" t="str">
            <v>Paychex</v>
          </cell>
        </row>
        <row r="1476">
          <cell r="B1476" t="str">
            <v>Pcs Asia Ltd</v>
          </cell>
        </row>
        <row r="1477">
          <cell r="B1477" t="str">
            <v>Pcs Ltd</v>
          </cell>
        </row>
        <row r="1478">
          <cell r="B1478" t="str">
            <v xml:space="preserve">Pechineyworld Trade Usa </v>
          </cell>
        </row>
        <row r="1479">
          <cell r="B1479" t="str">
            <v xml:space="preserve">Pedro A Daura </v>
          </cell>
        </row>
        <row r="1480">
          <cell r="B1480" t="str">
            <v>Pedro Calmon Filho E Associados</v>
          </cell>
        </row>
        <row r="1481">
          <cell r="B1481" t="str">
            <v xml:space="preserve">Pemberton Truck Lines </v>
          </cell>
        </row>
        <row r="1482">
          <cell r="B1482" t="str">
            <v xml:space="preserve">Peony Inc </v>
          </cell>
        </row>
        <row r="1483">
          <cell r="B1483" t="str">
            <v xml:space="preserve">Perales Huancaruna Sa </v>
          </cell>
        </row>
        <row r="1484">
          <cell r="B1484" t="str">
            <v>Perfect World Co Ltd</v>
          </cell>
        </row>
        <row r="1485">
          <cell r="B1485" t="str">
            <v xml:space="preserve">Peribras Rio - Peritos Brasileiros </v>
          </cell>
        </row>
        <row r="1486">
          <cell r="B1486" t="str">
            <v>Perkins Eastman Architects PC</v>
          </cell>
        </row>
        <row r="1487">
          <cell r="B1487" t="str">
            <v>Perman &amp; Green LLP</v>
          </cell>
        </row>
        <row r="1488">
          <cell r="B1488" t="str">
            <v>Petals Florist</v>
          </cell>
        </row>
        <row r="1489">
          <cell r="B1489" t="str">
            <v xml:space="preserve">Petrobras America </v>
          </cell>
        </row>
        <row r="1490">
          <cell r="B1490" t="str">
            <v xml:space="preserve">Petro-Canada Chemicals </v>
          </cell>
        </row>
        <row r="1491">
          <cell r="B1491" t="str">
            <v xml:space="preserve">Petrochimie Costal </v>
          </cell>
        </row>
        <row r="1492">
          <cell r="B1492" t="str">
            <v xml:space="preserve">Petrojam Ltd </v>
          </cell>
        </row>
        <row r="1493">
          <cell r="B1493" t="str">
            <v>Petrol Investment Ltd</v>
          </cell>
        </row>
        <row r="1494">
          <cell r="B1494" t="str">
            <v>Petroleo De Venezuela Rp</v>
          </cell>
        </row>
        <row r="1495">
          <cell r="B1495" t="str">
            <v xml:space="preserve">Petroleum Fuel Consultants </v>
          </cell>
        </row>
        <row r="1496">
          <cell r="B1496" t="str">
            <v xml:space="preserve">Petroterminal De Panama </v>
          </cell>
        </row>
        <row r="1497">
          <cell r="B1497" t="str">
            <v xml:space="preserve">Petrox Sa Refineria De Petroleo </v>
          </cell>
        </row>
        <row r="1498">
          <cell r="B1498" t="str">
            <v xml:space="preserve">Phase Iii Trucking Inc </v>
          </cell>
        </row>
        <row r="1499">
          <cell r="B1499" t="str">
            <v xml:space="preserve">Phibro Inc </v>
          </cell>
        </row>
        <row r="1500">
          <cell r="B1500" t="str">
            <v xml:space="preserve">Phil Garside Inc </v>
          </cell>
        </row>
        <row r="1501">
          <cell r="B1501" t="str">
            <v>Philips Fox Lawyers</v>
          </cell>
        </row>
        <row r="1502">
          <cell r="B1502" t="str">
            <v xml:space="preserve">Phillip Williams &amp; Sons </v>
          </cell>
        </row>
        <row r="1503">
          <cell r="B1503" t="str">
            <v>Phillips 66 Company</v>
          </cell>
        </row>
        <row r="1504">
          <cell r="B1504" t="str">
            <v>Philsburg Shipping Co Ltd</v>
          </cell>
        </row>
        <row r="1505">
          <cell r="B1505" t="str">
            <v xml:space="preserve">Phoenix Freight Services Ltd </v>
          </cell>
        </row>
        <row r="1506">
          <cell r="B1506" t="str">
            <v>Pinacom Inc</v>
          </cell>
        </row>
        <row r="1507">
          <cell r="B1507" t="str">
            <v xml:space="preserve">Pine Lake </v>
          </cell>
        </row>
        <row r="1508">
          <cell r="B1508" t="str">
            <v xml:space="preserve">Pinhalense Sa Maquinas </v>
          </cell>
        </row>
        <row r="1509">
          <cell r="B1509" t="str">
            <v>Pioneer Time Investment Ltd</v>
          </cell>
        </row>
        <row r="1510">
          <cell r="B1510" t="str">
            <v xml:space="preserve">Pira Energy Group </v>
          </cell>
        </row>
        <row r="1511">
          <cell r="B1511" t="str">
            <v>Pitney Bowes Inc</v>
          </cell>
        </row>
        <row r="1512">
          <cell r="B1512" t="str">
            <v>Pitney Bowes Purchase Power</v>
          </cell>
        </row>
        <row r="1513">
          <cell r="B1513" t="str">
            <v>Platinum China (Hk) Ltd</v>
          </cell>
        </row>
        <row r="1514">
          <cell r="B1514" t="str">
            <v xml:space="preserve">Platts </v>
          </cell>
        </row>
        <row r="1515">
          <cell r="B1515" t="str">
            <v>PlattS Metals Week</v>
          </cell>
        </row>
        <row r="1516">
          <cell r="B1516" t="str">
            <v>Pmi Northamericas Sa</v>
          </cell>
        </row>
        <row r="1517">
          <cell r="B1517" t="str">
            <v xml:space="preserve">Pmi Trading </v>
          </cell>
        </row>
        <row r="1518">
          <cell r="B1518" t="str">
            <v xml:space="preserve">Pmt Logistics Llc </v>
          </cell>
        </row>
        <row r="1519">
          <cell r="B1519" t="str">
            <v>Po Hing Plastic Pocket Co</v>
          </cell>
        </row>
        <row r="1520">
          <cell r="B1520" t="str">
            <v>Po Sin Sing Kee Engineering</v>
          </cell>
        </row>
        <row r="1521">
          <cell r="B1521" t="str">
            <v xml:space="preserve">Poling &amp; Cutler </v>
          </cell>
        </row>
        <row r="1522">
          <cell r="B1522" t="str">
            <v xml:space="preserve">Port Cargo Service Pcs </v>
          </cell>
        </row>
        <row r="1523">
          <cell r="B1523" t="str">
            <v xml:space="preserve">Port Royal Services Inc </v>
          </cell>
        </row>
        <row r="1524">
          <cell r="B1524" t="str">
            <v xml:space="preserve">Porto Agenciamentos </v>
          </cell>
        </row>
        <row r="1525">
          <cell r="B1525" t="str">
            <v xml:space="preserve">Portwide Weighing </v>
          </cell>
        </row>
        <row r="1526">
          <cell r="B1526" t="str">
            <v>Postmaster General</v>
          </cell>
        </row>
        <row r="1527">
          <cell r="B1527" t="str">
            <v>Potent Carpet Consultants Ltd</v>
          </cell>
        </row>
        <row r="1528">
          <cell r="B1528" t="str">
            <v xml:space="preserve">Potts Distributing Company Inc </v>
          </cell>
        </row>
        <row r="1529">
          <cell r="B1529" t="str">
            <v xml:space="preserve">Potts Mccanless &amp; Mccanless </v>
          </cell>
        </row>
        <row r="1530">
          <cell r="B1530" t="str">
            <v xml:space="preserve">Powersource Transportation </v>
          </cell>
        </row>
        <row r="1531">
          <cell r="B1531" t="str">
            <v xml:space="preserve">Precious Orchids Ltd </v>
          </cell>
        </row>
        <row r="1532">
          <cell r="B1532" t="str">
            <v xml:space="preserve">Premcor Refining </v>
          </cell>
        </row>
        <row r="1533">
          <cell r="B1533" t="str">
            <v xml:space="preserve">Premcor Refining Group </v>
          </cell>
        </row>
        <row r="1534">
          <cell r="B1534" t="str">
            <v xml:space="preserve">Premier Communications </v>
          </cell>
        </row>
        <row r="1535">
          <cell r="B1535" t="str">
            <v>Price Waterhouse</v>
          </cell>
        </row>
        <row r="1536">
          <cell r="B1536" t="str">
            <v>PricewaterhouseCoopers Llp</v>
          </cell>
        </row>
        <row r="1537">
          <cell r="B1537" t="str">
            <v xml:space="preserve">Prieto Sa </v>
          </cell>
        </row>
        <row r="1538">
          <cell r="B1538" t="str">
            <v>Prime Energy Partnership</v>
          </cell>
        </row>
        <row r="1539">
          <cell r="B1539" t="str">
            <v>Prnewswire</v>
          </cell>
        </row>
        <row r="1540">
          <cell r="B1540" t="str">
            <v xml:space="preserve">Pro Fleet Transport </v>
          </cell>
        </row>
        <row r="1541">
          <cell r="B1541" t="str">
            <v>Pro-Am Transportation Services</v>
          </cell>
        </row>
        <row r="1542">
          <cell r="B1542" t="str">
            <v xml:space="preserve">Process And Technology </v>
          </cell>
        </row>
        <row r="1543">
          <cell r="B1543" t="str">
            <v>Product Storage Inc</v>
          </cell>
        </row>
        <row r="1544">
          <cell r="B1544" t="str">
            <v xml:space="preserve">Profile Extrusion Co </v>
          </cell>
        </row>
        <row r="1545">
          <cell r="B1545" t="str">
            <v xml:space="preserve">Progress Bulk Carriers Ltd </v>
          </cell>
        </row>
        <row r="1546">
          <cell r="B1546" t="str">
            <v>Prospect Contracting Co</v>
          </cell>
        </row>
        <row r="1547">
          <cell r="B1547" t="str">
            <v>Protech Property Management</v>
          </cell>
        </row>
        <row r="1548">
          <cell r="B1548" t="str">
            <v>Provident Fund Supertrust Plus</v>
          </cell>
        </row>
        <row r="1549">
          <cell r="B1549" t="str">
            <v>Prudential</v>
          </cell>
        </row>
        <row r="1550">
          <cell r="B1550" t="str">
            <v>Prudential Assurance Co Ltd</v>
          </cell>
        </row>
        <row r="1551">
          <cell r="B1551" t="str">
            <v>Prudential Loan</v>
          </cell>
        </row>
        <row r="1552">
          <cell r="B1552" t="str">
            <v>Prudential-Bache IntL Ltd</v>
          </cell>
        </row>
        <row r="1553">
          <cell r="B1553" t="str">
            <v>Psinet Hong Kong Ltd</v>
          </cell>
        </row>
        <row r="1554">
          <cell r="B1554" t="str">
            <v xml:space="preserve">Pulecio &amp; Asociados </v>
          </cell>
        </row>
        <row r="1555">
          <cell r="B1555" t="str">
            <v xml:space="preserve">Pulsar Incorporated </v>
          </cell>
        </row>
        <row r="1556">
          <cell r="B1556" t="str">
            <v xml:space="preserve">Pura Flo Coporation </v>
          </cell>
        </row>
        <row r="1557">
          <cell r="B1557" t="str">
            <v xml:space="preserve">Purdy Brothers Trucking Co Inc </v>
          </cell>
        </row>
        <row r="1558">
          <cell r="B1558" t="str">
            <v xml:space="preserve">Purvin &amp; Gertz </v>
          </cell>
        </row>
        <row r="1559">
          <cell r="B1559" t="str">
            <v xml:space="preserve">Pwp Loss Adjusters &amp; Surveyors </v>
          </cell>
        </row>
        <row r="1560">
          <cell r="B1560" t="str">
            <v>Python Schifferli Peter And Ac</v>
          </cell>
        </row>
        <row r="1561">
          <cell r="B1561" t="str">
            <v>Q-NET Gifts Industrial Co Ltd</v>
          </cell>
        </row>
        <row r="1562">
          <cell r="B1562" t="str">
            <v xml:space="preserve">Qti Service Corporation </v>
          </cell>
        </row>
        <row r="1563">
          <cell r="B1563" t="str">
            <v xml:space="preserve">Quality Hot Shot Services </v>
          </cell>
        </row>
        <row r="1564">
          <cell r="B1564" t="str">
            <v xml:space="preserve">Quasar Group Llc </v>
          </cell>
        </row>
        <row r="1565">
          <cell r="B1565" t="str">
            <v>Queens Property Consultants Co Ltd</v>
          </cell>
        </row>
        <row r="1566">
          <cell r="B1566" t="str">
            <v xml:space="preserve">Queensway Corp Sa </v>
          </cell>
        </row>
        <row r="1567">
          <cell r="B1567" t="str">
            <v xml:space="preserve">Quevexport Sa </v>
          </cell>
        </row>
        <row r="1568">
          <cell r="B1568" t="str">
            <v xml:space="preserve">Quincannon Associates </v>
          </cell>
        </row>
        <row r="1569">
          <cell r="B1569" t="str">
            <v>QWest</v>
          </cell>
        </row>
        <row r="1570">
          <cell r="B1570" t="str">
            <v>R &amp; B Computerhelp Inc</v>
          </cell>
        </row>
        <row r="1571">
          <cell r="B1571" t="str">
            <v>R &amp; F Cocoa Services Inc</v>
          </cell>
        </row>
        <row r="1572">
          <cell r="B1572" t="str">
            <v xml:space="preserve">R &amp; M Logistics Inc </v>
          </cell>
        </row>
        <row r="1573">
          <cell r="B1573" t="str">
            <v xml:space="preserve">R Markey &amp; Sons Inc </v>
          </cell>
        </row>
        <row r="1574">
          <cell r="B1574" t="str">
            <v>Rabobank Nederland</v>
          </cell>
        </row>
        <row r="1575">
          <cell r="B1575" t="str">
            <v xml:space="preserve">Railroad Distribution Services </v>
          </cell>
        </row>
        <row r="1576">
          <cell r="B1576" t="str">
            <v>Rank Xerox (Hk) Ltd</v>
          </cell>
        </row>
        <row r="1577">
          <cell r="B1577" t="str">
            <v xml:space="preserve">Raven Transport Co </v>
          </cell>
        </row>
        <row r="1578">
          <cell r="B1578" t="str">
            <v xml:space="preserve">Raycore Carriers Inc </v>
          </cell>
        </row>
        <row r="1579">
          <cell r="B1579" t="str">
            <v xml:space="preserve">Re Load Inc </v>
          </cell>
        </row>
        <row r="1580">
          <cell r="B1580" t="str">
            <v>Red Chili Ltd</v>
          </cell>
        </row>
        <row r="1581">
          <cell r="B1581" t="str">
            <v xml:space="preserve">Reduction Service Inc </v>
          </cell>
        </row>
        <row r="1582">
          <cell r="B1582" t="str">
            <v xml:space="preserve">Regal Navigation Ltd </v>
          </cell>
        </row>
        <row r="1583">
          <cell r="B1583" t="str">
            <v xml:space="preserve">Reinauer Transporation Co </v>
          </cell>
        </row>
        <row r="1584">
          <cell r="B1584" t="str">
            <v>Renaissance Harbour View Hotel</v>
          </cell>
        </row>
        <row r="1585">
          <cell r="B1585" t="str">
            <v xml:space="preserve">Renegade Transport Inc </v>
          </cell>
        </row>
        <row r="1586">
          <cell r="B1586" t="str">
            <v xml:space="preserve">Renewable Fuels Foundation - Rfa </v>
          </cell>
        </row>
        <row r="1587">
          <cell r="B1587" t="str">
            <v xml:space="preserve">Renewable Products Mkt </v>
          </cell>
        </row>
        <row r="1588">
          <cell r="B1588" t="str">
            <v>Rentokil Hk Ltd</v>
          </cell>
        </row>
        <row r="1589">
          <cell r="B1589" t="str">
            <v xml:space="preserve">Reo Distribution Services Inc </v>
          </cell>
        </row>
        <row r="1590">
          <cell r="B1590" t="str">
            <v xml:space="preserve">Repsol Ypf Sa </v>
          </cell>
        </row>
        <row r="1591">
          <cell r="B1591" t="str">
            <v>Republic Of China Commercial</v>
          </cell>
        </row>
        <row r="1592">
          <cell r="B1592" t="str">
            <v>Residential Mgnt Service Ltd</v>
          </cell>
        </row>
        <row r="1593">
          <cell r="B1593" t="str">
            <v>Response Staffing Solutions of CT</v>
          </cell>
        </row>
        <row r="1594">
          <cell r="B1594" t="str">
            <v xml:space="preserve">Reuters America Inc - Ny </v>
          </cell>
        </row>
        <row r="1595">
          <cell r="B1595" t="str">
            <v>Reuters Hk Ltd</v>
          </cell>
        </row>
        <row r="1596">
          <cell r="B1596" t="str">
            <v>Review Publishing Co Ltd</v>
          </cell>
        </row>
        <row r="1597">
          <cell r="B1597" t="str">
            <v>Ricardo B Ruiz De Luzuriaga</v>
          </cell>
        </row>
        <row r="1598">
          <cell r="B1598" t="str">
            <v xml:space="preserve">Rich Metals Co </v>
          </cell>
        </row>
        <row r="1599">
          <cell r="B1599" t="str">
            <v>Richard Ellis Ltd</v>
          </cell>
        </row>
        <row r="1600">
          <cell r="B1600" t="str">
            <v>Richards Butler</v>
          </cell>
        </row>
        <row r="1601">
          <cell r="B1601" t="str">
            <v>Ricoh Business Systems</v>
          </cell>
        </row>
        <row r="1602">
          <cell r="B1602" t="str">
            <v>Ricoh Business Systems - PA</v>
          </cell>
        </row>
        <row r="1603">
          <cell r="B1603" t="str">
            <v>Ricoh Business Systems - TX</v>
          </cell>
        </row>
        <row r="1604">
          <cell r="B1604" t="str">
            <v>Rightone Telecom</v>
          </cell>
        </row>
        <row r="1605">
          <cell r="B1605" t="str">
            <v>Rio Energy Panama Sa</v>
          </cell>
        </row>
        <row r="1606">
          <cell r="B1606" t="str">
            <v xml:space="preserve">Riogroup </v>
          </cell>
        </row>
        <row r="1607">
          <cell r="B1607" t="str">
            <v>Risk Waters Group</v>
          </cell>
        </row>
        <row r="1608">
          <cell r="B1608" t="str">
            <v xml:space="preserve">Ritchey Metals Company </v>
          </cell>
        </row>
        <row r="1609">
          <cell r="B1609" t="str">
            <v xml:space="preserve">River Bend Brokerage </v>
          </cell>
        </row>
        <row r="1610">
          <cell r="B1610" t="str">
            <v>Riverside Liquid Products</v>
          </cell>
        </row>
        <row r="1611">
          <cell r="B1611" t="str">
            <v>Rj Corman Distribution Centers Llc</v>
          </cell>
        </row>
        <row r="1612">
          <cell r="B1612" t="str">
            <v xml:space="preserve">Robert G Marshall Chb </v>
          </cell>
        </row>
        <row r="1613">
          <cell r="B1613" t="str">
            <v>Robert Half</v>
          </cell>
        </row>
        <row r="1614">
          <cell r="B1614" t="str">
            <v>Robert Half Management Resources</v>
          </cell>
        </row>
        <row r="1615">
          <cell r="B1615" t="str">
            <v>Robert W Schunk - Consulting Engineers</v>
          </cell>
        </row>
        <row r="1616">
          <cell r="B1616" t="str">
            <v xml:space="preserve">Roberts Trucking Inc </v>
          </cell>
        </row>
        <row r="1617">
          <cell r="B1617" t="str">
            <v xml:space="preserve">Robin Maritime Agencies Llc </v>
          </cell>
        </row>
        <row r="1618">
          <cell r="B1618" t="str">
            <v xml:space="preserve">Robinette Trucking Inc </v>
          </cell>
        </row>
        <row r="1619">
          <cell r="B1619" t="str">
            <v>Robinson &amp; Cole LLP</v>
          </cell>
        </row>
        <row r="1620">
          <cell r="B1620" t="str">
            <v>Robinson International (Panama) Sa</v>
          </cell>
        </row>
        <row r="1621">
          <cell r="B1621" t="str">
            <v>Robustelli Merchandise Services</v>
          </cell>
        </row>
        <row r="1622">
          <cell r="B1622" t="str">
            <v>Rococo Flower Shop</v>
          </cell>
        </row>
        <row r="1623">
          <cell r="B1623" t="str">
            <v>Rodskog Shipbrokers Ltd</v>
          </cell>
        </row>
        <row r="1624">
          <cell r="B1624" t="str">
            <v xml:space="preserve">Roll Off Services Llc </v>
          </cell>
        </row>
        <row r="1625">
          <cell r="B1625" t="str">
            <v>Romero Trading Sa</v>
          </cell>
        </row>
        <row r="1626">
          <cell r="B1626" t="str">
            <v>Romulo</v>
          </cell>
        </row>
        <row r="1627">
          <cell r="B1627" t="str">
            <v>Ropner Insurance</v>
          </cell>
        </row>
        <row r="1628">
          <cell r="B1628" t="str">
            <v>Roy Mark (Asia) Ltd</v>
          </cell>
        </row>
        <row r="1629">
          <cell r="B1629" t="str">
            <v>Royal Bank Of Canada</v>
          </cell>
        </row>
        <row r="1630">
          <cell r="B1630" t="str">
            <v>Royal Fumigation</v>
          </cell>
        </row>
        <row r="1631">
          <cell r="B1631" t="str">
            <v>Royal Hk Jockey Club</v>
          </cell>
        </row>
        <row r="1632">
          <cell r="B1632" t="str">
            <v xml:space="preserve">Royce Corporation </v>
          </cell>
        </row>
        <row r="1633">
          <cell r="B1633" t="str">
            <v xml:space="preserve">Rpm Warehouse Inc </v>
          </cell>
        </row>
        <row r="1634">
          <cell r="B1634" t="str">
            <v xml:space="preserve">Rsc Transportation Inc </v>
          </cell>
        </row>
        <row r="1635">
          <cell r="B1635" t="str">
            <v xml:space="preserve">Rsl Trucking </v>
          </cell>
        </row>
        <row r="1636">
          <cell r="B1636" t="str">
            <v>RSO Consulting Ltd</v>
          </cell>
        </row>
        <row r="1637">
          <cell r="B1637" t="str">
            <v>Ruder Finn Asia Ltd</v>
          </cell>
        </row>
        <row r="1638">
          <cell r="B1638" t="str">
            <v>Rudolph Miles &amp; Sons Incorporated</v>
          </cell>
        </row>
        <row r="1639">
          <cell r="B1639" t="str">
            <v xml:space="preserve">Rukert Terminals Corp </v>
          </cell>
        </row>
        <row r="1640">
          <cell r="B1640" t="str">
            <v>Run Hai Co Ltd</v>
          </cell>
        </row>
        <row r="1641">
          <cell r="B1641" t="str">
            <v xml:space="preserve">Rusal America Corp </v>
          </cell>
        </row>
        <row r="1642">
          <cell r="B1642" t="str">
            <v xml:space="preserve">Russ Synder </v>
          </cell>
        </row>
        <row r="1643">
          <cell r="B1643" t="str">
            <v xml:space="preserve">S &amp; D Coffee Roasters </v>
          </cell>
        </row>
        <row r="1644">
          <cell r="B1644" t="str">
            <v>S &amp; D Stationery Co</v>
          </cell>
        </row>
        <row r="1645">
          <cell r="B1645" t="str">
            <v>S And M Transportation Inc</v>
          </cell>
        </row>
        <row r="1646">
          <cell r="B1646" t="str">
            <v>S Delgado &amp; Cia Ltda</v>
          </cell>
        </row>
        <row r="1647">
          <cell r="B1647" t="str">
            <v xml:space="preserve">S Jackson &amp; Son </v>
          </cell>
        </row>
        <row r="1648">
          <cell r="B1648" t="str">
            <v>S2000 Office Supplies</v>
          </cell>
        </row>
        <row r="1649">
          <cell r="B1649" t="str">
            <v xml:space="preserve">Sabic Americas </v>
          </cell>
        </row>
        <row r="1650">
          <cell r="B1650" t="str">
            <v>Sable International Ltd</v>
          </cell>
        </row>
        <row r="1651">
          <cell r="B1651" t="str">
            <v>Safenames Ltd</v>
          </cell>
        </row>
        <row r="1652">
          <cell r="B1652" t="str">
            <v>Saggio Computer Co Ltd</v>
          </cell>
        </row>
        <row r="1653">
          <cell r="B1653" t="str">
            <v>Salotto Ltd</v>
          </cell>
        </row>
        <row r="1654">
          <cell r="B1654" t="str">
            <v>Sampson Office Supplies Ltd</v>
          </cell>
        </row>
        <row r="1655">
          <cell r="B1655" t="str">
            <v xml:space="preserve">Samsung America </v>
          </cell>
        </row>
        <row r="1656">
          <cell r="B1656" t="str">
            <v xml:space="preserve">Samsung France </v>
          </cell>
        </row>
        <row r="1657">
          <cell r="B1657" t="str">
            <v xml:space="preserve">Samuel Shapiro &amp; Co </v>
          </cell>
        </row>
        <row r="1658">
          <cell r="B1658" t="str">
            <v>San Cheong Co</v>
          </cell>
        </row>
        <row r="1659">
          <cell r="B1659" t="str">
            <v>San Lazaro Sa</v>
          </cell>
        </row>
        <row r="1660">
          <cell r="B1660" t="str">
            <v>Sandra Walters Consultancy Ltd</v>
          </cell>
        </row>
        <row r="1661">
          <cell r="B1661" t="str">
            <v xml:space="preserve">Sangravl Company Inc </v>
          </cell>
        </row>
        <row r="1662">
          <cell r="B1662" t="str">
            <v>Santa Fe Transport Inter Ltd</v>
          </cell>
        </row>
        <row r="1663">
          <cell r="B1663" t="str">
            <v>Santos Neto</v>
          </cell>
        </row>
        <row r="1664">
          <cell r="B1664" t="str">
            <v>Sar Souvenir Edition</v>
          </cell>
        </row>
        <row r="1665">
          <cell r="B1665" t="str">
            <v>Sara Universial Pvt Ltd</v>
          </cell>
        </row>
        <row r="1666">
          <cell r="B1666" t="str">
            <v xml:space="preserve">Saras Spa </v>
          </cell>
        </row>
        <row r="1667">
          <cell r="B1667" t="str">
            <v>Sat Luen Corp</v>
          </cell>
        </row>
        <row r="1668">
          <cell r="B1668" t="str">
            <v xml:space="preserve">Saybolt Lp </v>
          </cell>
        </row>
        <row r="1669">
          <cell r="B1669" t="str">
            <v xml:space="preserve">Sb Ridding </v>
          </cell>
        </row>
        <row r="1670">
          <cell r="B1670" t="str">
            <v xml:space="preserve">Sbc </v>
          </cell>
        </row>
        <row r="1671">
          <cell r="B1671" t="str">
            <v>Sbc Dsl</v>
          </cell>
        </row>
        <row r="1672">
          <cell r="B1672" t="str">
            <v>Schnader Harrison Segal &amp; Lewis LLP</v>
          </cell>
        </row>
        <row r="1673">
          <cell r="B1673" t="str">
            <v xml:space="preserve">Schwarze &amp; Cnosort Gmbh </v>
          </cell>
        </row>
        <row r="1674">
          <cell r="B1674" t="str">
            <v xml:space="preserve">Scout Brokerage Inc </v>
          </cell>
        </row>
        <row r="1675">
          <cell r="B1675" t="str">
            <v>Sea Tours Co Ltd</v>
          </cell>
        </row>
        <row r="1676">
          <cell r="B1676" t="str">
            <v xml:space="preserve">Seaboard Marine Ltd </v>
          </cell>
        </row>
        <row r="1677">
          <cell r="B1677" t="str">
            <v>Seabulk Tankers Inc</v>
          </cell>
        </row>
        <row r="1678">
          <cell r="B1678" t="str">
            <v>Seals Roadmaster Inc</v>
          </cell>
        </row>
        <row r="1679">
          <cell r="B1679" t="str">
            <v xml:space="preserve">Seaport Hub Agencies </v>
          </cell>
        </row>
        <row r="1680">
          <cell r="B1680" t="str">
            <v xml:space="preserve">Seatrans Da </v>
          </cell>
        </row>
        <row r="1681">
          <cell r="B1681" t="str">
            <v>Security Systems (Far East) Ltd</v>
          </cell>
        </row>
        <row r="1682">
          <cell r="B1682" t="str">
            <v>Semotus Solutions Inc</v>
          </cell>
        </row>
        <row r="1683">
          <cell r="B1683" t="str">
            <v xml:space="preserve">Semstream Lp </v>
          </cell>
        </row>
        <row r="1684">
          <cell r="B1684" t="str">
            <v>Sentry Marine Services Inc</v>
          </cell>
        </row>
        <row r="1685">
          <cell r="B1685" t="str">
            <v xml:space="preserve">Serengeti Trading Company </v>
          </cell>
        </row>
        <row r="1686">
          <cell r="B1686" t="str">
            <v xml:space="preserve">Service Transport </v>
          </cell>
        </row>
        <row r="1687">
          <cell r="B1687" t="str">
            <v>Servofex Development Ltd</v>
          </cell>
        </row>
        <row r="1688">
          <cell r="B1688" t="str">
            <v xml:space="preserve">Sgs Canada Inc </v>
          </cell>
        </row>
        <row r="1689">
          <cell r="B1689" t="str">
            <v xml:space="preserve">Sgs Control Services Inc </v>
          </cell>
        </row>
        <row r="1690">
          <cell r="B1690" t="str">
            <v xml:space="preserve">Sgs North America </v>
          </cell>
        </row>
        <row r="1691">
          <cell r="B1691" t="str">
            <v>Sgs Wires</v>
          </cell>
        </row>
        <row r="1692">
          <cell r="B1692" t="str">
            <v>Shamrock Network Technologies Llc</v>
          </cell>
        </row>
        <row r="1693">
          <cell r="B1693" t="str">
            <v>Shangri-La Ltd</v>
          </cell>
        </row>
        <row r="1694">
          <cell r="B1694" t="str">
            <v xml:space="preserve">Shell </v>
          </cell>
        </row>
        <row r="1695">
          <cell r="B1695" t="str">
            <v>Shell Hk Ltd</v>
          </cell>
        </row>
        <row r="1696">
          <cell r="B1696" t="str">
            <v>Shenzhen Xili Golf Development</v>
          </cell>
        </row>
        <row r="1697">
          <cell r="B1697" t="str">
            <v>Sheppard Mullin</v>
          </cell>
        </row>
        <row r="1698">
          <cell r="B1698" t="str">
            <v>Shimoda Ltd</v>
          </cell>
        </row>
        <row r="1699">
          <cell r="B1699" t="str">
            <v xml:space="preserve">Shippers Stevedoring Company </v>
          </cell>
        </row>
        <row r="1700">
          <cell r="B1700" t="str">
            <v>Shiu Cheong Type &amp; Car Service</v>
          </cell>
        </row>
        <row r="1701">
          <cell r="B1701" t="str">
            <v>Shum Wing Fai</v>
          </cell>
        </row>
        <row r="1702">
          <cell r="B1702" t="str">
            <v>Shun Cheung Property Agency</v>
          </cell>
        </row>
        <row r="1703">
          <cell r="B1703" t="str">
            <v>Shun Hing Elect Service Centre</v>
          </cell>
        </row>
        <row r="1704">
          <cell r="B1704" t="str">
            <v>Shun Hing Paper Co Ltd</v>
          </cell>
        </row>
        <row r="1705">
          <cell r="B1705" t="str">
            <v>Sierra Audio Video Designs</v>
          </cell>
        </row>
        <row r="1706">
          <cell r="B1706" t="str">
            <v xml:space="preserve">Silver City Aluminum Corp </v>
          </cell>
        </row>
        <row r="1707">
          <cell r="B1707" t="str">
            <v>Simmons &amp; Simmons</v>
          </cell>
        </row>
        <row r="1708">
          <cell r="B1708" t="str">
            <v>Simply Sofas Ltd</v>
          </cell>
        </row>
        <row r="1709">
          <cell r="B1709" t="str">
            <v>Simpson</v>
          </cell>
        </row>
        <row r="1710">
          <cell r="B1710" t="str">
            <v>Sinclair Roche &amp; Temperley</v>
          </cell>
        </row>
        <row r="1711">
          <cell r="B1711" t="str">
            <v>Sing Tao Ltd</v>
          </cell>
        </row>
        <row r="1712">
          <cell r="B1712" t="str">
            <v>Singapore Chamber Of Commerce</v>
          </cell>
        </row>
        <row r="1713">
          <cell r="B1713" t="str">
            <v>Sipersteins</v>
          </cell>
        </row>
        <row r="1714">
          <cell r="B1714" t="str">
            <v>SJ Rundt &amp; Associates Inc</v>
          </cell>
        </row>
        <row r="1715">
          <cell r="B1715" t="str">
            <v>SkaddenArpsSlateMeagher &amp; Flom Llp</v>
          </cell>
        </row>
        <row r="1716">
          <cell r="B1716" t="str">
            <v>Sky Best Computer Co</v>
          </cell>
        </row>
        <row r="1717">
          <cell r="B1717" t="str">
            <v>Skytel</v>
          </cell>
        </row>
        <row r="1718">
          <cell r="B1718" t="str">
            <v xml:space="preserve">Slugs &amp; Extrusions </v>
          </cell>
        </row>
        <row r="1719">
          <cell r="B1719" t="str">
            <v>Smafps</v>
          </cell>
        </row>
        <row r="1720">
          <cell r="B1720" t="str">
            <v>Smartone Mobile Comm Ltd</v>
          </cell>
        </row>
        <row r="1721">
          <cell r="B1721" t="str">
            <v xml:space="preserve">Smelter Service Corp </v>
          </cell>
        </row>
        <row r="1722">
          <cell r="B1722" t="str">
            <v xml:space="preserve">Snelling </v>
          </cell>
        </row>
        <row r="1723">
          <cell r="B1723" t="str">
            <v>So Kee Garden</v>
          </cell>
        </row>
        <row r="1724">
          <cell r="B1724" t="str">
            <v xml:space="preserve">Sociedad Cooperativa - La Libertad </v>
          </cell>
        </row>
        <row r="1725">
          <cell r="B1725" t="str">
            <v xml:space="preserve">Sociedad Cooperativa - La Majada </v>
          </cell>
        </row>
        <row r="1726">
          <cell r="B1726" t="str">
            <v xml:space="preserve">Sociedad Cooperativa - Los Ausoles </v>
          </cell>
        </row>
        <row r="1727">
          <cell r="B1727" t="str">
            <v>Societe Generale (Hit)</v>
          </cell>
        </row>
        <row r="1728">
          <cell r="B1728" t="str">
            <v xml:space="preserve">Societe Generale Energie </v>
          </cell>
        </row>
        <row r="1729">
          <cell r="B1729" t="str">
            <v>Softchoice Corporation</v>
          </cell>
        </row>
        <row r="1730">
          <cell r="B1730" t="str">
            <v xml:space="preserve">Sokana Trading </v>
          </cell>
        </row>
        <row r="1731">
          <cell r="B1731" t="str">
            <v xml:space="preserve">Solar Transport </v>
          </cell>
        </row>
        <row r="1732">
          <cell r="B1732" t="str">
            <v>Sooner Office Systems</v>
          </cell>
        </row>
        <row r="1733">
          <cell r="B1733" t="str">
            <v>South Asia Publications</v>
          </cell>
        </row>
        <row r="1734">
          <cell r="B1734" t="str">
            <v xml:space="preserve">South Carolina State Port Authority </v>
          </cell>
        </row>
        <row r="1735">
          <cell r="B1735" t="str">
            <v>South China Morning Post Pub</v>
          </cell>
        </row>
        <row r="1736">
          <cell r="B1736" t="str">
            <v>South China Navigation Ltd</v>
          </cell>
        </row>
        <row r="1737">
          <cell r="B1737" t="str">
            <v>South Coast Trading</v>
          </cell>
        </row>
        <row r="1738">
          <cell r="B1738" t="str">
            <v>South Sky Telecom Co</v>
          </cell>
        </row>
        <row r="1739">
          <cell r="B1739" t="str">
            <v xml:space="preserve">Southeast Logistics </v>
          </cell>
        </row>
        <row r="1740">
          <cell r="B1740" t="str">
            <v xml:space="preserve">Southern Bama Transporte </v>
          </cell>
        </row>
        <row r="1741">
          <cell r="B1741" t="str">
            <v xml:space="preserve">Southern Garrett </v>
          </cell>
        </row>
        <row r="1742">
          <cell r="B1742" t="str">
            <v xml:space="preserve">Southern Haulers Co Llc </v>
          </cell>
        </row>
        <row r="1743">
          <cell r="B1743" t="str">
            <v>Southern Intermodal Xpress Inc</v>
          </cell>
        </row>
        <row r="1744">
          <cell r="B1744" t="str">
            <v xml:space="preserve">Southern Scrap Inc </v>
          </cell>
        </row>
        <row r="1745">
          <cell r="B1745" t="str">
            <v xml:space="preserve">Southern Spring &amp; Brake Service </v>
          </cell>
        </row>
        <row r="1746">
          <cell r="B1746" t="str">
            <v xml:space="preserve">Southern Worldwide Logistics </v>
          </cell>
        </row>
        <row r="1747">
          <cell r="B1747" t="str">
            <v>Southold Maritime Services Corp</v>
          </cell>
        </row>
        <row r="1748">
          <cell r="B1748" t="str">
            <v>Sparrow W &amp; L Co</v>
          </cell>
        </row>
        <row r="1749">
          <cell r="B1749" t="str">
            <v>Sponsorasia Ltd</v>
          </cell>
        </row>
        <row r="1750">
          <cell r="B1750" t="str">
            <v>Spring Collection</v>
          </cell>
        </row>
        <row r="1751">
          <cell r="B1751" t="str">
            <v>Sprint PCS</v>
          </cell>
        </row>
        <row r="1752">
          <cell r="B1752" t="str">
            <v>SR Business Machines Systems</v>
          </cell>
        </row>
        <row r="1753">
          <cell r="B1753" t="str">
            <v xml:space="preserve">Ssa Marine </v>
          </cell>
        </row>
        <row r="1754">
          <cell r="B1754" t="str">
            <v>SSEK</v>
          </cell>
        </row>
        <row r="1755">
          <cell r="B1755" t="str">
            <v>Stamford Chamber of Commerce</v>
          </cell>
        </row>
        <row r="1756">
          <cell r="B1756" t="str">
            <v>Stamford Harbor Park</v>
          </cell>
        </row>
        <row r="1757">
          <cell r="B1757" t="str">
            <v>Stamford Office Furniture - SOF</v>
          </cell>
        </row>
        <row r="1758">
          <cell r="B1758" t="str">
            <v>Stamford Sign</v>
          </cell>
        </row>
        <row r="1759">
          <cell r="B1759" t="str">
            <v>Standard &amp; Poor</v>
          </cell>
        </row>
        <row r="1760">
          <cell r="B1760" t="str">
            <v>Standard Chartered</v>
          </cell>
        </row>
        <row r="1761">
          <cell r="B1761" t="str">
            <v>Standard Chartered Bank Card Centre</v>
          </cell>
        </row>
        <row r="1762">
          <cell r="B1762" t="str">
            <v xml:space="preserve">Star Extruded Shapes Inc </v>
          </cell>
        </row>
        <row r="1763">
          <cell r="B1763" t="str">
            <v>Star Paging Communications Ltd</v>
          </cell>
        </row>
        <row r="1764">
          <cell r="B1764" t="str">
            <v xml:space="preserve">Star Shipping (Canada) Ltd </v>
          </cell>
        </row>
        <row r="1765">
          <cell r="B1765" t="str">
            <v>Starbub Cable Vision Ltd</v>
          </cell>
        </row>
        <row r="1766">
          <cell r="B1766" t="str">
            <v xml:space="preserve">Starsupply Petroleum </v>
          </cell>
        </row>
        <row r="1767">
          <cell r="B1767" t="str">
            <v xml:space="preserve">Statia Terminals </v>
          </cell>
        </row>
        <row r="1768">
          <cell r="B1768" t="str">
            <v>Stationery Express</v>
          </cell>
        </row>
        <row r="1769">
          <cell r="B1769" t="str">
            <v>Stationery Service Centre Ltd</v>
          </cell>
        </row>
        <row r="1770">
          <cell r="B1770" t="str">
            <v>Stationery Store Co Ltd</v>
          </cell>
        </row>
        <row r="1771">
          <cell r="B1771" t="str">
            <v xml:space="preserve">Statoil </v>
          </cell>
        </row>
        <row r="1772">
          <cell r="B1772" t="str">
            <v>Steel Top Office Furniture Ltd</v>
          </cell>
        </row>
        <row r="1773">
          <cell r="B1773" t="str">
            <v xml:space="preserve">Stena Bulk Ab </v>
          </cell>
        </row>
        <row r="1774">
          <cell r="B1774" t="str">
            <v>Stephenson Harwood Shanghai</v>
          </cell>
        </row>
        <row r="1775">
          <cell r="B1775" t="str">
            <v xml:space="preserve">Stolt Nielsen Transportation </v>
          </cell>
        </row>
        <row r="1776">
          <cell r="B1776" t="str">
            <v xml:space="preserve">Suburban Propane </v>
          </cell>
        </row>
        <row r="1777">
          <cell r="B1777" t="str">
            <v>Success Union Express Ltd</v>
          </cell>
        </row>
        <row r="1778">
          <cell r="B1778" t="str">
            <v>Sugar And Integrated Industries Co</v>
          </cell>
        </row>
        <row r="1779">
          <cell r="B1779" t="str">
            <v>Sugar Club</v>
          </cell>
        </row>
        <row r="1780">
          <cell r="B1780" t="str">
            <v>Sugar On Line (Milecourt Ltd)</v>
          </cell>
        </row>
        <row r="1781">
          <cell r="B1781" t="str">
            <v>Sum Chan Bik Wah Violet</v>
          </cell>
        </row>
        <row r="1782">
          <cell r="B1782" t="str">
            <v xml:space="preserve">Summit Fuels </v>
          </cell>
        </row>
        <row r="1783">
          <cell r="B1783" t="str">
            <v>Sun Hing Insurance Brok</v>
          </cell>
        </row>
        <row r="1784">
          <cell r="B1784" t="str">
            <v>Sun Hing Insurance Brokers Ltd</v>
          </cell>
        </row>
        <row r="1785">
          <cell r="B1785" t="str">
            <v>Sunflower Travel Service Ltd</v>
          </cell>
        </row>
        <row r="1786">
          <cell r="B1786" t="str">
            <v xml:space="preserve">Sungard - Fame Us </v>
          </cell>
        </row>
        <row r="1787">
          <cell r="B1787" t="str">
            <v>Sunil Varma</v>
          </cell>
        </row>
        <row r="1788">
          <cell r="B1788" t="str">
            <v xml:space="preserve">Sunoco Inc </v>
          </cell>
        </row>
        <row r="1789">
          <cell r="B1789" t="str">
            <v>SunSystems</v>
          </cell>
        </row>
        <row r="1790">
          <cell r="B1790" t="str">
            <v xml:space="preserve">Sunteck Transport Co Inc </v>
          </cell>
        </row>
        <row r="1791">
          <cell r="B1791" t="str">
            <v>Super Homes Ltd</v>
          </cell>
        </row>
        <row r="1792">
          <cell r="B1792" t="str">
            <v>Super Hyper Ltd</v>
          </cell>
        </row>
        <row r="1793">
          <cell r="B1793" t="str">
            <v>Supreme Enterprises Co</v>
          </cell>
        </row>
        <row r="1794">
          <cell r="B1794" t="str">
            <v>SurfControl Inc</v>
          </cell>
        </row>
        <row r="1795">
          <cell r="B1795" t="str">
            <v>Sutherland Asbill &amp; Brennan Llp</v>
          </cell>
        </row>
        <row r="1796">
          <cell r="B1796" t="str">
            <v xml:space="preserve">Svinga Bros Corp </v>
          </cell>
        </row>
        <row r="1797">
          <cell r="B1797" t="str">
            <v>Swire Properties Magt Ltd</v>
          </cell>
        </row>
        <row r="1798">
          <cell r="B1798" t="str">
            <v>Swire Travel Ltd</v>
          </cell>
        </row>
        <row r="1799">
          <cell r="B1799" t="str">
            <v>Swiss Bank (Hk)</v>
          </cell>
        </row>
        <row r="1800">
          <cell r="B1800" t="str">
            <v xml:space="preserve">Sylvester Trucking Inc </v>
          </cell>
        </row>
        <row r="1801">
          <cell r="B1801" t="str">
            <v>Synagogue Ohel Leah</v>
          </cell>
        </row>
        <row r="1802">
          <cell r="B1802" t="str">
            <v>Systems Union Inc</v>
          </cell>
        </row>
        <row r="1803">
          <cell r="B1803" t="str">
            <v>Systemtronics Eng &amp; Consult Co</v>
          </cell>
        </row>
        <row r="1804">
          <cell r="B1804" t="str">
            <v>T Mobile</v>
          </cell>
        </row>
        <row r="1805">
          <cell r="B1805" t="str">
            <v>Ta Kung Pao (Hk) Ltd</v>
          </cell>
        </row>
        <row r="1806">
          <cell r="B1806" t="str">
            <v xml:space="preserve">Taber Extrusions Lp </v>
          </cell>
        </row>
        <row r="1807">
          <cell r="B1807" t="str">
            <v>Tai Hing Plastic Sheet Product</v>
          </cell>
        </row>
        <row r="1808">
          <cell r="B1808" t="str">
            <v>Tai Ping Carpets Ltd</v>
          </cell>
        </row>
        <row r="1809">
          <cell r="B1809" t="str">
            <v>Tak Shing Cleaning Services Co</v>
          </cell>
        </row>
        <row r="1810">
          <cell r="B1810" t="str">
            <v xml:space="preserve">Talan Products Inc </v>
          </cell>
        </row>
        <row r="1811">
          <cell r="B1811" t="str">
            <v xml:space="preserve">Tandem Transport </v>
          </cell>
        </row>
        <row r="1812">
          <cell r="B1812" t="str">
            <v>Tang &amp; So</v>
          </cell>
        </row>
        <row r="1813">
          <cell r="B1813" t="str">
            <v>Tarcom Resources Ltd</v>
          </cell>
        </row>
        <row r="1814">
          <cell r="B1814" t="str">
            <v xml:space="preserve">Target Trading </v>
          </cell>
        </row>
        <row r="1815">
          <cell r="B1815" t="str">
            <v xml:space="preserve">Tate &amp; Lyle International </v>
          </cell>
        </row>
        <row r="1816">
          <cell r="B1816" t="str">
            <v xml:space="preserve">Tate &amp; Lyle North America Ae Staley </v>
          </cell>
        </row>
        <row r="1817">
          <cell r="B1817" t="str">
            <v>Tatt Sing Sanyo Electric Co</v>
          </cell>
        </row>
        <row r="1818">
          <cell r="B1818" t="str">
            <v xml:space="preserve">Tauber Petrochemical </v>
          </cell>
        </row>
        <row r="1819">
          <cell r="B1819" t="str">
            <v>Tax Collector City of Stamford</v>
          </cell>
        </row>
        <row r="1820">
          <cell r="B1820" t="str">
            <v>Taylor JG</v>
          </cell>
        </row>
        <row r="1821">
          <cell r="B1821" t="str">
            <v xml:space="preserve">Tcsi/Transland Inc </v>
          </cell>
        </row>
        <row r="1822">
          <cell r="B1822" t="str">
            <v xml:space="preserve">Tdg Pinnacle </v>
          </cell>
        </row>
        <row r="1823">
          <cell r="B1823" t="str">
            <v>Tea &amp; Coffee Trade Journal</v>
          </cell>
        </row>
        <row r="1824">
          <cell r="B1824" t="str">
            <v xml:space="preserve">Team Tankers As </v>
          </cell>
        </row>
        <row r="1825">
          <cell r="B1825" t="str">
            <v>Telecom Digital</v>
          </cell>
        </row>
        <row r="1826">
          <cell r="B1826" t="str">
            <v>Telecom Network Ltd</v>
          </cell>
        </row>
        <row r="1827">
          <cell r="B1827" t="str">
            <v>Temple Tdg Asia Ltd</v>
          </cell>
        </row>
        <row r="1828">
          <cell r="B1828" t="str">
            <v xml:space="preserve">Temrac Metals </v>
          </cell>
        </row>
        <row r="1829">
          <cell r="B1829" t="str">
            <v>Tengis Ltd</v>
          </cell>
        </row>
        <row r="1830">
          <cell r="B1830" t="str">
            <v xml:space="preserve">Tennessee Aluminum Processors </v>
          </cell>
        </row>
        <row r="1831">
          <cell r="B1831" t="str">
            <v xml:space="preserve">Tennessee Southern Railroad Co Inc </v>
          </cell>
        </row>
        <row r="1832">
          <cell r="B1832" t="str">
            <v xml:space="preserve">Tennessee Steel Haulers Inc </v>
          </cell>
        </row>
        <row r="1833">
          <cell r="B1833" t="str">
            <v xml:space="preserve">Teo Uk </v>
          </cell>
        </row>
        <row r="1834">
          <cell r="B1834" t="str">
            <v xml:space="preserve">Teppco </v>
          </cell>
        </row>
        <row r="1835">
          <cell r="B1835" t="str">
            <v xml:space="preserve">Terminix Int </v>
          </cell>
        </row>
        <row r="1836">
          <cell r="B1836" t="str">
            <v xml:space="preserve">Terra Bmc Holding </v>
          </cell>
        </row>
        <row r="1837">
          <cell r="B1837" t="str">
            <v xml:space="preserve">Tesoro </v>
          </cell>
        </row>
        <row r="1838">
          <cell r="B1838" t="str">
            <v xml:space="preserve">Texas Marine Agency </v>
          </cell>
        </row>
        <row r="1839">
          <cell r="B1839" t="str">
            <v>Texas Petrochemicals Rp</v>
          </cell>
        </row>
        <row r="1840">
          <cell r="B1840" t="str">
            <v>TFI Resources</v>
          </cell>
        </row>
        <row r="1841">
          <cell r="B1841" t="str">
            <v xml:space="preserve">Thaker Aluminum Corporation </v>
          </cell>
        </row>
        <row r="1842">
          <cell r="B1842" t="str">
            <v>Thc Press Ltd</v>
          </cell>
        </row>
        <row r="1843">
          <cell r="B1843" t="str">
            <v>The Asia Society - Hk Center</v>
          </cell>
        </row>
        <row r="1844">
          <cell r="B1844" t="str">
            <v>The Asia Wall Street</v>
          </cell>
        </row>
        <row r="1845">
          <cell r="B1845" t="str">
            <v>The Asian Management Awards</v>
          </cell>
        </row>
        <row r="1846">
          <cell r="B1846" t="str">
            <v>The Asian Wall Street Journal</v>
          </cell>
        </row>
        <row r="1847">
          <cell r="B1847" t="str">
            <v>The Autopass Co Ltd</v>
          </cell>
        </row>
        <row r="1848">
          <cell r="B1848" t="str">
            <v xml:space="preserve">The Besl Transfer Co </v>
          </cell>
        </row>
        <row r="1849">
          <cell r="B1849" t="str">
            <v>The British Chamber Of Commerc</v>
          </cell>
        </row>
        <row r="1850">
          <cell r="B1850" t="str">
            <v>The Canadian Intl School</v>
          </cell>
        </row>
        <row r="1851">
          <cell r="B1851" t="str">
            <v>The China Club (China Inv F)</v>
          </cell>
        </row>
        <row r="1852">
          <cell r="B1852" t="str">
            <v>The China Intl Econ &amp; Trade</v>
          </cell>
        </row>
        <row r="1853">
          <cell r="B1853" t="str">
            <v>The Chinese Society For Metals</v>
          </cell>
        </row>
        <row r="1854">
          <cell r="B1854" t="str">
            <v>The Community Chest</v>
          </cell>
        </row>
        <row r="1855">
          <cell r="B1855" t="str">
            <v>The Cross-Harbour Tunnel Co</v>
          </cell>
        </row>
        <row r="1856">
          <cell r="B1856" t="str">
            <v>The Diary Co Ltd</v>
          </cell>
        </row>
        <row r="1857">
          <cell r="B1857" t="str">
            <v>The Estate of Christopher Miles</v>
          </cell>
        </row>
        <row r="1858">
          <cell r="B1858" t="str">
            <v>The Financial Times (Hk) Ltd</v>
          </cell>
        </row>
        <row r="1859">
          <cell r="B1859" t="str">
            <v>The Global Network</v>
          </cell>
        </row>
        <row r="1860">
          <cell r="B1860" t="str">
            <v>The Government Of The Hksar</v>
          </cell>
        </row>
        <row r="1861">
          <cell r="B1861" t="str">
            <v>The Grande Insurance Brokers</v>
          </cell>
        </row>
        <row r="1862">
          <cell r="B1862" t="str">
            <v>The Great Eagle Estate Agents</v>
          </cell>
        </row>
        <row r="1863">
          <cell r="B1863" t="str">
            <v>The Hartford</v>
          </cell>
        </row>
        <row r="1864">
          <cell r="B1864" t="str">
            <v>The Hightower Report</v>
          </cell>
        </row>
        <row r="1865">
          <cell r="B1865" t="str">
            <v>The Hk Debenture Exchange</v>
          </cell>
        </row>
        <row r="1866">
          <cell r="B1866" t="str">
            <v>The Hk Polytechnic University</v>
          </cell>
        </row>
        <row r="1867">
          <cell r="B1867" t="str">
            <v>The Holiday Inn Golden M</v>
          </cell>
        </row>
        <row r="1868">
          <cell r="B1868" t="str">
            <v>The Hong Kong Club</v>
          </cell>
        </row>
        <row r="1869">
          <cell r="B1869" t="str">
            <v>The Hong Kong Jockey Club</v>
          </cell>
        </row>
        <row r="1870">
          <cell r="B1870" t="str">
            <v>The Indian Institute Of Metals</v>
          </cell>
        </row>
        <row r="1871">
          <cell r="B1871" t="str">
            <v>The Kowloon Hotel</v>
          </cell>
        </row>
        <row r="1872">
          <cell r="B1872" t="str">
            <v>The Loft Company</v>
          </cell>
        </row>
        <row r="1873">
          <cell r="B1873" t="str">
            <v>The Manufacturers Life Ins Co</v>
          </cell>
        </row>
        <row r="1874">
          <cell r="B1874" t="str">
            <v>The Metropole Hotel</v>
          </cell>
        </row>
        <row r="1875">
          <cell r="B1875" t="str">
            <v>The Park Lane</v>
          </cell>
        </row>
        <row r="1876">
          <cell r="B1876" t="str">
            <v xml:space="preserve">The Print Shoppe </v>
          </cell>
        </row>
        <row r="1877">
          <cell r="B1877" t="str">
            <v>The Russian Trade Association</v>
          </cell>
        </row>
        <row r="1878">
          <cell r="B1878" t="str">
            <v>The Singapore Association</v>
          </cell>
        </row>
        <row r="1879">
          <cell r="B1879" t="str">
            <v>The Stock Exchange Of Hk Ltd</v>
          </cell>
        </row>
        <row r="1880">
          <cell r="B1880" t="str">
            <v>The Stockmarket Channel Ltd</v>
          </cell>
        </row>
        <row r="1881">
          <cell r="B1881" t="str">
            <v>The Tex Report Ltd</v>
          </cell>
        </row>
        <row r="1882">
          <cell r="B1882" t="str">
            <v>The Trend Letter</v>
          </cell>
        </row>
        <row r="1883">
          <cell r="B1883" t="str">
            <v>The Trustforte Corporation</v>
          </cell>
        </row>
        <row r="1884">
          <cell r="B1884" t="str">
            <v>The United States Life Insurance Company</v>
          </cell>
        </row>
        <row r="1885">
          <cell r="B1885" t="str">
            <v>The Waldorf = Astoria</v>
          </cell>
        </row>
        <row r="1886">
          <cell r="B1886" t="str">
            <v>The Wall Street Journal</v>
          </cell>
        </row>
        <row r="1887">
          <cell r="B1887" t="str">
            <v>The Wall Street Transcript</v>
          </cell>
        </row>
        <row r="1888">
          <cell r="B1888" t="str">
            <v>The Wesley</v>
          </cell>
        </row>
        <row r="1889">
          <cell r="B1889" t="str">
            <v>The Westin Resort Macau</v>
          </cell>
        </row>
        <row r="1890">
          <cell r="B1890" t="str">
            <v>The Wicker Express</v>
          </cell>
        </row>
        <row r="1891">
          <cell r="B1891" t="str">
            <v>Thomson Financial Publishing</v>
          </cell>
        </row>
        <row r="1892">
          <cell r="B1892" t="str">
            <v>Ting Fung Co Ltd</v>
          </cell>
        </row>
        <row r="1893">
          <cell r="B1893" t="str">
            <v>TL Fore Contracting Co Ltd</v>
          </cell>
        </row>
        <row r="1894">
          <cell r="B1894" t="str">
            <v xml:space="preserve">Tmt Inc </v>
          </cell>
        </row>
        <row r="1895">
          <cell r="B1895" t="str">
            <v>TNT Express Worldwide (HK) LTD</v>
          </cell>
        </row>
        <row r="1896">
          <cell r="B1896" t="str">
            <v xml:space="preserve">Today's Trucking </v>
          </cell>
        </row>
        <row r="1897">
          <cell r="B1897" t="str">
            <v xml:space="preserve">Tom Mcintosh Trucking </v>
          </cell>
        </row>
        <row r="1898">
          <cell r="B1898" t="str">
            <v>Tone Ads</v>
          </cell>
        </row>
        <row r="1899">
          <cell r="B1899" t="str">
            <v>Tony Carpio Music Workshops</v>
          </cell>
        </row>
        <row r="1900">
          <cell r="B1900" t="str">
            <v>Tony Sofa Co</v>
          </cell>
        </row>
        <row r="1901">
          <cell r="B1901" t="str">
            <v>Top Calibre Management Inc</v>
          </cell>
        </row>
        <row r="1902">
          <cell r="B1902" t="str">
            <v>Top Found Industrial Ltd</v>
          </cell>
        </row>
        <row r="1903">
          <cell r="B1903" t="str">
            <v>Top Holding Service Co Ltd</v>
          </cell>
        </row>
        <row r="1904">
          <cell r="B1904" t="str">
            <v>Torvald Klaveness Commodities</v>
          </cell>
        </row>
        <row r="1905">
          <cell r="B1905" t="str">
            <v>Torys LLP</v>
          </cell>
        </row>
        <row r="1906">
          <cell r="B1906" t="str">
            <v xml:space="preserve">Total Petrochemicals Usa </v>
          </cell>
        </row>
        <row r="1907">
          <cell r="B1907" t="str">
            <v xml:space="preserve">Total Transportation Of Mississippi </v>
          </cell>
        </row>
        <row r="1908">
          <cell r="B1908" t="str">
            <v xml:space="preserve">Tower Extrusions Ltd </v>
          </cell>
        </row>
        <row r="1909">
          <cell r="B1909" t="str">
            <v>TR Paul Inc</v>
          </cell>
        </row>
        <row r="1910">
          <cell r="B1910" t="str">
            <v xml:space="preserve">Tradax Energy Inc </v>
          </cell>
        </row>
        <row r="1911">
          <cell r="B1911" t="str">
            <v xml:space="preserve">Trade Capture Inc </v>
          </cell>
        </row>
        <row r="1912">
          <cell r="B1912" t="str">
            <v>Trade House-OPK</v>
          </cell>
        </row>
        <row r="1913">
          <cell r="B1913" t="str">
            <v>Trade Risk Guaranty Brokerage</v>
          </cell>
        </row>
        <row r="1914">
          <cell r="B1914" t="str">
            <v>TradeVest Risk Services</v>
          </cell>
        </row>
        <row r="1915">
          <cell r="B1915" t="str">
            <v xml:space="preserve">Tradewinds </v>
          </cell>
        </row>
        <row r="1916">
          <cell r="B1916" t="str">
            <v xml:space="preserve">Trafigura </v>
          </cell>
        </row>
        <row r="1917">
          <cell r="B1917" t="str">
            <v xml:space="preserve">Trail Blazer Truck Line Inc </v>
          </cell>
        </row>
        <row r="1918">
          <cell r="B1918" t="str">
            <v>Tralaco Ltd</v>
          </cell>
        </row>
        <row r="1919">
          <cell r="B1919" t="str">
            <v xml:space="preserve">Trammo Petroleum </v>
          </cell>
        </row>
        <row r="1920">
          <cell r="B1920" t="str">
            <v xml:space="preserve">Trammochem </v>
          </cell>
        </row>
        <row r="1921">
          <cell r="B1921" t="str">
            <v>Transamerica Occidental Life</v>
          </cell>
        </row>
        <row r="1922">
          <cell r="B1922" t="str">
            <v>Transammonia Inc</v>
          </cell>
        </row>
        <row r="1923">
          <cell r="B1923" t="str">
            <v xml:space="preserve">Transmontaigne Product </v>
          </cell>
        </row>
        <row r="1924">
          <cell r="B1924" t="str">
            <v xml:space="preserve">Transplace </v>
          </cell>
        </row>
        <row r="1925">
          <cell r="B1925" t="str">
            <v>Transporation Maritima Grancolombiana Sa</v>
          </cell>
        </row>
        <row r="1926">
          <cell r="B1926" t="str">
            <v xml:space="preserve">Transport Fortier </v>
          </cell>
        </row>
        <row r="1927">
          <cell r="B1927" t="str">
            <v xml:space="preserve">Transport Thibodeau </v>
          </cell>
        </row>
        <row r="1928">
          <cell r="B1928" t="str">
            <v xml:space="preserve">Transportation Inc </v>
          </cell>
        </row>
        <row r="1929">
          <cell r="B1929" t="str">
            <v xml:space="preserve">Transportation Provider Services </v>
          </cell>
        </row>
        <row r="1930">
          <cell r="B1930" t="str">
            <v>Travel Exchange</v>
          </cell>
        </row>
        <row r="1931">
          <cell r="B1931" t="str">
            <v>Trend Analysis Ltd</v>
          </cell>
        </row>
        <row r="1932">
          <cell r="B1932" t="str">
            <v>Tricon Energy (Pc)</v>
          </cell>
        </row>
        <row r="1933">
          <cell r="B1933" t="str">
            <v xml:space="preserve">Trimen Llc </v>
          </cell>
        </row>
        <row r="1934">
          <cell r="B1934" t="str">
            <v xml:space="preserve">Trinidad Benham </v>
          </cell>
        </row>
        <row r="1935">
          <cell r="B1935" t="str">
            <v xml:space="preserve">Triple G Express </v>
          </cell>
        </row>
        <row r="1936">
          <cell r="B1936" t="str">
            <v xml:space="preserve">Triple M Metal </v>
          </cell>
        </row>
        <row r="1937">
          <cell r="B1937" t="str">
            <v xml:space="preserve">Triple M Metal - Canada </v>
          </cell>
        </row>
        <row r="1938">
          <cell r="B1938" t="str">
            <v>Triple Point Technology</v>
          </cell>
        </row>
        <row r="1939">
          <cell r="B1939" t="str">
            <v xml:space="preserve">Troy Container Line </v>
          </cell>
        </row>
        <row r="1940">
          <cell r="B1940" t="str">
            <v xml:space="preserve">Tru Recovery </v>
          </cell>
        </row>
        <row r="1941">
          <cell r="B1941" t="str">
            <v xml:space="preserve">Truman Arnold Companies - Tac </v>
          </cell>
        </row>
        <row r="1942">
          <cell r="B1942" t="str">
            <v xml:space="preserve">Tsi Logistics </v>
          </cell>
        </row>
        <row r="1943">
          <cell r="B1943" t="str">
            <v>Tsit Wing Coffee Co Ltd</v>
          </cell>
        </row>
        <row r="1944">
          <cell r="B1944" t="str">
            <v xml:space="preserve">Tug Services Panama Sa </v>
          </cell>
        </row>
        <row r="1945">
          <cell r="B1945" t="str">
            <v>Turkish Consulate General</v>
          </cell>
        </row>
        <row r="1946">
          <cell r="B1946" t="str">
            <v>Turner Broadcasting Sys Asia</v>
          </cell>
        </row>
        <row r="1947">
          <cell r="B1947" t="str">
            <v>TX Secretary of State - Other Names List</v>
          </cell>
        </row>
        <row r="1948">
          <cell r="B1948" t="str">
            <v xml:space="preserve">Ubs Financial Services Inc </v>
          </cell>
        </row>
        <row r="1949">
          <cell r="B1949" t="str">
            <v xml:space="preserve">Ucraprobex De Rl </v>
          </cell>
        </row>
        <row r="1950">
          <cell r="B1950" t="str">
            <v xml:space="preserve">Unex Sa De Cv </v>
          </cell>
        </row>
        <row r="1951">
          <cell r="B1951" t="str">
            <v>Uni Consultancy</v>
          </cell>
        </row>
        <row r="1952">
          <cell r="B1952" t="str">
            <v>Uni Personnel Consultancy Ltd</v>
          </cell>
        </row>
        <row r="1953">
          <cell r="B1953" t="str">
            <v xml:space="preserve">Unicontrol Commodity Bv </v>
          </cell>
        </row>
        <row r="1954">
          <cell r="B1954" t="str">
            <v>Union Express Ltd</v>
          </cell>
        </row>
        <row r="1955">
          <cell r="B1955" t="str">
            <v xml:space="preserve">Union Pacific Railroad </v>
          </cell>
        </row>
        <row r="1956">
          <cell r="B1956" t="str">
            <v xml:space="preserve">United Bio Energy Fuels </v>
          </cell>
        </row>
        <row r="1957">
          <cell r="B1957" t="str">
            <v>United Energy Inc</v>
          </cell>
        </row>
        <row r="1958">
          <cell r="B1958" t="str">
            <v>United Ibv Ltd</v>
          </cell>
        </row>
        <row r="1959">
          <cell r="B1959" t="str">
            <v>United Office Supply Co</v>
          </cell>
        </row>
        <row r="1960">
          <cell r="B1960" t="str">
            <v>United Overseas Bank Ltd</v>
          </cell>
        </row>
        <row r="1961">
          <cell r="B1961" t="str">
            <v>United Shipping Services Ltd</v>
          </cell>
        </row>
        <row r="1962">
          <cell r="B1962" t="str">
            <v xml:space="preserve">United Surveyors Of Chemicals </v>
          </cell>
        </row>
        <row r="1963">
          <cell r="B1963" t="str">
            <v xml:space="preserve">Unitrade Investment Corp </v>
          </cell>
        </row>
        <row r="1964">
          <cell r="B1964" t="str">
            <v>Units Properties Ltd</v>
          </cell>
        </row>
        <row r="1965">
          <cell r="B1965" t="str">
            <v>Unum Life Insurance Co</v>
          </cell>
        </row>
        <row r="1966">
          <cell r="B1966" t="str">
            <v>Uob Nominees (Hk) Ltd</v>
          </cell>
        </row>
        <row r="1967">
          <cell r="B1967" t="str">
            <v>UPS Freight Services Inc</v>
          </cell>
        </row>
        <row r="1968">
          <cell r="B1968" t="str">
            <v>Ups Parcel Delivery Services</v>
          </cell>
        </row>
        <row r="1969">
          <cell r="B1969" t="str">
            <v>Us Customs Service</v>
          </cell>
        </row>
        <row r="1970">
          <cell r="B1970" t="str">
            <v xml:space="preserve">Usa Truck Inc </v>
          </cell>
        </row>
        <row r="1971">
          <cell r="B1971" t="str">
            <v>Usina De Acucar Santa Terezinha Ltda</v>
          </cell>
        </row>
        <row r="1972">
          <cell r="B1972" t="str">
            <v xml:space="preserve">V &amp; Y Express Inc </v>
          </cell>
        </row>
        <row r="1973">
          <cell r="B1973" t="str">
            <v xml:space="preserve">Valero Energy Foundation </v>
          </cell>
        </row>
        <row r="1974">
          <cell r="B1974" t="str">
            <v xml:space="preserve">Valero Marketing And Supply </v>
          </cell>
        </row>
        <row r="1975">
          <cell r="B1975" t="str">
            <v xml:space="preserve">Valero Refining-Tx </v>
          </cell>
        </row>
        <row r="1976">
          <cell r="B1976" t="str">
            <v>Van Shung Chong Holdings Ltd</v>
          </cell>
        </row>
        <row r="1977">
          <cell r="B1977" t="str">
            <v xml:space="preserve">Vane Line Bunkering </v>
          </cell>
        </row>
        <row r="1978">
          <cell r="B1978" t="str">
            <v xml:space="preserve">Vanguard Freight Brokerage Services </v>
          </cell>
        </row>
        <row r="1979">
          <cell r="B1979" t="str">
            <v>Vanguard Pest Control Co</v>
          </cell>
        </row>
        <row r="1980">
          <cell r="B1980" t="str">
            <v xml:space="preserve">Vanguard Petroleum Corporation </v>
          </cell>
        </row>
        <row r="1981">
          <cell r="B1981" t="str">
            <v xml:space="preserve">Vazeli Group Ltd </v>
          </cell>
        </row>
        <row r="1982">
          <cell r="B1982" t="str">
            <v xml:space="preserve">Vdv Ltd </v>
          </cell>
        </row>
        <row r="1983">
          <cell r="B1983" t="str">
            <v xml:space="preserve">Venro Petroleum Corp </v>
          </cell>
        </row>
        <row r="1984">
          <cell r="B1984" t="str">
            <v xml:space="preserve">Vericlaim </v>
          </cell>
        </row>
        <row r="1985">
          <cell r="B1985" t="str">
            <v>Verizon Wireless</v>
          </cell>
        </row>
        <row r="1986">
          <cell r="B1986" t="str">
            <v>Verizon Wireless Messaging Services</v>
          </cell>
        </row>
        <row r="1987">
          <cell r="B1987" t="str">
            <v>Versiones El Carmen Sca</v>
          </cell>
        </row>
        <row r="1988">
          <cell r="B1988" t="str">
            <v xml:space="preserve">Vican Trading Inc </v>
          </cell>
        </row>
        <row r="1989">
          <cell r="B1989" t="str">
            <v>Village Office Supply</v>
          </cell>
        </row>
        <row r="1990">
          <cell r="B1990" t="str">
            <v>Vinci Park Hong Kong Ltd</v>
          </cell>
        </row>
        <row r="1991">
          <cell r="B1991" t="str">
            <v>Vines Services Pte Ltd</v>
          </cell>
        </row>
        <row r="1992">
          <cell r="B1992" t="str">
            <v xml:space="preserve">Vip Chemical </v>
          </cell>
        </row>
        <row r="1993">
          <cell r="B1993" t="str">
            <v>Vite Ltd</v>
          </cell>
        </row>
        <row r="1994">
          <cell r="B1994" t="str">
            <v>Viteria Ltd</v>
          </cell>
        </row>
        <row r="1995">
          <cell r="B1995" t="str">
            <v xml:space="preserve">Vitol Sa Inc </v>
          </cell>
        </row>
        <row r="1996">
          <cell r="B1996" t="str">
            <v xml:space="preserve">Vitsan Gozetim Mumessillik </v>
          </cell>
        </row>
        <row r="1997">
          <cell r="B1997" t="str">
            <v>Vladimirov Law Office</v>
          </cell>
        </row>
        <row r="1998">
          <cell r="B1998" t="str">
            <v xml:space="preserve">Vm </v>
          </cell>
        </row>
        <row r="1999">
          <cell r="B1999" t="str">
            <v xml:space="preserve">Voest Alpine Intertrading Usa </v>
          </cell>
        </row>
        <row r="2000">
          <cell r="B2000" t="str">
            <v>Voice Stream Wireless</v>
          </cell>
        </row>
        <row r="2001">
          <cell r="B2001" t="str">
            <v>Volcafe</v>
          </cell>
        </row>
        <row r="2002">
          <cell r="B2002" t="str">
            <v xml:space="preserve">Vollers Belgium Nv </v>
          </cell>
        </row>
        <row r="2003">
          <cell r="B2003" t="str">
            <v xml:space="preserve">Vopak Industrial Services Usa </v>
          </cell>
        </row>
        <row r="2004">
          <cell r="B2004" t="str">
            <v xml:space="preserve">Vopak Terminals Singapore </v>
          </cell>
        </row>
        <row r="2005">
          <cell r="B2005" t="str">
            <v>Vostok Russia</v>
          </cell>
        </row>
        <row r="2006">
          <cell r="B2006" t="str">
            <v xml:space="preserve">Wabash Alloys </v>
          </cell>
        </row>
        <row r="2007">
          <cell r="B2007" t="str">
            <v xml:space="preserve">Wabash Alloys - Canada </v>
          </cell>
        </row>
        <row r="2008">
          <cell r="B2008" t="str">
            <v>Wachovia</v>
          </cell>
        </row>
        <row r="2009">
          <cell r="B2009" t="str">
            <v>Wade S Hooker Jr</v>
          </cell>
        </row>
        <row r="2010">
          <cell r="B2010" t="str">
            <v>Waldmann Verwaltungs-Und Bau</v>
          </cell>
        </row>
        <row r="2011">
          <cell r="B2011" t="str">
            <v>Walker Co</v>
          </cell>
        </row>
        <row r="2012">
          <cell r="B2012" t="str">
            <v xml:space="preserve">Wallmann &amp; Co </v>
          </cell>
        </row>
        <row r="2013">
          <cell r="B2013" t="str">
            <v xml:space="preserve">Wang Jing &amp; Co Maritime Law </v>
          </cell>
        </row>
        <row r="2014">
          <cell r="B2014" t="str">
            <v>Wanland Ltd</v>
          </cell>
        </row>
        <row r="2015">
          <cell r="B2015" t="str">
            <v xml:space="preserve">Warehouse Associates Lp </v>
          </cell>
        </row>
        <row r="2016">
          <cell r="B2016" t="str">
            <v>Washburne Paint And Body Trailer Division</v>
          </cell>
        </row>
        <row r="2017">
          <cell r="B2017" t="str">
            <v>Wasserman Group Llc</v>
          </cell>
        </row>
        <row r="2018">
          <cell r="B2018" t="str">
            <v xml:space="preserve">Waterfront Shipping Co Ltd </v>
          </cell>
        </row>
        <row r="2019">
          <cell r="B2019" t="str">
            <v xml:space="preserve">Watkin &amp; Son Inc </v>
          </cell>
        </row>
        <row r="2020">
          <cell r="B2020" t="str">
            <v>WatsonS Water</v>
          </cell>
        </row>
        <row r="2021">
          <cell r="B2021" t="str">
            <v>WB Mason Company Inc</v>
          </cell>
        </row>
        <row r="2022">
          <cell r="B2022" t="str">
            <v>Weathernews Inc</v>
          </cell>
        </row>
        <row r="2023">
          <cell r="B2023" t="str">
            <v xml:space="preserve">Welch Aluminum Company </v>
          </cell>
        </row>
        <row r="2024">
          <cell r="B2024" t="str">
            <v>Wellcome Co Ltd</v>
          </cell>
        </row>
        <row r="2025">
          <cell r="B2025" t="str">
            <v>Wen Wei Po</v>
          </cell>
        </row>
        <row r="2026">
          <cell r="B2026" t="str">
            <v xml:space="preserve">Weser International Commodities </v>
          </cell>
        </row>
        <row r="2027">
          <cell r="B2027" t="str">
            <v xml:space="preserve">Westbank Harbor Services Inc </v>
          </cell>
        </row>
        <row r="2028">
          <cell r="B2028" t="str">
            <v>Westerman &amp; Associates - Network</v>
          </cell>
        </row>
        <row r="2029">
          <cell r="B2029" t="str">
            <v xml:space="preserve">Western Ethanol Company </v>
          </cell>
        </row>
        <row r="2030">
          <cell r="B2030" t="str">
            <v xml:space="preserve">Western Fumigation </v>
          </cell>
        </row>
        <row r="2031">
          <cell r="B2031" t="str">
            <v xml:space="preserve">Western Lithotech </v>
          </cell>
        </row>
        <row r="2032">
          <cell r="B2032" t="str">
            <v>Westfelt Bros Inc</v>
          </cell>
        </row>
        <row r="2033">
          <cell r="B2033" t="str">
            <v xml:space="preserve">Westlake Styrene Corp </v>
          </cell>
        </row>
        <row r="2034">
          <cell r="B2034" t="str">
            <v>Westminster Travel Ltd</v>
          </cell>
        </row>
        <row r="2035">
          <cell r="B2035" t="str">
            <v xml:space="preserve">Westport Petroleum </v>
          </cell>
        </row>
        <row r="2036">
          <cell r="B2036" t="str">
            <v xml:space="preserve">Westway Terminal Company </v>
          </cell>
        </row>
        <row r="2037">
          <cell r="B2037" t="str">
            <v xml:space="preserve">Wha Logistics Llc </v>
          </cell>
        </row>
        <row r="2038">
          <cell r="B2038" t="str">
            <v>Wharney Hotel Of Hk</v>
          </cell>
        </row>
        <row r="2039">
          <cell r="B2039" t="str">
            <v>White &amp; Case</v>
          </cell>
        </row>
        <row r="2040">
          <cell r="B2040" t="str">
            <v>Whos Who In World Petrochemicals &amp; Plast</v>
          </cell>
        </row>
        <row r="2041">
          <cell r="B2041" t="str">
            <v xml:space="preserve">Wildhawk Energy </v>
          </cell>
        </row>
        <row r="2042">
          <cell r="B2042" t="str">
            <v>Wilford &amp; Mckay Sa</v>
          </cell>
        </row>
        <row r="2043">
          <cell r="B2043" t="str">
            <v xml:space="preserve">Will Transport </v>
          </cell>
        </row>
        <row r="2044">
          <cell r="B2044" t="str">
            <v>William B Meyer Incorporated</v>
          </cell>
        </row>
        <row r="2045">
          <cell r="B2045" t="str">
            <v xml:space="preserve">William Bonnell Company The </v>
          </cell>
        </row>
        <row r="2046">
          <cell r="B2046" t="str">
            <v xml:space="preserve">Williams (Servicos Maritimos) </v>
          </cell>
        </row>
        <row r="2047">
          <cell r="B2047" t="str">
            <v xml:space="preserve">Williams Ethanol Services </v>
          </cell>
        </row>
        <row r="2048">
          <cell r="B2048" t="str">
            <v xml:space="preserve">Williams Power Company </v>
          </cell>
        </row>
        <row r="2049">
          <cell r="B2049" t="str">
            <v xml:space="preserve">Wilmarsdonk </v>
          </cell>
        </row>
        <row r="2050">
          <cell r="B2050" t="str">
            <v>Wing Hang Insurance Brokers Ltd</v>
          </cell>
        </row>
        <row r="2051">
          <cell r="B2051" t="str">
            <v>Wing Hing Hire Car Co Ltd</v>
          </cell>
        </row>
        <row r="2052">
          <cell r="B2052" t="str">
            <v>Wing Tai Business Appliances</v>
          </cell>
        </row>
        <row r="2053">
          <cell r="B2053" t="str">
            <v xml:space="preserve">Winter Service Sa </v>
          </cell>
        </row>
        <row r="2054">
          <cell r="B2054" t="str">
            <v xml:space="preserve">Wise Alloys </v>
          </cell>
        </row>
        <row r="2055">
          <cell r="B2055" t="str">
            <v>Wise Design &amp; Contracting Ltd</v>
          </cell>
        </row>
        <row r="2056">
          <cell r="B2056" t="str">
            <v xml:space="preserve">Wittig Energy Resources </v>
          </cell>
        </row>
        <row r="2057">
          <cell r="B2057" t="str">
            <v>WK To &amp; Co</v>
          </cell>
        </row>
        <row r="2058">
          <cell r="B2058" t="str">
            <v xml:space="preserve">Wkm Sampling </v>
          </cell>
        </row>
        <row r="2059">
          <cell r="B2059" t="str">
            <v xml:space="preserve">Woerner Transportation Inc </v>
          </cell>
        </row>
        <row r="2060">
          <cell r="B2060" t="str">
            <v>Wong Kam Hong Sofa Co</v>
          </cell>
        </row>
        <row r="2061">
          <cell r="B2061" t="str">
            <v>Wong Pui Ching</v>
          </cell>
        </row>
        <row r="2062">
          <cell r="B2062" t="str">
            <v>Wong Tak Fai</v>
          </cell>
        </row>
        <row r="2063">
          <cell r="B2063" t="str">
            <v>Woodhead Publishing Ltd</v>
          </cell>
        </row>
        <row r="2064">
          <cell r="B2064" t="str">
            <v>World Link Exchange Llc</v>
          </cell>
        </row>
        <row r="2065">
          <cell r="B2065" t="str">
            <v>Worldscale Association (NYC) Inc</v>
          </cell>
        </row>
        <row r="2066">
          <cell r="B2066" t="str">
            <v>WR Johnson Co Inc</v>
          </cell>
        </row>
        <row r="2067">
          <cell r="B2067" t="str">
            <v xml:space="preserve">Wright Transportation Of Birmingham </v>
          </cell>
        </row>
        <row r="2068">
          <cell r="B2068" t="str">
            <v xml:space="preserve">Wsi Of The Southeast Llc </v>
          </cell>
        </row>
        <row r="2069">
          <cell r="B2069" t="str">
            <v xml:space="preserve">Wti Transport </v>
          </cell>
        </row>
        <row r="2070">
          <cell r="B2070" t="str">
            <v>Wyatt Co (Hk) Ltd</v>
          </cell>
        </row>
        <row r="2071">
          <cell r="B2071" t="str">
            <v>Wyndham Peaks Resort</v>
          </cell>
        </row>
        <row r="2072">
          <cell r="B2072" t="str">
            <v xml:space="preserve">Xeron Inc </v>
          </cell>
        </row>
        <row r="2073">
          <cell r="B2073" t="str">
            <v>Xerox (Hk) Ltd</v>
          </cell>
        </row>
        <row r="2074">
          <cell r="B2074" t="str">
            <v>Xili Golf &amp; Country Club</v>
          </cell>
        </row>
        <row r="2075">
          <cell r="B2075" t="str">
            <v>Xpedite International (Hk) Ltd</v>
          </cell>
        </row>
        <row r="2076">
          <cell r="B2076" t="str">
            <v>Xrg Incorporated</v>
          </cell>
        </row>
        <row r="2077">
          <cell r="B2077" t="str">
            <v>Y Tristan Kuo</v>
          </cell>
        </row>
        <row r="2078">
          <cell r="B2078" t="str">
            <v xml:space="preserve">Yaffe Companies Inc </v>
          </cell>
        </row>
        <row r="2079">
          <cell r="B2079" t="str">
            <v>Yih Mei Book Co</v>
          </cell>
        </row>
        <row r="2080">
          <cell r="B2080" t="str">
            <v>Yim Suk Fong</v>
          </cell>
        </row>
        <row r="2081">
          <cell r="B2081" t="str">
            <v xml:space="preserve">Yourga Trucking Inc </v>
          </cell>
        </row>
        <row r="2082">
          <cell r="B2082" t="str">
            <v xml:space="preserve">Ypf Sa </v>
          </cell>
        </row>
        <row r="2083">
          <cell r="B2083" t="str">
            <v>Zear &amp; Co Ltd</v>
          </cell>
        </row>
        <row r="2084">
          <cell r="B2084" t="str">
            <v>Zenith Carpet Consultants Co</v>
          </cell>
        </row>
        <row r="2085">
          <cell r="B2085" t="str">
            <v>Zim Lines</v>
          </cell>
        </row>
        <row r="2086">
          <cell r="B2086" t="str">
            <v>Zung Fu Co Ltd</v>
          </cell>
        </row>
        <row r="2087">
          <cell r="B2087" t="str">
            <v>Zurich Life Insurance Co Ltd</v>
          </cell>
        </row>
        <row r="2088">
          <cell r="B2088" t="str">
            <v>Zytax c/o FuelQuest Inc</v>
          </cell>
        </row>
      </sheetData>
      <sheetData sheetId="4" refreshError="1"/>
      <sheetData sheetId="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4"/>
      <sheetName val="13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Parameters"/>
      <sheetName val="Summa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>
        <row r="11">
          <cell r="L11">
            <v>36982</v>
          </cell>
          <cell r="M11">
            <v>16145.28</v>
          </cell>
          <cell r="N11">
            <v>1479.88</v>
          </cell>
          <cell r="O11">
            <v>11544.87</v>
          </cell>
          <cell r="P11">
            <v>1454.02</v>
          </cell>
          <cell r="Q11">
            <v>1666.5099999999998</v>
          </cell>
        </row>
        <row r="12">
          <cell r="L12">
            <v>36983</v>
          </cell>
          <cell r="M12">
            <v>16145.28</v>
          </cell>
          <cell r="N12">
            <v>1479.88</v>
          </cell>
          <cell r="O12">
            <v>11544.87</v>
          </cell>
          <cell r="P12">
            <v>1454.02</v>
          </cell>
          <cell r="Q12">
            <v>1666.5099999999998</v>
          </cell>
        </row>
        <row r="13">
          <cell r="L13">
            <v>36984</v>
          </cell>
          <cell r="M13">
            <v>16145.28</v>
          </cell>
          <cell r="N13">
            <v>1479.88</v>
          </cell>
          <cell r="O13">
            <v>11544.87</v>
          </cell>
          <cell r="P13">
            <v>1454.02</v>
          </cell>
          <cell r="Q13">
            <v>1666.5099999999998</v>
          </cell>
        </row>
        <row r="14">
          <cell r="L14">
            <v>36985</v>
          </cell>
          <cell r="M14">
            <v>16145.28</v>
          </cell>
          <cell r="N14">
            <v>1479.88</v>
          </cell>
          <cell r="O14">
            <v>11544.87</v>
          </cell>
          <cell r="P14">
            <v>1454.02</v>
          </cell>
          <cell r="Q14">
            <v>1666.5099999999998</v>
          </cell>
        </row>
        <row r="15">
          <cell r="L15">
            <v>36986</v>
          </cell>
          <cell r="M15">
            <v>16145.28</v>
          </cell>
          <cell r="N15">
            <v>1479.88</v>
          </cell>
          <cell r="O15">
            <v>11544.87</v>
          </cell>
          <cell r="P15">
            <v>1454.02</v>
          </cell>
          <cell r="Q15">
            <v>1666.5099999999998</v>
          </cell>
        </row>
        <row r="16">
          <cell r="L16">
            <v>36987</v>
          </cell>
          <cell r="M16">
            <v>16145.28</v>
          </cell>
          <cell r="N16">
            <v>1479.88</v>
          </cell>
          <cell r="O16">
            <v>11544.87</v>
          </cell>
          <cell r="P16">
            <v>1454.02</v>
          </cell>
          <cell r="Q16">
            <v>1666.5099999999998</v>
          </cell>
        </row>
        <row r="17">
          <cell r="L17">
            <v>36988</v>
          </cell>
          <cell r="M17">
            <v>16145.28</v>
          </cell>
          <cell r="N17">
            <v>1479.88</v>
          </cell>
          <cell r="O17">
            <v>11544.87</v>
          </cell>
          <cell r="P17">
            <v>1454.02</v>
          </cell>
          <cell r="Q17">
            <v>1666.5099999999998</v>
          </cell>
        </row>
        <row r="18">
          <cell r="L18">
            <v>36989</v>
          </cell>
          <cell r="M18">
            <v>16145.28</v>
          </cell>
          <cell r="N18">
            <v>1479.88</v>
          </cell>
          <cell r="O18">
            <v>11544.87</v>
          </cell>
          <cell r="P18">
            <v>1454.02</v>
          </cell>
          <cell r="Q18">
            <v>1666.5099999999998</v>
          </cell>
        </row>
        <row r="19">
          <cell r="L19">
            <v>36990</v>
          </cell>
          <cell r="M19">
            <v>16145.28</v>
          </cell>
          <cell r="N19">
            <v>1479.88</v>
          </cell>
          <cell r="O19">
            <v>11544.87</v>
          </cell>
          <cell r="P19">
            <v>1454.02</v>
          </cell>
          <cell r="Q19">
            <v>1666.5099999999998</v>
          </cell>
        </row>
        <row r="20">
          <cell r="L20">
            <v>36991</v>
          </cell>
          <cell r="M20">
            <v>16145.28</v>
          </cell>
          <cell r="N20">
            <v>1479.88</v>
          </cell>
          <cell r="O20">
            <v>11544.87</v>
          </cell>
          <cell r="P20">
            <v>1454.02</v>
          </cell>
          <cell r="Q20">
            <v>1666.5099999999998</v>
          </cell>
        </row>
        <row r="21">
          <cell r="L21">
            <v>36992</v>
          </cell>
          <cell r="M21">
            <v>19722.359999999997</v>
          </cell>
          <cell r="N21">
            <v>1891.7200000000003</v>
          </cell>
          <cell r="O21">
            <v>11989.35</v>
          </cell>
          <cell r="P21">
            <v>3584.2599999999998</v>
          </cell>
          <cell r="Q21">
            <v>2257.0299999999997</v>
          </cell>
        </row>
        <row r="22">
          <cell r="L22">
            <v>36993</v>
          </cell>
          <cell r="M22">
            <v>19722.359999999997</v>
          </cell>
          <cell r="N22">
            <v>1891.7200000000003</v>
          </cell>
          <cell r="O22">
            <v>11989.35</v>
          </cell>
          <cell r="P22">
            <v>3584.2599999999998</v>
          </cell>
          <cell r="Q22">
            <v>2257.0299999999997</v>
          </cell>
        </row>
        <row r="23">
          <cell r="L23">
            <v>36994</v>
          </cell>
          <cell r="M23">
            <v>19722.359999999997</v>
          </cell>
          <cell r="N23">
            <v>1891.7200000000003</v>
          </cell>
          <cell r="O23">
            <v>11989.35</v>
          </cell>
          <cell r="P23">
            <v>3584.2599999999998</v>
          </cell>
          <cell r="Q23">
            <v>2257.0299999999997</v>
          </cell>
        </row>
        <row r="24">
          <cell r="L24">
            <v>36995</v>
          </cell>
          <cell r="M24">
            <v>19722.359999999997</v>
          </cell>
          <cell r="N24">
            <v>1891.7200000000003</v>
          </cell>
          <cell r="O24">
            <v>11989.35</v>
          </cell>
          <cell r="P24">
            <v>3584.2599999999998</v>
          </cell>
          <cell r="Q24">
            <v>2257.0299999999997</v>
          </cell>
        </row>
        <row r="25">
          <cell r="L25">
            <v>36996</v>
          </cell>
          <cell r="M25">
            <v>19722.359999999997</v>
          </cell>
          <cell r="N25">
            <v>1891.7200000000003</v>
          </cell>
          <cell r="O25">
            <v>11989.35</v>
          </cell>
          <cell r="P25">
            <v>3584.2599999999998</v>
          </cell>
          <cell r="Q25">
            <v>2257.0299999999997</v>
          </cell>
        </row>
        <row r="26">
          <cell r="L26">
            <v>36997</v>
          </cell>
          <cell r="M26">
            <v>19722.359999999997</v>
          </cell>
          <cell r="N26">
            <v>1891.7200000000003</v>
          </cell>
          <cell r="O26">
            <v>11989.35</v>
          </cell>
          <cell r="P26">
            <v>3584.2599999999998</v>
          </cell>
          <cell r="Q26">
            <v>2257.0299999999997</v>
          </cell>
        </row>
        <row r="27">
          <cell r="L27">
            <v>36998</v>
          </cell>
          <cell r="M27">
            <v>19722.359999999997</v>
          </cell>
          <cell r="N27">
            <v>1891.7200000000003</v>
          </cell>
          <cell r="O27">
            <v>11989.35</v>
          </cell>
          <cell r="P27">
            <v>3584.2599999999998</v>
          </cell>
          <cell r="Q27">
            <v>2257.0299999999997</v>
          </cell>
        </row>
        <row r="28">
          <cell r="L28">
            <v>36999</v>
          </cell>
          <cell r="M28">
            <v>19722.359999999997</v>
          </cell>
          <cell r="N28">
            <v>1891.7200000000003</v>
          </cell>
          <cell r="O28">
            <v>11989.35</v>
          </cell>
          <cell r="P28">
            <v>3584.2599999999998</v>
          </cell>
          <cell r="Q28">
            <v>2257.0299999999997</v>
          </cell>
        </row>
        <row r="29">
          <cell r="L29">
            <v>37000</v>
          </cell>
          <cell r="M29">
            <v>19722.359999999997</v>
          </cell>
          <cell r="N29">
            <v>1891.7200000000003</v>
          </cell>
          <cell r="O29">
            <v>11989.35</v>
          </cell>
          <cell r="P29">
            <v>3584.2599999999998</v>
          </cell>
          <cell r="Q29">
            <v>2257.0299999999997</v>
          </cell>
        </row>
        <row r="30">
          <cell r="L30">
            <v>37001</v>
          </cell>
          <cell r="M30">
            <v>19722.359999999997</v>
          </cell>
          <cell r="N30">
            <v>1891.7200000000003</v>
          </cell>
          <cell r="O30">
            <v>11989.35</v>
          </cell>
          <cell r="P30">
            <v>3584.2599999999998</v>
          </cell>
          <cell r="Q30">
            <v>2257.0299999999997</v>
          </cell>
        </row>
        <row r="31">
          <cell r="L31">
            <v>37002</v>
          </cell>
          <cell r="M31">
            <v>19722.359999999997</v>
          </cell>
          <cell r="N31">
            <v>1891.7200000000003</v>
          </cell>
          <cell r="O31">
            <v>11989.35</v>
          </cell>
          <cell r="P31">
            <v>3584.2599999999998</v>
          </cell>
          <cell r="Q31">
            <v>2257.0299999999997</v>
          </cell>
        </row>
        <row r="32">
          <cell r="L32">
            <v>37003</v>
          </cell>
          <cell r="M32">
            <v>19722.359999999997</v>
          </cell>
          <cell r="N32">
            <v>1891.7200000000003</v>
          </cell>
          <cell r="O32">
            <v>11989.35</v>
          </cell>
          <cell r="P32">
            <v>3584.2599999999998</v>
          </cell>
          <cell r="Q32">
            <v>2257.0299999999997</v>
          </cell>
        </row>
        <row r="33">
          <cell r="L33">
            <v>37004</v>
          </cell>
          <cell r="M33">
            <v>19722.359999999997</v>
          </cell>
          <cell r="N33">
            <v>1891.7200000000003</v>
          </cell>
          <cell r="O33">
            <v>11989.35</v>
          </cell>
          <cell r="P33">
            <v>3584.2599999999998</v>
          </cell>
          <cell r="Q33">
            <v>2257.0299999999997</v>
          </cell>
        </row>
        <row r="34">
          <cell r="L34">
            <v>37005</v>
          </cell>
          <cell r="M34">
            <v>28891.449999999997</v>
          </cell>
          <cell r="N34">
            <v>2692.0200000000004</v>
          </cell>
          <cell r="O34">
            <v>18162.59</v>
          </cell>
          <cell r="P34">
            <v>4433.42</v>
          </cell>
          <cell r="Q34">
            <v>3603.4199999999996</v>
          </cell>
        </row>
        <row r="35">
          <cell r="L35">
            <v>37006</v>
          </cell>
          <cell r="M35">
            <v>28891.449999999997</v>
          </cell>
          <cell r="N35">
            <v>2692.0200000000004</v>
          </cell>
          <cell r="O35">
            <v>18162.59</v>
          </cell>
          <cell r="P35">
            <v>4433.42</v>
          </cell>
          <cell r="Q35">
            <v>3603.4199999999996</v>
          </cell>
        </row>
        <row r="36">
          <cell r="L36">
            <v>37007</v>
          </cell>
          <cell r="M36">
            <v>28891.449999999997</v>
          </cell>
          <cell r="N36">
            <v>2692.0200000000004</v>
          </cell>
          <cell r="O36">
            <v>18162.59</v>
          </cell>
          <cell r="P36">
            <v>4433.42</v>
          </cell>
          <cell r="Q36">
            <v>3603.4199999999996</v>
          </cell>
        </row>
        <row r="37">
          <cell r="L37">
            <v>37008</v>
          </cell>
          <cell r="M37">
            <v>28891.449999999997</v>
          </cell>
          <cell r="N37">
            <v>2692.0200000000004</v>
          </cell>
          <cell r="O37">
            <v>18162.59</v>
          </cell>
          <cell r="P37">
            <v>4433.42</v>
          </cell>
          <cell r="Q37">
            <v>3603.4199999999996</v>
          </cell>
        </row>
        <row r="38">
          <cell r="L38">
            <v>37009</v>
          </cell>
          <cell r="M38">
            <v>64135.969999999987</v>
          </cell>
          <cell r="N38">
            <v>4030.9200000000005</v>
          </cell>
          <cell r="O38">
            <v>51273.599999999991</v>
          </cell>
          <cell r="P38">
            <v>4433.42</v>
          </cell>
          <cell r="Q38">
            <v>4398.03</v>
          </cell>
        </row>
        <row r="39">
          <cell r="L39">
            <v>37010</v>
          </cell>
          <cell r="M39">
            <v>64135.969999999987</v>
          </cell>
          <cell r="N39">
            <v>4030.9200000000005</v>
          </cell>
          <cell r="O39">
            <v>51273.599999999991</v>
          </cell>
          <cell r="P39">
            <v>4433.42</v>
          </cell>
          <cell r="Q39">
            <v>4398.03</v>
          </cell>
        </row>
        <row r="40">
          <cell r="L40">
            <v>37011</v>
          </cell>
          <cell r="M40">
            <v>64135.969999999987</v>
          </cell>
          <cell r="N40">
            <v>4030.9200000000005</v>
          </cell>
          <cell r="O40">
            <v>51273.599999999991</v>
          </cell>
          <cell r="P40">
            <v>4433.42</v>
          </cell>
          <cell r="Q40">
            <v>4398.03</v>
          </cell>
        </row>
        <row r="41">
          <cell r="L41">
            <v>37012</v>
          </cell>
          <cell r="M41">
            <v>64135.969999999987</v>
          </cell>
          <cell r="N41">
            <v>4030.9200000000005</v>
          </cell>
          <cell r="O41">
            <v>51273.599999999991</v>
          </cell>
          <cell r="P41">
            <v>4433.42</v>
          </cell>
          <cell r="Q41">
            <v>4398.03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Parameters"/>
      <sheetName val="Summa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>
        <row r="11">
          <cell r="B11">
            <v>36708</v>
          </cell>
          <cell r="D11">
            <v>500.2</v>
          </cell>
          <cell r="F11">
            <v>0</v>
          </cell>
          <cell r="G11">
            <v>500.2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</row>
        <row r="12">
          <cell r="B12">
            <v>36709</v>
          </cell>
          <cell r="D12">
            <v>11185.37</v>
          </cell>
          <cell r="F12">
            <v>2669.51</v>
          </cell>
          <cell r="G12">
            <v>1868.06</v>
          </cell>
          <cell r="H12">
            <v>114.1</v>
          </cell>
          <cell r="I12">
            <v>909.05</v>
          </cell>
          <cell r="J12">
            <v>1687.5</v>
          </cell>
          <cell r="K12">
            <v>1153.6500000000001</v>
          </cell>
          <cell r="L12">
            <v>2783.5</v>
          </cell>
          <cell r="M12">
            <v>0</v>
          </cell>
        </row>
        <row r="13">
          <cell r="B13">
            <v>36710</v>
          </cell>
          <cell r="D13">
            <v>7687.42</v>
          </cell>
          <cell r="F13">
            <v>1207.95</v>
          </cell>
          <cell r="G13">
            <v>279.95999999999998</v>
          </cell>
          <cell r="H13">
            <v>75</v>
          </cell>
          <cell r="I13">
            <v>297.25</v>
          </cell>
          <cell r="J13">
            <v>2229.6999999999998</v>
          </cell>
          <cell r="K13">
            <v>629.05999999999995</v>
          </cell>
          <cell r="L13">
            <v>2968.5</v>
          </cell>
          <cell r="M13">
            <v>0</v>
          </cell>
        </row>
        <row r="14">
          <cell r="B14">
            <v>36711</v>
          </cell>
          <cell r="D14">
            <v>5268.16</v>
          </cell>
          <cell r="F14">
            <v>2325.0299999999997</v>
          </cell>
          <cell r="G14">
            <v>643.78</v>
          </cell>
          <cell r="H14">
            <v>0</v>
          </cell>
          <cell r="I14">
            <v>277.68</v>
          </cell>
          <cell r="J14">
            <v>1055.5</v>
          </cell>
          <cell r="K14">
            <v>464.87</v>
          </cell>
          <cell r="L14">
            <v>501.3</v>
          </cell>
          <cell r="M14">
            <v>0</v>
          </cell>
        </row>
        <row r="15">
          <cell r="B15">
            <v>36712</v>
          </cell>
          <cell r="D15">
            <v>4212.7999999999993</v>
          </cell>
          <cell r="F15">
            <v>31.479999999999997</v>
          </cell>
          <cell r="G15">
            <v>600.16999999999996</v>
          </cell>
          <cell r="H15">
            <v>0</v>
          </cell>
          <cell r="I15">
            <v>193.7</v>
          </cell>
          <cell r="J15">
            <v>973.7</v>
          </cell>
          <cell r="K15">
            <v>312.58000000000004</v>
          </cell>
          <cell r="L15">
            <v>2101.1699999999996</v>
          </cell>
          <cell r="M15">
            <v>0</v>
          </cell>
        </row>
        <row r="16">
          <cell r="B16">
            <v>36713</v>
          </cell>
          <cell r="D16">
            <v>7559.47</v>
          </cell>
          <cell r="F16">
            <v>1600.79</v>
          </cell>
          <cell r="G16">
            <v>3184.1299999999997</v>
          </cell>
          <cell r="H16">
            <v>75</v>
          </cell>
          <cell r="I16">
            <v>319.09000000000003</v>
          </cell>
          <cell r="J16">
            <v>1216.5</v>
          </cell>
          <cell r="K16">
            <v>383.92999999999995</v>
          </cell>
          <cell r="L16">
            <v>780.03</v>
          </cell>
          <cell r="M16">
            <v>0</v>
          </cell>
        </row>
        <row r="17">
          <cell r="B17">
            <v>36714</v>
          </cell>
          <cell r="D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</row>
        <row r="18">
          <cell r="B18">
            <v>36715</v>
          </cell>
          <cell r="D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</row>
        <row r="19">
          <cell r="B19">
            <v>36716</v>
          </cell>
          <cell r="D19">
            <v>4348.0200000000004</v>
          </cell>
          <cell r="F19">
            <v>114.16</v>
          </cell>
          <cell r="G19">
            <v>273.79000000000002</v>
          </cell>
          <cell r="H19">
            <v>33.6</v>
          </cell>
          <cell r="I19">
            <v>605.37</v>
          </cell>
          <cell r="J19">
            <v>127.80000000000001</v>
          </cell>
          <cell r="K19">
            <v>851.32</v>
          </cell>
          <cell r="L19">
            <v>2341.98</v>
          </cell>
          <cell r="M19">
            <v>0</v>
          </cell>
        </row>
        <row r="20">
          <cell r="B20">
            <v>36717</v>
          </cell>
          <cell r="D20">
            <v>7927.5</v>
          </cell>
          <cell r="F20">
            <v>695.5200000000001</v>
          </cell>
          <cell r="G20">
            <v>1212.6299999999999</v>
          </cell>
          <cell r="H20">
            <v>125</v>
          </cell>
          <cell r="I20">
            <v>178.97</v>
          </cell>
          <cell r="J20">
            <v>1378</v>
          </cell>
          <cell r="K20">
            <v>802.19</v>
          </cell>
          <cell r="L20">
            <v>3535.1900000000005</v>
          </cell>
          <cell r="M20">
            <v>0</v>
          </cell>
        </row>
        <row r="21">
          <cell r="B21">
            <v>36718</v>
          </cell>
          <cell r="D21">
            <v>1861.65</v>
          </cell>
          <cell r="F21">
            <v>223.96</v>
          </cell>
          <cell r="G21">
            <v>317.27999999999997</v>
          </cell>
          <cell r="H21">
            <v>0</v>
          </cell>
          <cell r="I21">
            <v>0</v>
          </cell>
          <cell r="J21">
            <v>722.9</v>
          </cell>
          <cell r="K21">
            <v>279.64999999999998</v>
          </cell>
          <cell r="L21">
            <v>317.86</v>
          </cell>
          <cell r="M21">
            <v>0</v>
          </cell>
        </row>
        <row r="22">
          <cell r="B22">
            <v>36719</v>
          </cell>
          <cell r="D22">
            <v>8664.57</v>
          </cell>
          <cell r="F22">
            <v>2207.7399999999998</v>
          </cell>
          <cell r="G22">
            <v>2624.72</v>
          </cell>
          <cell r="H22">
            <v>0</v>
          </cell>
          <cell r="I22">
            <v>389.51</v>
          </cell>
          <cell r="J22">
            <v>1121.9000000000001</v>
          </cell>
          <cell r="K22">
            <v>112.14</v>
          </cell>
          <cell r="L22">
            <v>2208.56</v>
          </cell>
          <cell r="M22">
            <v>0</v>
          </cell>
        </row>
        <row r="23">
          <cell r="B23">
            <v>36720</v>
          </cell>
          <cell r="D23">
            <v>2923.94</v>
          </cell>
          <cell r="F23">
            <v>150.36000000000001</v>
          </cell>
          <cell r="G23">
            <v>815.1</v>
          </cell>
          <cell r="H23">
            <v>75</v>
          </cell>
          <cell r="I23">
            <v>300.10000000000002</v>
          </cell>
          <cell r="J23">
            <v>0</v>
          </cell>
          <cell r="K23">
            <v>473.36</v>
          </cell>
          <cell r="L23">
            <v>1110.02</v>
          </cell>
          <cell r="M23">
            <v>0</v>
          </cell>
        </row>
        <row r="24">
          <cell r="B24">
            <v>36721</v>
          </cell>
          <cell r="D24">
            <v>3681.7</v>
          </cell>
          <cell r="F24">
            <v>1010.0699999999999</v>
          </cell>
          <cell r="G24">
            <v>643.03</v>
          </cell>
          <cell r="H24">
            <v>0</v>
          </cell>
          <cell r="I24">
            <v>0</v>
          </cell>
          <cell r="J24">
            <v>1000.9000000000001</v>
          </cell>
          <cell r="K24">
            <v>60</v>
          </cell>
          <cell r="L24">
            <v>967.7</v>
          </cell>
          <cell r="M24">
            <v>0</v>
          </cell>
        </row>
        <row r="25">
          <cell r="B25">
            <v>36722</v>
          </cell>
          <cell r="D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</row>
        <row r="26">
          <cell r="B26">
            <v>36723</v>
          </cell>
          <cell r="D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</row>
        <row r="27">
          <cell r="B27">
            <v>36724</v>
          </cell>
          <cell r="D27">
            <v>4312.7599999999993</v>
          </cell>
          <cell r="F27">
            <v>631.20999999999992</v>
          </cell>
          <cell r="G27">
            <v>523.32000000000005</v>
          </cell>
          <cell r="H27">
            <v>172</v>
          </cell>
          <cell r="I27">
            <v>739.05</v>
          </cell>
          <cell r="J27">
            <v>647.20000000000005</v>
          </cell>
          <cell r="K27">
            <v>1113.58</v>
          </cell>
          <cell r="L27">
            <v>486.4</v>
          </cell>
          <cell r="M27">
            <v>0</v>
          </cell>
        </row>
        <row r="28">
          <cell r="B28">
            <v>36725</v>
          </cell>
          <cell r="D28">
            <v>2980.24</v>
          </cell>
          <cell r="F28">
            <v>104.79</v>
          </cell>
          <cell r="G28">
            <v>34.549999999999997</v>
          </cell>
          <cell r="H28">
            <v>0</v>
          </cell>
          <cell r="I28">
            <v>0</v>
          </cell>
          <cell r="J28">
            <v>951.1</v>
          </cell>
          <cell r="K28">
            <v>187.82</v>
          </cell>
          <cell r="L28">
            <v>1701.98</v>
          </cell>
          <cell r="M28">
            <v>0</v>
          </cell>
        </row>
        <row r="29">
          <cell r="B29">
            <v>36726</v>
          </cell>
          <cell r="D29">
            <v>4725.45</v>
          </cell>
          <cell r="F29">
            <v>1303.3699999999999</v>
          </cell>
          <cell r="G29">
            <v>589.97</v>
          </cell>
          <cell r="H29">
            <v>0</v>
          </cell>
          <cell r="I29">
            <v>390.51</v>
          </cell>
          <cell r="J29">
            <v>1342.3999999999999</v>
          </cell>
          <cell r="K29">
            <v>371.25</v>
          </cell>
          <cell r="L29">
            <v>727.94999999999993</v>
          </cell>
          <cell r="M29">
            <v>0</v>
          </cell>
        </row>
        <row r="30">
          <cell r="B30">
            <v>36727</v>
          </cell>
          <cell r="D30">
            <v>7409.07</v>
          </cell>
          <cell r="F30">
            <v>369.74000000000007</v>
          </cell>
          <cell r="G30">
            <v>2018.96</v>
          </cell>
          <cell r="H30">
            <v>0</v>
          </cell>
          <cell r="I30">
            <v>193.04000000000002</v>
          </cell>
          <cell r="J30">
            <v>2843.42</v>
          </cell>
          <cell r="K30">
            <v>274.41000000000003</v>
          </cell>
          <cell r="L30">
            <v>1709.5</v>
          </cell>
          <cell r="M30">
            <v>0</v>
          </cell>
        </row>
        <row r="31">
          <cell r="B31">
            <v>36728</v>
          </cell>
          <cell r="D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</row>
        <row r="32">
          <cell r="B32">
            <v>36729</v>
          </cell>
          <cell r="D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</row>
        <row r="33">
          <cell r="B33">
            <v>36730</v>
          </cell>
          <cell r="D33">
            <v>7647.4</v>
          </cell>
          <cell r="F33">
            <v>933.45999999999992</v>
          </cell>
          <cell r="G33">
            <v>1081.97</v>
          </cell>
          <cell r="H33">
            <v>349.21000000000004</v>
          </cell>
          <cell r="I33">
            <v>455.28</v>
          </cell>
          <cell r="J33">
            <v>886.3</v>
          </cell>
          <cell r="K33">
            <v>1403.1</v>
          </cell>
          <cell r="L33">
            <v>2538.08</v>
          </cell>
          <cell r="M33">
            <v>0</v>
          </cell>
        </row>
        <row r="34">
          <cell r="B34">
            <v>36731</v>
          </cell>
          <cell r="D34">
            <v>5548.57</v>
          </cell>
          <cell r="F34">
            <v>409.99</v>
          </cell>
          <cell r="G34">
            <v>1611.05</v>
          </cell>
          <cell r="H34">
            <v>0</v>
          </cell>
          <cell r="I34">
            <v>0</v>
          </cell>
          <cell r="J34">
            <v>1305.8000000000002</v>
          </cell>
          <cell r="K34">
            <v>0</v>
          </cell>
          <cell r="L34">
            <v>2221.73</v>
          </cell>
          <cell r="M34">
            <v>0</v>
          </cell>
        </row>
        <row r="35">
          <cell r="B35">
            <v>36732</v>
          </cell>
          <cell r="D35">
            <v>4575.87</v>
          </cell>
          <cell r="F35">
            <v>946.84</v>
          </cell>
          <cell r="G35">
            <v>1058.76</v>
          </cell>
          <cell r="H35">
            <v>0</v>
          </cell>
          <cell r="I35">
            <v>707.89</v>
          </cell>
          <cell r="J35">
            <v>858.3</v>
          </cell>
          <cell r="K35">
            <v>727.68000000000006</v>
          </cell>
          <cell r="L35">
            <v>276.39999999999998</v>
          </cell>
          <cell r="M35">
            <v>0</v>
          </cell>
        </row>
        <row r="36">
          <cell r="B36">
            <v>36733</v>
          </cell>
          <cell r="D36">
            <v>3208.36</v>
          </cell>
          <cell r="F36">
            <v>617.72</v>
          </cell>
          <cell r="G36">
            <v>165.24</v>
          </cell>
          <cell r="H36">
            <v>150</v>
          </cell>
          <cell r="I36">
            <v>43.05</v>
          </cell>
          <cell r="J36">
            <v>894.96999999999991</v>
          </cell>
          <cell r="K36">
            <v>484.38</v>
          </cell>
          <cell r="L36">
            <v>853</v>
          </cell>
          <cell r="M36">
            <v>0</v>
          </cell>
        </row>
        <row r="37">
          <cell r="B37">
            <v>36734</v>
          </cell>
          <cell r="D37">
            <v>8882.33</v>
          </cell>
          <cell r="F37">
            <v>1235.3699999999999</v>
          </cell>
          <cell r="G37">
            <v>1591.99</v>
          </cell>
          <cell r="H37">
            <v>58.5</v>
          </cell>
          <cell r="I37">
            <v>3.83</v>
          </cell>
          <cell r="J37">
            <v>1765.4</v>
          </cell>
          <cell r="K37">
            <v>163.24</v>
          </cell>
          <cell r="L37">
            <v>4064</v>
          </cell>
          <cell r="M37">
            <v>0</v>
          </cell>
        </row>
        <row r="38">
          <cell r="B38">
            <v>36735</v>
          </cell>
          <cell r="D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</row>
        <row r="39">
          <cell r="B39">
            <v>36736</v>
          </cell>
          <cell r="D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</row>
        <row r="40">
          <cell r="B40">
            <v>36737</v>
          </cell>
          <cell r="D40">
            <v>5629.6900000000005</v>
          </cell>
          <cell r="F40">
            <v>700.33</v>
          </cell>
          <cell r="G40">
            <v>463.76</v>
          </cell>
          <cell r="H40">
            <v>185.5</v>
          </cell>
          <cell r="I40">
            <v>3.83</v>
          </cell>
          <cell r="J40">
            <v>1877.76</v>
          </cell>
          <cell r="K40">
            <v>1393.7</v>
          </cell>
          <cell r="L40">
            <v>1004.81</v>
          </cell>
          <cell r="M40">
            <v>0</v>
          </cell>
        </row>
        <row r="41">
          <cell r="B41">
            <v>36738</v>
          </cell>
          <cell r="D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QAA_DR"/>
      <definedName name="QAA_SR"/>
    </definedNames>
    <sheetDataSet>
      <sheetData sheetId="0"/>
      <sheetData sheetId="1"/>
      <sheetData sheetId="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yFormat"/>
      <sheetName val="Scrapbook"/>
      <sheetName val="AutoFormat"/>
      <sheetName val="SheetPicture"/>
      <sheetName val="LsAgXLB"/>
    </sheetNames>
    <definedNames>
      <definedName name="AG_SMR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5.bin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6.bin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"/>
  <sheetViews>
    <sheetView workbookViewId="0">
      <selection sqref="A1:B197"/>
    </sheetView>
  </sheetViews>
  <sheetFormatPr defaultRowHeight="12.75" x14ac:dyDescent="0.2"/>
  <sheetData/>
  <pageMargins left="0.7" right="0.7" top="0.75" bottom="0.75" header="0.3" footer="0.3"/>
  <customProperties>
    <customPr name="QAA_DRILLPATH_NODE_ID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autoPageBreaks="0"/>
  </sheetPr>
  <dimension ref="A1:CG897"/>
  <sheetViews>
    <sheetView showGridLines="0" view="pageBreakPreview" zoomScale="70" zoomScaleNormal="75" zoomScaleSheetLayoutView="70" workbookViewId="0">
      <pane xSplit="3" ySplit="2" topLeftCell="D198" activePane="bottomRight" state="frozen"/>
      <selection pane="topRight" activeCell="F1" sqref="F1"/>
      <selection pane="bottomLeft" activeCell="A3" sqref="A3"/>
      <selection pane="bottomRight" activeCell="C173" sqref="C173"/>
    </sheetView>
  </sheetViews>
  <sheetFormatPr defaultColWidth="9.140625" defaultRowHeight="15.75" x14ac:dyDescent="0.25"/>
  <cols>
    <col min="1" max="1" width="4.42578125" style="17" hidden="1" customWidth="1"/>
    <col min="2" max="2" width="9.85546875" style="17" customWidth="1"/>
    <col min="3" max="3" width="70.85546875" style="17" bestFit="1" customWidth="1"/>
    <col min="4" max="36" width="4.42578125" style="16" customWidth="1"/>
    <col min="37" max="37" width="4.42578125" style="18" customWidth="1"/>
    <col min="38" max="53" width="4.42578125" style="16" customWidth="1"/>
    <col min="54" max="57" width="4.42578125" style="17" customWidth="1"/>
    <col min="58" max="16384" width="9.140625" style="17"/>
  </cols>
  <sheetData>
    <row r="1" spans="1:85" s="20" customFormat="1" ht="51" customHeight="1" x14ac:dyDescent="0.2">
      <c r="B1" s="21"/>
      <c r="C1" s="48" t="s">
        <v>1618</v>
      </c>
      <c r="D1" s="15">
        <v>1000</v>
      </c>
      <c r="E1" s="15" t="s">
        <v>1570</v>
      </c>
      <c r="F1" s="15" t="s">
        <v>1571</v>
      </c>
      <c r="G1" s="15" t="s">
        <v>1572</v>
      </c>
      <c r="H1" s="15" t="s">
        <v>1573</v>
      </c>
      <c r="I1" s="15" t="s">
        <v>870</v>
      </c>
      <c r="J1" s="15" t="s">
        <v>1574</v>
      </c>
      <c r="K1" s="15" t="s">
        <v>1575</v>
      </c>
      <c r="L1" s="15" t="s">
        <v>1576</v>
      </c>
      <c r="M1" s="15"/>
      <c r="N1" s="15">
        <v>2000</v>
      </c>
      <c r="O1" s="15">
        <v>2100</v>
      </c>
      <c r="P1" s="15">
        <v>2200</v>
      </c>
      <c r="Q1" s="15">
        <v>2300</v>
      </c>
      <c r="R1" s="15">
        <v>2400</v>
      </c>
      <c r="S1" s="15">
        <v>2500</v>
      </c>
      <c r="T1" s="15">
        <v>2600</v>
      </c>
      <c r="U1" s="15">
        <v>2700</v>
      </c>
      <c r="V1" s="15">
        <v>2800</v>
      </c>
      <c r="W1" s="15">
        <v>2900</v>
      </c>
      <c r="X1" s="15">
        <v>3000</v>
      </c>
      <c r="Y1" s="15">
        <v>3100</v>
      </c>
      <c r="Z1" s="15">
        <v>3200</v>
      </c>
      <c r="AA1" s="15">
        <v>3300</v>
      </c>
      <c r="AB1" s="15">
        <v>3400</v>
      </c>
      <c r="AC1" s="15">
        <v>3500</v>
      </c>
      <c r="AD1" s="15" t="s">
        <v>1577</v>
      </c>
      <c r="AE1" s="15">
        <v>4000</v>
      </c>
      <c r="AF1" s="41" t="s">
        <v>907</v>
      </c>
      <c r="AG1" s="41" t="s">
        <v>909</v>
      </c>
      <c r="AH1" s="15" t="s">
        <v>911</v>
      </c>
      <c r="AI1" s="15" t="s">
        <v>912</v>
      </c>
      <c r="AJ1" s="15" t="s">
        <v>913</v>
      </c>
      <c r="AK1" s="15" t="s">
        <v>914</v>
      </c>
      <c r="AL1" s="15"/>
      <c r="AM1" s="15" t="s">
        <v>915</v>
      </c>
      <c r="AN1" s="15" t="s">
        <v>916</v>
      </c>
      <c r="AO1" s="15" t="s">
        <v>1578</v>
      </c>
      <c r="AP1" s="15" t="s">
        <v>1579</v>
      </c>
      <c r="AQ1" s="41" t="s">
        <v>918</v>
      </c>
      <c r="AR1" s="15" t="s">
        <v>1580</v>
      </c>
      <c r="AS1" s="15" t="s">
        <v>1581</v>
      </c>
      <c r="AT1" s="15" t="s">
        <v>1582</v>
      </c>
      <c r="AU1" s="15" t="s">
        <v>1583</v>
      </c>
      <c r="AV1" s="15" t="s">
        <v>1584</v>
      </c>
      <c r="AW1" s="15" t="s">
        <v>919</v>
      </c>
      <c r="AX1" s="15" t="s">
        <v>920</v>
      </c>
      <c r="AY1" s="15" t="s">
        <v>921</v>
      </c>
      <c r="AZ1" s="15" t="s">
        <v>922</v>
      </c>
      <c r="BA1" s="15" t="s">
        <v>929</v>
      </c>
      <c r="BB1" s="15" t="s">
        <v>932</v>
      </c>
      <c r="BC1" s="15" t="s">
        <v>1585</v>
      </c>
      <c r="BD1" s="15" t="s">
        <v>1586</v>
      </c>
      <c r="BE1" s="36">
        <v>9000</v>
      </c>
    </row>
    <row r="2" spans="1:85" s="22" customFormat="1" ht="135.94999999999999" customHeight="1" x14ac:dyDescent="0.2">
      <c r="B2" s="23" t="s">
        <v>935</v>
      </c>
      <c r="C2" s="49" t="s">
        <v>936</v>
      </c>
      <c r="D2" s="19" t="s">
        <v>1587</v>
      </c>
      <c r="E2" s="19" t="s">
        <v>1588</v>
      </c>
      <c r="F2" s="19" t="s">
        <v>1589</v>
      </c>
      <c r="G2" s="19" t="s">
        <v>1590</v>
      </c>
      <c r="H2" s="19" t="s">
        <v>1591</v>
      </c>
      <c r="I2" s="19" t="s">
        <v>1592</v>
      </c>
      <c r="J2" s="19" t="s">
        <v>1593</v>
      </c>
      <c r="K2" s="19" t="s">
        <v>1594</v>
      </c>
      <c r="L2" s="19" t="s">
        <v>1595</v>
      </c>
      <c r="M2" s="19"/>
      <c r="N2" s="19" t="s">
        <v>874</v>
      </c>
      <c r="O2" s="19" t="s">
        <v>1596</v>
      </c>
      <c r="P2" s="19" t="s">
        <v>878</v>
      </c>
      <c r="Q2" s="19" t="s">
        <v>1597</v>
      </c>
      <c r="R2" s="19" t="s">
        <v>886</v>
      </c>
      <c r="S2" s="19" t="s">
        <v>1598</v>
      </c>
      <c r="T2" s="19" t="s">
        <v>1599</v>
      </c>
      <c r="U2" s="19" t="s">
        <v>1600</v>
      </c>
      <c r="V2" s="19" t="s">
        <v>1601</v>
      </c>
      <c r="W2" s="19" t="s">
        <v>1602</v>
      </c>
      <c r="X2" s="19" t="s">
        <v>1603</v>
      </c>
      <c r="Y2" s="19" t="s">
        <v>1604</v>
      </c>
      <c r="Z2" s="19" t="s">
        <v>1605</v>
      </c>
      <c r="AA2" s="19" t="s">
        <v>1606</v>
      </c>
      <c r="AB2" s="19" t="s">
        <v>1607</v>
      </c>
      <c r="AC2" s="19" t="s">
        <v>1608</v>
      </c>
      <c r="AD2" s="19" t="s">
        <v>1609</v>
      </c>
      <c r="AE2" s="19" t="s">
        <v>1610</v>
      </c>
      <c r="AF2" s="40" t="s">
        <v>1611</v>
      </c>
      <c r="AG2" s="40" t="s">
        <v>1612</v>
      </c>
      <c r="AH2" s="19" t="s">
        <v>1613</v>
      </c>
      <c r="AI2" s="19" t="s">
        <v>217</v>
      </c>
      <c r="AJ2" s="19" t="s">
        <v>1614</v>
      </c>
      <c r="AK2" s="19" t="s">
        <v>910</v>
      </c>
      <c r="AL2" s="19"/>
      <c r="AM2" s="19" t="s">
        <v>908</v>
      </c>
      <c r="AN2" s="19" t="s">
        <v>218</v>
      </c>
      <c r="AO2" s="19" t="s">
        <v>220</v>
      </c>
      <c r="AP2" s="19" t="s">
        <v>917</v>
      </c>
      <c r="AQ2" s="40" t="s">
        <v>1615</v>
      </c>
      <c r="AR2" s="19" t="s">
        <v>169</v>
      </c>
      <c r="AS2" s="19" t="s">
        <v>168</v>
      </c>
      <c r="AT2" s="19" t="s">
        <v>167</v>
      </c>
      <c r="AU2" s="19" t="s">
        <v>166</v>
      </c>
      <c r="AV2" s="19" t="s">
        <v>160</v>
      </c>
      <c r="AW2" s="19" t="s">
        <v>924</v>
      </c>
      <c r="AX2" s="19" t="s">
        <v>1616</v>
      </c>
      <c r="AY2" s="19" t="s">
        <v>165</v>
      </c>
      <c r="AZ2" s="19" t="s">
        <v>164</v>
      </c>
      <c r="BA2" s="19" t="s">
        <v>223</v>
      </c>
      <c r="BB2" s="19" t="s">
        <v>1617</v>
      </c>
      <c r="BC2" s="19" t="s">
        <v>282</v>
      </c>
      <c r="BD2" s="19" t="s">
        <v>233</v>
      </c>
      <c r="BE2" s="37" t="s">
        <v>934</v>
      </c>
    </row>
    <row r="3" spans="1:85" ht="16.5" customHeight="1" x14ac:dyDescent="0.25">
      <c r="A3" s="24">
        <f>COUNTIF(D3:BE3,"Y")</f>
        <v>1</v>
      </c>
      <c r="B3" s="25">
        <v>30000</v>
      </c>
      <c r="C3" s="26" t="s">
        <v>78</v>
      </c>
      <c r="D3" s="16" t="s">
        <v>243</v>
      </c>
      <c r="AF3" s="17"/>
      <c r="AK3" s="16"/>
      <c r="AQ3" s="17"/>
      <c r="BB3" s="16"/>
      <c r="BC3" s="16"/>
      <c r="BD3" s="16"/>
      <c r="BE3" s="38"/>
    </row>
    <row r="4" spans="1:85" s="13" customFormat="1" ht="16.5" customHeight="1" x14ac:dyDescent="0.25">
      <c r="A4" s="24">
        <f>COUNTIF(D4:BE4,"Y")</f>
        <v>1</v>
      </c>
      <c r="B4" s="27">
        <v>30010</v>
      </c>
      <c r="C4" s="29" t="s">
        <v>302</v>
      </c>
      <c r="D4" s="12" t="s">
        <v>243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4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</row>
    <row r="5" spans="1:85" ht="16.5" customHeight="1" x14ac:dyDescent="0.25">
      <c r="A5" s="24">
        <f>COUNTIF(D5:BE5,"Y")</f>
        <v>1</v>
      </c>
      <c r="B5" s="25">
        <v>30020</v>
      </c>
      <c r="C5" s="26" t="s">
        <v>304</v>
      </c>
      <c r="D5" s="16" t="s">
        <v>243</v>
      </c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E5" s="38"/>
    </row>
    <row r="6" spans="1:85" s="13" customFormat="1" ht="16.5" customHeight="1" x14ac:dyDescent="0.25">
      <c r="A6" s="24">
        <f>COUNTIF(D6:BE6,"Y")</f>
        <v>1</v>
      </c>
      <c r="B6" s="27">
        <v>30030</v>
      </c>
      <c r="C6" s="29" t="s">
        <v>306</v>
      </c>
      <c r="D6" s="12" t="s">
        <v>243</v>
      </c>
      <c r="BE6" s="14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</row>
    <row r="7" spans="1:85" ht="16.5" customHeight="1" x14ac:dyDescent="0.25">
      <c r="A7" s="24">
        <f>COUNTIF(D7:BE7,"Y")</f>
        <v>1</v>
      </c>
      <c r="B7" s="25">
        <v>30040</v>
      </c>
      <c r="C7" s="26" t="s">
        <v>310</v>
      </c>
      <c r="D7" s="16" t="s">
        <v>243</v>
      </c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E7" s="38"/>
    </row>
    <row r="8" spans="1:85" s="13" customFormat="1" ht="16.5" customHeight="1" x14ac:dyDescent="0.25">
      <c r="A8" s="24">
        <f t="shared" ref="A8:A19" si="0">COUNTIF(D9:BE9,"Y")</f>
        <v>1</v>
      </c>
      <c r="B8" s="25">
        <v>30050</v>
      </c>
      <c r="C8" s="13" t="s">
        <v>1459</v>
      </c>
      <c r="D8" s="42" t="s">
        <v>243</v>
      </c>
      <c r="BE8" s="14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</row>
    <row r="9" spans="1:85" ht="16.5" customHeight="1" x14ac:dyDescent="0.25">
      <c r="A9" s="24">
        <f t="shared" si="0"/>
        <v>1</v>
      </c>
      <c r="B9" s="25">
        <v>30060</v>
      </c>
      <c r="C9" s="26" t="s">
        <v>312</v>
      </c>
      <c r="D9" s="16" t="s">
        <v>243</v>
      </c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E9" s="38"/>
    </row>
    <row r="10" spans="1:85" s="13" customFormat="1" ht="16.5" customHeight="1" x14ac:dyDescent="0.25">
      <c r="A10" s="24">
        <f t="shared" si="0"/>
        <v>13</v>
      </c>
      <c r="B10" s="27">
        <v>30099</v>
      </c>
      <c r="C10" s="29" t="s">
        <v>242</v>
      </c>
      <c r="D10" s="12" t="s">
        <v>243</v>
      </c>
      <c r="BE10" s="14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</row>
    <row r="11" spans="1:85" ht="16.5" customHeight="1" x14ac:dyDescent="0.25">
      <c r="A11" s="24">
        <f t="shared" si="0"/>
        <v>13</v>
      </c>
      <c r="B11" s="25">
        <v>30100</v>
      </c>
      <c r="C11" s="26" t="s">
        <v>79</v>
      </c>
      <c r="R11" s="16" t="s">
        <v>243</v>
      </c>
      <c r="S11" s="16" t="s">
        <v>243</v>
      </c>
      <c r="T11" s="16" t="s">
        <v>243</v>
      </c>
      <c r="U11" s="16" t="s">
        <v>243</v>
      </c>
      <c r="V11" s="16" t="s">
        <v>243</v>
      </c>
      <c r="W11" s="16" t="s">
        <v>243</v>
      </c>
      <c r="X11" s="16" t="s">
        <v>243</v>
      </c>
      <c r="Y11" s="16" t="s">
        <v>243</v>
      </c>
      <c r="Z11" s="16" t="s">
        <v>243</v>
      </c>
      <c r="AA11" s="16" t="s">
        <v>243</v>
      </c>
      <c r="AB11" s="16" t="s">
        <v>243</v>
      </c>
      <c r="AC11" s="16" t="s">
        <v>243</v>
      </c>
      <c r="AD11" s="16" t="s">
        <v>243</v>
      </c>
      <c r="AF11" s="17"/>
      <c r="AK11" s="16"/>
      <c r="AQ11" s="17"/>
      <c r="BB11" s="16"/>
      <c r="BC11" s="16"/>
      <c r="BD11" s="16"/>
      <c r="BE11" s="38"/>
    </row>
    <row r="12" spans="1:85" s="13" customFormat="1" ht="16.5" customHeight="1" x14ac:dyDescent="0.25">
      <c r="A12" s="24">
        <f t="shared" si="0"/>
        <v>13</v>
      </c>
      <c r="B12" s="27">
        <v>30199</v>
      </c>
      <c r="C12" s="29" t="s">
        <v>1460</v>
      </c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 t="s">
        <v>243</v>
      </c>
      <c r="S12" s="12" t="s">
        <v>243</v>
      </c>
      <c r="T12" s="12" t="s">
        <v>243</v>
      </c>
      <c r="U12" s="12" t="s">
        <v>243</v>
      </c>
      <c r="V12" s="12" t="s">
        <v>243</v>
      </c>
      <c r="W12" s="12" t="s">
        <v>243</v>
      </c>
      <c r="X12" s="12" t="s">
        <v>243</v>
      </c>
      <c r="Y12" s="12" t="s">
        <v>243</v>
      </c>
      <c r="Z12" s="12" t="s">
        <v>243</v>
      </c>
      <c r="AA12" s="12" t="s">
        <v>243</v>
      </c>
      <c r="AB12" s="12" t="s">
        <v>243</v>
      </c>
      <c r="AC12" s="12" t="s">
        <v>243</v>
      </c>
      <c r="AD12" s="12" t="s">
        <v>243</v>
      </c>
      <c r="AE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4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</row>
    <row r="13" spans="1:85" ht="16.5" customHeight="1" x14ac:dyDescent="0.25">
      <c r="A13" s="24">
        <f t="shared" si="0"/>
        <v>13</v>
      </c>
      <c r="B13" s="25">
        <v>30200</v>
      </c>
      <c r="C13" s="26" t="s">
        <v>1461</v>
      </c>
      <c r="R13" s="16" t="s">
        <v>243</v>
      </c>
      <c r="S13" s="16" t="s">
        <v>243</v>
      </c>
      <c r="T13" s="16" t="s">
        <v>243</v>
      </c>
      <c r="U13" s="16" t="s">
        <v>243</v>
      </c>
      <c r="V13" s="16" t="s">
        <v>243</v>
      </c>
      <c r="W13" s="16" t="s">
        <v>243</v>
      </c>
      <c r="X13" s="16" t="s">
        <v>243</v>
      </c>
      <c r="Y13" s="16" t="s">
        <v>243</v>
      </c>
      <c r="Z13" s="16" t="s">
        <v>243</v>
      </c>
      <c r="AA13" s="16" t="s">
        <v>243</v>
      </c>
      <c r="AB13" s="16" t="s">
        <v>243</v>
      </c>
      <c r="AC13" s="16" t="s">
        <v>243</v>
      </c>
      <c r="AD13" s="16" t="s">
        <v>243</v>
      </c>
      <c r="AF13" s="17"/>
      <c r="AK13" s="16"/>
      <c r="AQ13" s="17"/>
      <c r="BB13" s="16"/>
      <c r="BC13" s="16"/>
      <c r="BD13" s="16"/>
      <c r="BE13" s="38"/>
    </row>
    <row r="14" spans="1:85" s="13" customFormat="1" ht="16.5" customHeight="1" x14ac:dyDescent="0.25">
      <c r="A14" s="24">
        <f t="shared" si="0"/>
        <v>2</v>
      </c>
      <c r="B14" s="27">
        <v>30299</v>
      </c>
      <c r="C14" s="29" t="s">
        <v>1462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 t="s">
        <v>243</v>
      </c>
      <c r="S14" s="12" t="s">
        <v>243</v>
      </c>
      <c r="T14" s="12" t="s">
        <v>243</v>
      </c>
      <c r="U14" s="12" t="s">
        <v>243</v>
      </c>
      <c r="V14" s="12" t="s">
        <v>243</v>
      </c>
      <c r="W14" s="12" t="s">
        <v>243</v>
      </c>
      <c r="X14" s="12" t="s">
        <v>243</v>
      </c>
      <c r="Y14" s="12" t="s">
        <v>243</v>
      </c>
      <c r="Z14" s="12" t="s">
        <v>243</v>
      </c>
      <c r="AA14" s="12" t="s">
        <v>243</v>
      </c>
      <c r="AB14" s="12" t="s">
        <v>243</v>
      </c>
      <c r="AC14" s="12" t="s">
        <v>243</v>
      </c>
      <c r="AD14" s="12" t="s">
        <v>243</v>
      </c>
      <c r="AE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4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</row>
    <row r="15" spans="1:85" ht="16.5" customHeight="1" x14ac:dyDescent="0.25">
      <c r="A15" s="24">
        <f t="shared" si="0"/>
        <v>1</v>
      </c>
      <c r="B15" s="25">
        <v>30400</v>
      </c>
      <c r="C15" s="26" t="s">
        <v>323</v>
      </c>
      <c r="S15" s="16" t="s">
        <v>243</v>
      </c>
      <c r="T15" s="16" t="s">
        <v>243</v>
      </c>
      <c r="AF15" s="17"/>
      <c r="AK15" s="16"/>
      <c r="AQ15" s="17"/>
      <c r="BB15" s="16"/>
      <c r="BC15" s="16"/>
      <c r="BD15" s="16"/>
      <c r="BE15" s="38"/>
    </row>
    <row r="16" spans="1:85" s="13" customFormat="1" ht="16.5" customHeight="1" x14ac:dyDescent="0.25">
      <c r="A16" s="24">
        <f t="shared" si="0"/>
        <v>1</v>
      </c>
      <c r="B16" s="27">
        <v>30410</v>
      </c>
      <c r="C16" s="29" t="s">
        <v>325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 t="s">
        <v>243</v>
      </c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4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</row>
    <row r="17" spans="1:85" ht="16.5" customHeight="1" x14ac:dyDescent="0.25">
      <c r="A17" s="24">
        <f t="shared" si="0"/>
        <v>13</v>
      </c>
      <c r="B17" s="25">
        <v>30420</v>
      </c>
      <c r="C17" s="26" t="s">
        <v>327</v>
      </c>
      <c r="R17" s="16" t="s">
        <v>243</v>
      </c>
      <c r="AF17" s="17"/>
      <c r="AK17" s="16"/>
      <c r="AQ17" s="17"/>
      <c r="BB17" s="16"/>
      <c r="BC17" s="16"/>
      <c r="BD17" s="16"/>
      <c r="BE17" s="38"/>
    </row>
    <row r="18" spans="1:85" s="13" customFormat="1" ht="16.5" customHeight="1" x14ac:dyDescent="0.25">
      <c r="A18" s="24">
        <f t="shared" si="0"/>
        <v>2</v>
      </c>
      <c r="B18" s="27">
        <v>30430</v>
      </c>
      <c r="C18" s="29" t="s">
        <v>329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 t="s">
        <v>243</v>
      </c>
      <c r="S18" s="12" t="s">
        <v>243</v>
      </c>
      <c r="T18" s="12" t="s">
        <v>243</v>
      </c>
      <c r="U18" s="12" t="s">
        <v>243</v>
      </c>
      <c r="V18" s="12" t="s">
        <v>243</v>
      </c>
      <c r="W18" s="12" t="s">
        <v>243</v>
      </c>
      <c r="X18" s="12" t="s">
        <v>243</v>
      </c>
      <c r="Y18" s="12" t="s">
        <v>243</v>
      </c>
      <c r="Z18" s="12" t="s">
        <v>243</v>
      </c>
      <c r="AA18" s="12" t="s">
        <v>243</v>
      </c>
      <c r="AB18" s="12" t="s">
        <v>243</v>
      </c>
      <c r="AC18" s="12" t="s">
        <v>243</v>
      </c>
      <c r="AD18" s="12" t="s">
        <v>243</v>
      </c>
      <c r="AE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4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</row>
    <row r="19" spans="1:85" ht="16.5" customHeight="1" x14ac:dyDescent="0.25">
      <c r="A19" s="24">
        <f t="shared" si="0"/>
        <v>13</v>
      </c>
      <c r="B19" s="25">
        <v>30440</v>
      </c>
      <c r="C19" s="26" t="s">
        <v>80</v>
      </c>
      <c r="R19" s="16" t="s">
        <v>243</v>
      </c>
      <c r="S19" s="16" t="s">
        <v>243</v>
      </c>
      <c r="AF19" s="17"/>
      <c r="AK19" s="16"/>
      <c r="AQ19" s="17"/>
      <c r="BB19" s="16"/>
      <c r="BC19" s="16"/>
      <c r="BD19" s="16"/>
      <c r="BE19" s="38"/>
    </row>
    <row r="20" spans="1:85" s="13" customFormat="1" ht="16.5" customHeight="1" x14ac:dyDescent="0.25">
      <c r="A20" s="24" t="e">
        <f>COUNTIF(#REF!,"Y")</f>
        <v>#REF!</v>
      </c>
      <c r="B20" s="27">
        <v>30499</v>
      </c>
      <c r="C20" s="29" t="s">
        <v>1463</v>
      </c>
      <c r="D20" s="42"/>
      <c r="R20" s="12" t="s">
        <v>243</v>
      </c>
      <c r="S20" s="12" t="s">
        <v>243</v>
      </c>
      <c r="T20" s="12" t="s">
        <v>243</v>
      </c>
      <c r="U20" s="12" t="s">
        <v>243</v>
      </c>
      <c r="V20" s="12" t="s">
        <v>243</v>
      </c>
      <c r="W20" s="12" t="s">
        <v>243</v>
      </c>
      <c r="X20" s="12" t="s">
        <v>243</v>
      </c>
      <c r="Y20" s="12" t="s">
        <v>243</v>
      </c>
      <c r="Z20" s="12" t="s">
        <v>243</v>
      </c>
      <c r="AA20" s="12" t="s">
        <v>243</v>
      </c>
      <c r="AB20" s="12" t="s">
        <v>243</v>
      </c>
      <c r="AC20" s="12" t="s">
        <v>243</v>
      </c>
      <c r="AD20" s="12" t="s">
        <v>243</v>
      </c>
      <c r="BE20" s="14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</row>
    <row r="21" spans="1:85" ht="16.5" customHeight="1" x14ac:dyDescent="0.25">
      <c r="A21" s="24">
        <f t="shared" ref="A21:A44" si="1">COUNTIF(D22:BE22,"Y")</f>
        <v>1</v>
      </c>
      <c r="B21" s="25">
        <v>30500</v>
      </c>
      <c r="C21" s="26" t="s">
        <v>333</v>
      </c>
      <c r="AE21" s="16" t="s">
        <v>243</v>
      </c>
      <c r="AF21" s="17"/>
      <c r="AK21" s="16"/>
      <c r="AQ21" s="17"/>
      <c r="BB21" s="16"/>
      <c r="BC21" s="16"/>
      <c r="BD21" s="16"/>
      <c r="BE21" s="38"/>
    </row>
    <row r="22" spans="1:85" s="13" customFormat="1" ht="16.5" customHeight="1" x14ac:dyDescent="0.25">
      <c r="A22" s="24">
        <f t="shared" si="1"/>
        <v>1</v>
      </c>
      <c r="B22" s="27">
        <v>30501</v>
      </c>
      <c r="C22" s="29" t="s">
        <v>335</v>
      </c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 t="s">
        <v>243</v>
      </c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4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</row>
    <row r="23" spans="1:85" ht="16.5" customHeight="1" x14ac:dyDescent="0.25">
      <c r="A23" s="24">
        <f t="shared" si="1"/>
        <v>1</v>
      </c>
      <c r="B23" s="25">
        <v>30502</v>
      </c>
      <c r="C23" s="26" t="s">
        <v>337</v>
      </c>
      <c r="AE23" s="16" t="s">
        <v>243</v>
      </c>
      <c r="AF23" s="17"/>
      <c r="AK23" s="16"/>
      <c r="AQ23" s="17"/>
      <c r="BB23" s="16"/>
      <c r="BC23" s="16"/>
      <c r="BD23" s="16"/>
      <c r="BE23" s="38"/>
    </row>
    <row r="24" spans="1:85" s="13" customFormat="1" ht="16.5" customHeight="1" x14ac:dyDescent="0.25">
      <c r="A24" s="24">
        <f t="shared" si="1"/>
        <v>1</v>
      </c>
      <c r="B24" s="27">
        <v>30503</v>
      </c>
      <c r="C24" s="29" t="s">
        <v>339</v>
      </c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 t="s">
        <v>243</v>
      </c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4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</row>
    <row r="25" spans="1:85" ht="16.5" customHeight="1" x14ac:dyDescent="0.25">
      <c r="A25" s="24">
        <f t="shared" si="1"/>
        <v>1</v>
      </c>
      <c r="B25" s="25">
        <v>30520</v>
      </c>
      <c r="C25" s="26" t="s">
        <v>341</v>
      </c>
      <c r="AE25" s="16" t="s">
        <v>243</v>
      </c>
      <c r="AF25" s="17"/>
      <c r="AK25" s="16"/>
      <c r="AQ25" s="17"/>
      <c r="BB25" s="16"/>
      <c r="BC25" s="16"/>
      <c r="BD25" s="16"/>
      <c r="BE25" s="38"/>
    </row>
    <row r="26" spans="1:85" s="13" customFormat="1" ht="16.5" customHeight="1" x14ac:dyDescent="0.25">
      <c r="A26" s="24">
        <f t="shared" si="1"/>
        <v>1</v>
      </c>
      <c r="B26" s="27">
        <v>30521</v>
      </c>
      <c r="C26" s="29" t="s">
        <v>343</v>
      </c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 t="s">
        <v>243</v>
      </c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4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</row>
    <row r="27" spans="1:85" ht="16.5" customHeight="1" x14ac:dyDescent="0.25">
      <c r="A27" s="24">
        <f t="shared" si="1"/>
        <v>1</v>
      </c>
      <c r="B27" s="25">
        <v>30522</v>
      </c>
      <c r="C27" s="26" t="s">
        <v>1464</v>
      </c>
      <c r="AE27" s="16" t="s">
        <v>243</v>
      </c>
      <c r="AF27" s="17"/>
      <c r="AK27" s="16"/>
      <c r="AQ27" s="17"/>
      <c r="BB27" s="16"/>
      <c r="BC27" s="16"/>
      <c r="BD27" s="16"/>
      <c r="BE27" s="38"/>
    </row>
    <row r="28" spans="1:85" s="13" customFormat="1" ht="16.5" customHeight="1" x14ac:dyDescent="0.25">
      <c r="A28" s="24">
        <f t="shared" si="1"/>
        <v>1</v>
      </c>
      <c r="B28" s="27">
        <v>30523</v>
      </c>
      <c r="C28" s="29" t="s">
        <v>347</v>
      </c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3" t="s">
        <v>243</v>
      </c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4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</row>
    <row r="29" spans="1:85" ht="16.5" customHeight="1" x14ac:dyDescent="0.25">
      <c r="A29" s="24">
        <f t="shared" si="1"/>
        <v>1</v>
      </c>
      <c r="B29" s="25">
        <v>30524</v>
      </c>
      <c r="C29" s="26" t="s">
        <v>349</v>
      </c>
      <c r="AE29" s="16" t="s">
        <v>243</v>
      </c>
      <c r="AF29" s="17"/>
      <c r="AK29" s="16"/>
      <c r="AQ29" s="17"/>
      <c r="BB29" s="16"/>
      <c r="BC29" s="16"/>
      <c r="BD29" s="16"/>
      <c r="BE29" s="38"/>
    </row>
    <row r="30" spans="1:85" s="13" customFormat="1" ht="16.5" customHeight="1" x14ac:dyDescent="0.25">
      <c r="A30" s="24">
        <f t="shared" si="1"/>
        <v>1</v>
      </c>
      <c r="B30" s="27">
        <v>30550</v>
      </c>
      <c r="C30" s="29" t="s">
        <v>114</v>
      </c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 t="s">
        <v>243</v>
      </c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4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</row>
    <row r="31" spans="1:85" ht="16.5" customHeight="1" x14ac:dyDescent="0.25">
      <c r="A31" s="24">
        <f t="shared" si="1"/>
        <v>1</v>
      </c>
      <c r="B31" s="25">
        <v>30551</v>
      </c>
      <c r="C31" s="26" t="s">
        <v>82</v>
      </c>
      <c r="AE31" s="16" t="s">
        <v>243</v>
      </c>
      <c r="AF31" s="17"/>
      <c r="AK31" s="16"/>
      <c r="AQ31" s="17"/>
      <c r="BB31" s="16"/>
      <c r="BC31" s="16"/>
      <c r="BD31" s="16"/>
      <c r="BE31" s="38"/>
    </row>
    <row r="32" spans="1:85" s="13" customFormat="1" ht="16.5" customHeight="1" x14ac:dyDescent="0.25">
      <c r="A32" s="24">
        <f t="shared" si="1"/>
        <v>1</v>
      </c>
      <c r="B32" s="27">
        <v>30552</v>
      </c>
      <c r="C32" s="29" t="s">
        <v>83</v>
      </c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 t="s">
        <v>243</v>
      </c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4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</row>
    <row r="33" spans="1:85" ht="16.5" customHeight="1" x14ac:dyDescent="0.25">
      <c r="A33" s="24">
        <f t="shared" si="1"/>
        <v>1</v>
      </c>
      <c r="B33" s="25">
        <v>30553</v>
      </c>
      <c r="C33" s="26" t="s">
        <v>84</v>
      </c>
      <c r="AE33" s="16" t="s">
        <v>243</v>
      </c>
      <c r="AF33" s="17"/>
      <c r="AK33" s="16"/>
      <c r="AQ33" s="17"/>
      <c r="BB33" s="16"/>
      <c r="BC33" s="16"/>
      <c r="BD33" s="16"/>
      <c r="BE33" s="38"/>
    </row>
    <row r="34" spans="1:85" s="13" customFormat="1" ht="16.5" customHeight="1" x14ac:dyDescent="0.25">
      <c r="A34" s="24">
        <f t="shared" si="1"/>
        <v>1</v>
      </c>
      <c r="B34" s="27">
        <v>30554</v>
      </c>
      <c r="C34" s="29" t="s">
        <v>85</v>
      </c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 t="s">
        <v>243</v>
      </c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4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</row>
    <row r="35" spans="1:85" ht="16.5" customHeight="1" x14ac:dyDescent="0.25">
      <c r="A35" s="24">
        <f t="shared" si="1"/>
        <v>2</v>
      </c>
      <c r="B35" s="25">
        <v>30599</v>
      </c>
      <c r="C35" s="26" t="s">
        <v>1465</v>
      </c>
      <c r="AE35" s="16" t="s">
        <v>243</v>
      </c>
      <c r="AF35" s="17"/>
      <c r="AK35" s="16"/>
      <c r="AQ35" s="17"/>
      <c r="BB35" s="16"/>
      <c r="BC35" s="16"/>
      <c r="BD35" s="16"/>
      <c r="BE35" s="38"/>
    </row>
    <row r="36" spans="1:85" s="13" customFormat="1" ht="16.5" customHeight="1" x14ac:dyDescent="0.25">
      <c r="A36" s="24">
        <f t="shared" si="1"/>
        <v>2</v>
      </c>
      <c r="B36" s="27">
        <v>31000</v>
      </c>
      <c r="C36" s="29" t="s">
        <v>86</v>
      </c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 t="s">
        <v>243</v>
      </c>
      <c r="AG36" s="12"/>
      <c r="AH36" s="12"/>
      <c r="AI36" s="12"/>
      <c r="AJ36" s="12"/>
      <c r="AK36" s="12"/>
      <c r="AL36" s="12"/>
      <c r="AM36" s="12"/>
      <c r="AN36" s="12"/>
      <c r="AO36" s="12"/>
      <c r="AP36" s="12" t="s">
        <v>243</v>
      </c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4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</row>
    <row r="37" spans="1:85" ht="16.5" customHeight="1" x14ac:dyDescent="0.25">
      <c r="A37" s="24">
        <f t="shared" si="1"/>
        <v>2</v>
      </c>
      <c r="B37" s="25">
        <v>31001</v>
      </c>
      <c r="C37" s="26" t="s">
        <v>87</v>
      </c>
      <c r="AF37" s="16" t="s">
        <v>243</v>
      </c>
      <c r="AK37" s="16"/>
      <c r="AP37" s="16" t="s">
        <v>243</v>
      </c>
      <c r="AQ37" s="17"/>
      <c r="BB37" s="16"/>
      <c r="BC37" s="16"/>
      <c r="BD37" s="16"/>
      <c r="BE37" s="38"/>
    </row>
    <row r="38" spans="1:85" s="13" customFormat="1" ht="16.5" customHeight="1" x14ac:dyDescent="0.25">
      <c r="A38" s="24">
        <f t="shared" si="1"/>
        <v>2</v>
      </c>
      <c r="B38" s="27">
        <v>31002</v>
      </c>
      <c r="C38" s="29" t="s">
        <v>88</v>
      </c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 t="s">
        <v>243</v>
      </c>
      <c r="AG38" s="12"/>
      <c r="AH38" s="12"/>
      <c r="AI38" s="12"/>
      <c r="AJ38" s="12"/>
      <c r="AK38" s="12"/>
      <c r="AL38" s="12"/>
      <c r="AM38" s="12"/>
      <c r="AN38" s="12"/>
      <c r="AO38" s="12"/>
      <c r="AP38" s="12" t="s">
        <v>243</v>
      </c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4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</row>
    <row r="39" spans="1:85" ht="16.5" customHeight="1" x14ac:dyDescent="0.25">
      <c r="A39" s="24">
        <f t="shared" si="1"/>
        <v>2</v>
      </c>
      <c r="B39" s="25">
        <v>31003</v>
      </c>
      <c r="C39" s="26" t="s">
        <v>89</v>
      </c>
      <c r="AF39" s="16" t="s">
        <v>243</v>
      </c>
      <c r="AK39" s="16"/>
      <c r="AP39" s="16" t="s">
        <v>243</v>
      </c>
      <c r="AQ39" s="17"/>
      <c r="BB39" s="16"/>
      <c r="BC39" s="16"/>
      <c r="BD39" s="16"/>
      <c r="BE39" s="38"/>
    </row>
    <row r="40" spans="1:85" s="13" customFormat="1" ht="16.5" customHeight="1" x14ac:dyDescent="0.25">
      <c r="A40" s="24">
        <f t="shared" si="1"/>
        <v>2</v>
      </c>
      <c r="B40" s="27">
        <v>31004</v>
      </c>
      <c r="C40" s="29" t="s">
        <v>90</v>
      </c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 t="s">
        <v>243</v>
      </c>
      <c r="AG40" s="12"/>
      <c r="AH40" s="12"/>
      <c r="AI40" s="12"/>
      <c r="AJ40" s="12"/>
      <c r="AK40" s="12"/>
      <c r="AL40" s="12"/>
      <c r="AM40" s="12"/>
      <c r="AN40" s="12"/>
      <c r="AO40" s="12"/>
      <c r="AP40" s="12" t="s">
        <v>243</v>
      </c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4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</row>
    <row r="41" spans="1:85" ht="16.5" customHeight="1" x14ac:dyDescent="0.25">
      <c r="A41" s="24">
        <f t="shared" si="1"/>
        <v>2</v>
      </c>
      <c r="B41" s="25">
        <v>31005</v>
      </c>
      <c r="C41" s="26" t="s">
        <v>91</v>
      </c>
      <c r="AF41" s="16" t="s">
        <v>243</v>
      </c>
      <c r="AK41" s="16"/>
      <c r="AP41" s="16" t="s">
        <v>243</v>
      </c>
      <c r="AQ41" s="17"/>
      <c r="BB41" s="16"/>
      <c r="BC41" s="16"/>
      <c r="BD41" s="16"/>
      <c r="BE41" s="38"/>
    </row>
    <row r="42" spans="1:85" s="13" customFormat="1" ht="16.5" customHeight="1" x14ac:dyDescent="0.25">
      <c r="A42" s="24">
        <f t="shared" si="1"/>
        <v>2</v>
      </c>
      <c r="B42" s="27">
        <v>31006</v>
      </c>
      <c r="C42" s="29" t="s">
        <v>1466</v>
      </c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 t="s">
        <v>243</v>
      </c>
      <c r="AG42" s="12"/>
      <c r="AH42" s="12"/>
      <c r="AI42" s="12"/>
      <c r="AJ42" s="12"/>
      <c r="AK42" s="12"/>
      <c r="AL42" s="12"/>
      <c r="AM42" s="12"/>
      <c r="AN42" s="12"/>
      <c r="AO42" s="12"/>
      <c r="AP42" s="12" t="s">
        <v>243</v>
      </c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4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</row>
    <row r="43" spans="1:85" ht="16.5" customHeight="1" x14ac:dyDescent="0.25">
      <c r="A43" s="24">
        <f t="shared" si="1"/>
        <v>2</v>
      </c>
      <c r="B43" s="25">
        <v>31100</v>
      </c>
      <c r="C43" s="26" t="s">
        <v>1467</v>
      </c>
      <c r="AF43" s="16" t="s">
        <v>243</v>
      </c>
      <c r="AK43" s="16"/>
      <c r="AP43" s="16" t="s">
        <v>243</v>
      </c>
      <c r="AQ43" s="17"/>
      <c r="BB43" s="16"/>
      <c r="BC43" s="16"/>
      <c r="BD43" s="16"/>
      <c r="BE43" s="38"/>
    </row>
    <row r="44" spans="1:85" s="13" customFormat="1" ht="16.5" customHeight="1" x14ac:dyDescent="0.25">
      <c r="A44" s="24">
        <f t="shared" si="1"/>
        <v>1</v>
      </c>
      <c r="B44" s="27">
        <v>31150</v>
      </c>
      <c r="C44" s="29" t="s">
        <v>1468</v>
      </c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 t="s">
        <v>243</v>
      </c>
      <c r="AG44" s="12"/>
      <c r="AH44" s="12"/>
      <c r="AI44" s="12"/>
      <c r="AJ44" s="12"/>
      <c r="AK44" s="12"/>
      <c r="AL44" s="12"/>
      <c r="AM44" s="12"/>
      <c r="AN44" s="12"/>
      <c r="AO44" s="12"/>
      <c r="AP44" s="12" t="s">
        <v>243</v>
      </c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4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</row>
    <row r="45" spans="1:85" ht="16.5" customHeight="1" x14ac:dyDescent="0.25">
      <c r="A45" s="24">
        <f>COUNTIF(D60:BE60,"Y")</f>
        <v>1</v>
      </c>
      <c r="B45" s="33">
        <v>31151</v>
      </c>
      <c r="C45" s="32" t="s">
        <v>1061</v>
      </c>
      <c r="D45" s="12" t="s">
        <v>243</v>
      </c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3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3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38"/>
    </row>
    <row r="46" spans="1:85" s="13" customFormat="1" ht="16.5" customHeight="1" x14ac:dyDescent="0.25">
      <c r="A46" s="24">
        <f>COUNTIF(D61:BE61,"Y")</f>
        <v>1</v>
      </c>
      <c r="B46" s="35">
        <v>31152</v>
      </c>
      <c r="C46" s="34" t="s">
        <v>1062</v>
      </c>
      <c r="D46" s="16" t="s">
        <v>243</v>
      </c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7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7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4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</row>
    <row r="47" spans="1:85" ht="16.5" customHeight="1" x14ac:dyDescent="0.25">
      <c r="A47" s="24">
        <f>COUNTIF(D62:BE62,"Y")</f>
        <v>1</v>
      </c>
      <c r="B47" s="33">
        <v>31153</v>
      </c>
      <c r="C47" s="32" t="s">
        <v>1063</v>
      </c>
      <c r="D47" s="12" t="s">
        <v>243</v>
      </c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3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3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38"/>
    </row>
    <row r="48" spans="1:85" s="13" customFormat="1" ht="16.5" customHeight="1" x14ac:dyDescent="0.25">
      <c r="A48" s="24">
        <f t="shared" ref="A48:A79" si="2">COUNTIF(D49:BE49,"Y")</f>
        <v>2</v>
      </c>
      <c r="B48" s="25">
        <v>31200</v>
      </c>
      <c r="C48" s="26" t="s">
        <v>93</v>
      </c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 t="s">
        <v>243</v>
      </c>
      <c r="AG48" s="16"/>
      <c r="AH48" s="16"/>
      <c r="AI48" s="16"/>
      <c r="AJ48" s="16"/>
      <c r="AK48" s="16"/>
      <c r="AL48" s="16"/>
      <c r="AM48" s="16"/>
      <c r="AN48" s="16"/>
      <c r="AO48" s="16"/>
      <c r="AP48" s="16" t="s">
        <v>243</v>
      </c>
      <c r="AQ48" s="17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4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</row>
    <row r="49" spans="1:85" ht="16.5" customHeight="1" x14ac:dyDescent="0.25">
      <c r="A49" s="24">
        <f t="shared" si="2"/>
        <v>2</v>
      </c>
      <c r="B49" s="27">
        <v>31201</v>
      </c>
      <c r="C49" s="29" t="s">
        <v>94</v>
      </c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 t="s">
        <v>243</v>
      </c>
      <c r="AG49" s="12"/>
      <c r="AH49" s="12"/>
      <c r="AI49" s="12"/>
      <c r="AJ49" s="12"/>
      <c r="AK49" s="12"/>
      <c r="AL49" s="12"/>
      <c r="AM49" s="12"/>
      <c r="AN49" s="12"/>
      <c r="AO49" s="12"/>
      <c r="AP49" s="12" t="s">
        <v>243</v>
      </c>
      <c r="AQ49" s="13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38"/>
    </row>
    <row r="50" spans="1:85" s="13" customFormat="1" ht="16.5" customHeight="1" x14ac:dyDescent="0.25">
      <c r="A50" s="24">
        <f t="shared" si="2"/>
        <v>2</v>
      </c>
      <c r="B50" s="25">
        <v>31202</v>
      </c>
      <c r="C50" s="26" t="s">
        <v>95</v>
      </c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 t="s">
        <v>243</v>
      </c>
      <c r="AG50" s="16"/>
      <c r="AH50" s="16"/>
      <c r="AI50" s="16"/>
      <c r="AJ50" s="16"/>
      <c r="AK50" s="16"/>
      <c r="AL50" s="16"/>
      <c r="AM50" s="16"/>
      <c r="AN50" s="16"/>
      <c r="AO50" s="16"/>
      <c r="AP50" s="16" t="s">
        <v>243</v>
      </c>
      <c r="AQ50" s="17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4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</row>
    <row r="51" spans="1:85" ht="16.5" customHeight="1" x14ac:dyDescent="0.25">
      <c r="A51" s="24">
        <f t="shared" si="2"/>
        <v>2</v>
      </c>
      <c r="B51" s="27">
        <v>31203</v>
      </c>
      <c r="C51" s="29" t="s">
        <v>96</v>
      </c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 t="s">
        <v>243</v>
      </c>
      <c r="AG51" s="12"/>
      <c r="AH51" s="12"/>
      <c r="AI51" s="12"/>
      <c r="AJ51" s="12"/>
      <c r="AK51" s="12"/>
      <c r="AL51" s="12"/>
      <c r="AM51" s="12"/>
      <c r="AN51" s="12"/>
      <c r="AO51" s="12"/>
      <c r="AP51" s="12" t="s">
        <v>243</v>
      </c>
      <c r="AQ51" s="13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38"/>
    </row>
    <row r="52" spans="1:85" s="13" customFormat="1" ht="16.5" customHeight="1" x14ac:dyDescent="0.25">
      <c r="A52" s="24">
        <f t="shared" si="2"/>
        <v>2</v>
      </c>
      <c r="B52" s="25">
        <v>31204</v>
      </c>
      <c r="C52" s="26" t="s">
        <v>97</v>
      </c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 t="s">
        <v>243</v>
      </c>
      <c r="AG52" s="16"/>
      <c r="AH52" s="16"/>
      <c r="AI52" s="16"/>
      <c r="AJ52" s="16"/>
      <c r="AK52" s="16"/>
      <c r="AL52" s="16"/>
      <c r="AM52" s="16"/>
      <c r="AN52" s="16"/>
      <c r="AO52" s="16"/>
      <c r="AP52" s="16" t="s">
        <v>243</v>
      </c>
      <c r="AQ52" s="17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4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</row>
    <row r="53" spans="1:85" ht="16.5" customHeight="1" x14ac:dyDescent="0.25">
      <c r="A53" s="24">
        <f t="shared" si="2"/>
        <v>2</v>
      </c>
      <c r="B53" s="27">
        <v>31205</v>
      </c>
      <c r="C53" s="29" t="s">
        <v>98</v>
      </c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 t="s">
        <v>243</v>
      </c>
      <c r="AG53" s="12"/>
      <c r="AH53" s="12"/>
      <c r="AI53" s="12"/>
      <c r="AJ53" s="12"/>
      <c r="AK53" s="12"/>
      <c r="AL53" s="12"/>
      <c r="AM53" s="12"/>
      <c r="AN53" s="12"/>
      <c r="AO53" s="12"/>
      <c r="AP53" s="12" t="s">
        <v>243</v>
      </c>
      <c r="AQ53" s="13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38"/>
    </row>
    <row r="54" spans="1:85" s="13" customFormat="1" ht="16.5" customHeight="1" x14ac:dyDescent="0.25">
      <c r="A54" s="24">
        <f t="shared" si="2"/>
        <v>1</v>
      </c>
      <c r="B54" s="25">
        <v>31206</v>
      </c>
      <c r="C54" s="26" t="s">
        <v>215</v>
      </c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 t="s">
        <v>243</v>
      </c>
      <c r="AG54" s="16"/>
      <c r="AH54" s="16"/>
      <c r="AI54" s="16"/>
      <c r="AJ54" s="16"/>
      <c r="AK54" s="16"/>
      <c r="AL54" s="16"/>
      <c r="AM54" s="16"/>
      <c r="AN54" s="16"/>
      <c r="AO54" s="16"/>
      <c r="AP54" s="16" t="s">
        <v>243</v>
      </c>
      <c r="AQ54" s="17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4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</row>
    <row r="55" spans="1:85" ht="16.5" customHeight="1" x14ac:dyDescent="0.25">
      <c r="A55" s="24">
        <f t="shared" si="2"/>
        <v>1</v>
      </c>
      <c r="B55" s="27">
        <v>31301</v>
      </c>
      <c r="C55" s="29" t="s">
        <v>99</v>
      </c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3"/>
      <c r="AG55" s="12"/>
      <c r="AH55" s="12"/>
      <c r="AI55" s="12"/>
      <c r="AJ55" s="12"/>
      <c r="AK55" s="12"/>
      <c r="AL55" s="12"/>
      <c r="AM55" s="12"/>
      <c r="AN55" s="12"/>
      <c r="AO55" s="12"/>
      <c r="AP55" s="12" t="s">
        <v>243</v>
      </c>
      <c r="AQ55" s="13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38"/>
    </row>
    <row r="56" spans="1:85" s="13" customFormat="1" ht="16.5" customHeight="1" x14ac:dyDescent="0.25">
      <c r="A56" s="24">
        <f t="shared" si="2"/>
        <v>1</v>
      </c>
      <c r="B56" s="25">
        <v>31399</v>
      </c>
      <c r="C56" s="26" t="s">
        <v>376</v>
      </c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7" t="s">
        <v>243</v>
      </c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7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6"/>
      <c r="BC56" s="16"/>
      <c r="BD56" s="16"/>
      <c r="BE56" s="14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</row>
    <row r="57" spans="1:85" ht="16.5" customHeight="1" x14ac:dyDescent="0.25">
      <c r="A57" s="24">
        <f t="shared" si="2"/>
        <v>1</v>
      </c>
      <c r="B57" s="27">
        <v>32000</v>
      </c>
      <c r="C57" s="29" t="s">
        <v>100</v>
      </c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3"/>
      <c r="AG57" s="12"/>
      <c r="AH57" s="12"/>
      <c r="AI57" s="12"/>
      <c r="AJ57" s="12"/>
      <c r="AK57" s="12"/>
      <c r="AL57" s="12"/>
      <c r="AM57" s="12" t="s">
        <v>243</v>
      </c>
      <c r="AN57" s="12"/>
      <c r="AO57" s="12"/>
      <c r="AP57" s="12"/>
      <c r="AQ57" s="13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38"/>
    </row>
    <row r="58" spans="1:85" s="13" customFormat="1" ht="16.5" customHeight="1" x14ac:dyDescent="0.25">
      <c r="A58" s="24">
        <f t="shared" si="2"/>
        <v>1</v>
      </c>
      <c r="B58" s="25">
        <v>32001</v>
      </c>
      <c r="C58" s="26" t="s">
        <v>101</v>
      </c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7"/>
      <c r="AG58" s="16"/>
      <c r="AH58" s="16"/>
      <c r="AI58" s="16"/>
      <c r="AJ58" s="16"/>
      <c r="AK58" s="16"/>
      <c r="AL58" s="16"/>
      <c r="AM58" s="16" t="s">
        <v>243</v>
      </c>
      <c r="AN58" s="16"/>
      <c r="AO58" s="16"/>
      <c r="AP58" s="16"/>
      <c r="AQ58" s="17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C58" s="16"/>
      <c r="BD58" s="16"/>
      <c r="BE58" s="14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</row>
    <row r="59" spans="1:85" ht="16.5" customHeight="1" x14ac:dyDescent="0.25">
      <c r="A59" s="24">
        <f t="shared" si="2"/>
        <v>1</v>
      </c>
      <c r="B59" s="27">
        <v>32002</v>
      </c>
      <c r="C59" s="29" t="s">
        <v>1469</v>
      </c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3"/>
      <c r="AG59" s="12"/>
      <c r="AH59" s="12"/>
      <c r="AI59" s="12"/>
      <c r="AJ59" s="12"/>
      <c r="AK59" s="12"/>
      <c r="AL59" s="12"/>
      <c r="AM59" s="12" t="s">
        <v>243</v>
      </c>
      <c r="AN59" s="12"/>
      <c r="AO59" s="12"/>
      <c r="AP59" s="12"/>
      <c r="AQ59" s="13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38"/>
    </row>
    <row r="60" spans="1:85" s="13" customFormat="1" ht="16.5" customHeight="1" x14ac:dyDescent="0.25">
      <c r="A60" s="24">
        <f t="shared" si="2"/>
        <v>1</v>
      </c>
      <c r="B60" s="25">
        <v>32003</v>
      </c>
      <c r="C60" s="26" t="s">
        <v>1470</v>
      </c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7"/>
      <c r="AG60" s="16"/>
      <c r="AH60" s="16"/>
      <c r="AI60" s="16"/>
      <c r="AJ60" s="16"/>
      <c r="AK60" s="16"/>
      <c r="AL60" s="16"/>
      <c r="AM60" s="16" t="s">
        <v>243</v>
      </c>
      <c r="AN60" s="16"/>
      <c r="AO60" s="16"/>
      <c r="AP60" s="16"/>
      <c r="AQ60" s="17"/>
      <c r="AR60" s="16"/>
      <c r="AS60" s="16"/>
      <c r="AT60" s="16"/>
      <c r="AU60" s="16"/>
      <c r="AV60" s="16"/>
      <c r="AW60" s="16"/>
      <c r="AX60" s="16"/>
      <c r="AY60" s="16"/>
      <c r="AZ60" s="16"/>
      <c r="BA60" s="16"/>
      <c r="BB60" s="16"/>
      <c r="BC60" s="16"/>
      <c r="BD60" s="16"/>
      <c r="BE60" s="14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</row>
    <row r="61" spans="1:85" ht="16.5" customHeight="1" x14ac:dyDescent="0.25">
      <c r="A61" s="24">
        <f t="shared" si="2"/>
        <v>1</v>
      </c>
      <c r="B61" s="27">
        <v>32099</v>
      </c>
      <c r="C61" s="29" t="s">
        <v>386</v>
      </c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3"/>
      <c r="AG61" s="12"/>
      <c r="AH61" s="12"/>
      <c r="AI61" s="12"/>
      <c r="AJ61" s="12"/>
      <c r="AK61" s="12"/>
      <c r="AL61" s="12"/>
      <c r="AM61" s="12" t="s">
        <v>243</v>
      </c>
      <c r="AN61" s="12"/>
      <c r="AO61" s="12"/>
      <c r="AP61" s="12"/>
      <c r="AQ61" s="13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38"/>
    </row>
    <row r="62" spans="1:85" s="13" customFormat="1" ht="16.5" customHeight="1" x14ac:dyDescent="0.25">
      <c r="A62" s="24">
        <f t="shared" si="2"/>
        <v>1</v>
      </c>
      <c r="B62" s="25">
        <v>33000</v>
      </c>
      <c r="C62" s="26" t="s">
        <v>1471</v>
      </c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7"/>
      <c r="AG62" s="16"/>
      <c r="AH62" s="16" t="s">
        <v>243</v>
      </c>
      <c r="AI62" s="16"/>
      <c r="AJ62" s="16"/>
      <c r="AK62" s="16"/>
      <c r="AL62" s="16"/>
      <c r="AM62" s="16"/>
      <c r="AN62" s="16"/>
      <c r="AO62" s="16"/>
      <c r="AP62" s="16"/>
      <c r="AQ62" s="17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/>
      <c r="BE62" s="14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</row>
    <row r="63" spans="1:85" ht="16.5" customHeight="1" x14ac:dyDescent="0.25">
      <c r="A63" s="24">
        <f t="shared" si="2"/>
        <v>1</v>
      </c>
      <c r="B63" s="27">
        <v>33100</v>
      </c>
      <c r="C63" s="29" t="s">
        <v>1472</v>
      </c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3"/>
      <c r="AG63" s="12"/>
      <c r="AH63" s="12" t="s">
        <v>243</v>
      </c>
      <c r="AI63" s="12"/>
      <c r="AJ63" s="12"/>
      <c r="AK63" s="12"/>
      <c r="AL63" s="12"/>
      <c r="AM63" s="12"/>
      <c r="AN63" s="12"/>
      <c r="AO63" s="12"/>
      <c r="AP63" s="12"/>
      <c r="AQ63" s="13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38"/>
    </row>
    <row r="64" spans="1:85" s="13" customFormat="1" ht="16.5" customHeight="1" x14ac:dyDescent="0.25">
      <c r="A64" s="24">
        <f t="shared" si="2"/>
        <v>1</v>
      </c>
      <c r="B64" s="25">
        <v>33200</v>
      </c>
      <c r="C64" s="26" t="s">
        <v>1473</v>
      </c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7"/>
      <c r="AG64" s="16"/>
      <c r="AH64" s="16" t="s">
        <v>243</v>
      </c>
      <c r="AI64" s="16"/>
      <c r="AJ64" s="16"/>
      <c r="AK64" s="16"/>
      <c r="AL64" s="16"/>
      <c r="AM64" s="16"/>
      <c r="AN64" s="16"/>
      <c r="AO64" s="16"/>
      <c r="AP64" s="16"/>
      <c r="AQ64" s="17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6"/>
      <c r="BC64" s="16"/>
      <c r="BD64" s="16"/>
      <c r="BE64" s="14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</row>
    <row r="65" spans="1:85" ht="16.5" customHeight="1" x14ac:dyDescent="0.25">
      <c r="A65" s="24">
        <f t="shared" si="2"/>
        <v>1</v>
      </c>
      <c r="B65" s="27">
        <v>33299</v>
      </c>
      <c r="C65" s="29" t="s">
        <v>390</v>
      </c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3"/>
      <c r="AG65" s="12"/>
      <c r="AH65" s="12" t="s">
        <v>243</v>
      </c>
      <c r="AI65" s="12"/>
      <c r="AJ65" s="12"/>
      <c r="AK65" s="12"/>
      <c r="AL65" s="12"/>
      <c r="AM65" s="12"/>
      <c r="AN65" s="12"/>
      <c r="AO65" s="12"/>
      <c r="AP65" s="12"/>
      <c r="AQ65" s="13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38"/>
    </row>
    <row r="66" spans="1:85" s="13" customFormat="1" ht="16.5" customHeight="1" x14ac:dyDescent="0.25">
      <c r="A66" s="24">
        <f t="shared" si="2"/>
        <v>1</v>
      </c>
      <c r="B66" s="25">
        <v>33300</v>
      </c>
      <c r="C66" s="26" t="s">
        <v>6</v>
      </c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 t="s">
        <v>244</v>
      </c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7"/>
      <c r="AG66" s="16"/>
      <c r="AH66" s="16"/>
      <c r="AI66" s="16"/>
      <c r="AJ66" s="16" t="s">
        <v>243</v>
      </c>
      <c r="AK66" s="16"/>
      <c r="AL66" s="16"/>
      <c r="AM66" s="16"/>
      <c r="AN66" s="16"/>
      <c r="AO66" s="16"/>
      <c r="AP66" s="16"/>
      <c r="AQ66" s="17"/>
      <c r="AR66" s="16"/>
      <c r="AS66" s="16"/>
      <c r="AT66" s="16"/>
      <c r="AU66" s="16"/>
      <c r="AV66" s="16"/>
      <c r="AW66" s="16"/>
      <c r="AX66" s="16"/>
      <c r="AY66" s="16"/>
      <c r="AZ66" s="16"/>
      <c r="BA66" s="16"/>
      <c r="BB66" s="16"/>
      <c r="BC66" s="16"/>
      <c r="BD66" s="16"/>
      <c r="BE66" s="14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</row>
    <row r="67" spans="1:85" ht="16.5" customHeight="1" x14ac:dyDescent="0.25">
      <c r="A67" s="24">
        <f t="shared" si="2"/>
        <v>1</v>
      </c>
      <c r="B67" s="27">
        <v>33310</v>
      </c>
      <c r="C67" s="29" t="s">
        <v>7</v>
      </c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3"/>
      <c r="AG67" s="12"/>
      <c r="AH67" s="12"/>
      <c r="AI67" s="12"/>
      <c r="AJ67" s="12" t="s">
        <v>243</v>
      </c>
      <c r="AK67" s="12"/>
      <c r="AL67" s="12"/>
      <c r="AM67" s="12"/>
      <c r="AN67" s="12"/>
      <c r="AO67" s="12"/>
      <c r="AP67" s="12"/>
      <c r="AQ67" s="13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38"/>
    </row>
    <row r="68" spans="1:85" s="13" customFormat="1" ht="16.5" customHeight="1" x14ac:dyDescent="0.25">
      <c r="A68" s="24">
        <f t="shared" si="2"/>
        <v>1</v>
      </c>
      <c r="B68" s="25">
        <v>33320</v>
      </c>
      <c r="C68" s="26" t="s">
        <v>405</v>
      </c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7"/>
      <c r="AG68" s="16"/>
      <c r="AH68" s="16"/>
      <c r="AI68" s="16"/>
      <c r="AJ68" s="16" t="s">
        <v>243</v>
      </c>
      <c r="AK68" s="16"/>
      <c r="AL68" s="16"/>
      <c r="AM68" s="16"/>
      <c r="AN68" s="16"/>
      <c r="AO68" s="16"/>
      <c r="AP68" s="16"/>
      <c r="AQ68" s="17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4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</row>
    <row r="69" spans="1:85" ht="16.5" customHeight="1" x14ac:dyDescent="0.25">
      <c r="A69" s="24">
        <f t="shared" si="2"/>
        <v>1</v>
      </c>
      <c r="B69" s="27">
        <v>33399</v>
      </c>
      <c r="C69" s="29" t="s">
        <v>407</v>
      </c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3"/>
      <c r="AG69" s="12"/>
      <c r="AH69" s="12"/>
      <c r="AI69" s="12"/>
      <c r="AJ69" s="12" t="s">
        <v>243</v>
      </c>
      <c r="AK69" s="12"/>
      <c r="AL69" s="12"/>
      <c r="AM69" s="12"/>
      <c r="AN69" s="12"/>
      <c r="AO69" s="12"/>
      <c r="AP69" s="12"/>
      <c r="AQ69" s="13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38"/>
    </row>
    <row r="70" spans="1:85" s="13" customFormat="1" ht="16.5" customHeight="1" x14ac:dyDescent="0.25">
      <c r="A70" s="24">
        <f t="shared" si="2"/>
        <v>1</v>
      </c>
      <c r="B70" s="25">
        <v>34000</v>
      </c>
      <c r="C70" s="26" t="s">
        <v>1474</v>
      </c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7"/>
      <c r="AG70" s="16" t="s">
        <v>243</v>
      </c>
      <c r="AH70" s="16"/>
      <c r="AI70" s="16"/>
      <c r="AJ70" s="16"/>
      <c r="AK70" s="16"/>
      <c r="AL70" s="16"/>
      <c r="AM70" s="16"/>
      <c r="AN70" s="16"/>
      <c r="AO70" s="16"/>
      <c r="AP70" s="16"/>
      <c r="AQ70" s="17"/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B70" s="16"/>
      <c r="BC70" s="16"/>
      <c r="BD70" s="16"/>
      <c r="BE70" s="14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</row>
    <row r="71" spans="1:85" ht="16.5" customHeight="1" x14ac:dyDescent="0.25">
      <c r="A71" s="24">
        <f t="shared" si="2"/>
        <v>1</v>
      </c>
      <c r="B71" s="27">
        <v>34050</v>
      </c>
      <c r="C71" s="29" t="s">
        <v>1475</v>
      </c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3"/>
      <c r="AG71" s="12" t="s">
        <v>243</v>
      </c>
      <c r="AH71" s="12"/>
      <c r="AI71" s="12"/>
      <c r="AJ71" s="12"/>
      <c r="AK71" s="12"/>
      <c r="AL71" s="12"/>
      <c r="AM71" s="12"/>
      <c r="AN71" s="12"/>
      <c r="AO71" s="12"/>
      <c r="AP71" s="12"/>
      <c r="AQ71" s="13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38"/>
    </row>
    <row r="72" spans="1:85" s="13" customFormat="1" ht="16.5" customHeight="1" x14ac:dyDescent="0.25">
      <c r="A72" s="24">
        <f t="shared" si="2"/>
        <v>1</v>
      </c>
      <c r="B72" s="25">
        <v>34100</v>
      </c>
      <c r="C72" s="26" t="s">
        <v>1476</v>
      </c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7"/>
      <c r="AG72" s="16" t="s">
        <v>243</v>
      </c>
      <c r="AH72" s="16"/>
      <c r="AI72" s="16"/>
      <c r="AJ72" s="16"/>
      <c r="AK72" s="16"/>
      <c r="AL72" s="16"/>
      <c r="AM72" s="16"/>
      <c r="AN72" s="16"/>
      <c r="AO72" s="16"/>
      <c r="AP72" s="16"/>
      <c r="AQ72" s="17"/>
      <c r="AR72" s="16"/>
      <c r="AS72" s="16"/>
      <c r="AT72" s="16"/>
      <c r="AU72" s="16"/>
      <c r="AV72" s="16"/>
      <c r="AW72" s="16"/>
      <c r="AX72" s="16"/>
      <c r="AY72" s="16"/>
      <c r="AZ72" s="16"/>
      <c r="BA72" s="16"/>
      <c r="BB72" s="16"/>
      <c r="BC72" s="16"/>
      <c r="BD72" s="16"/>
      <c r="BE72" s="14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</row>
    <row r="73" spans="1:85" ht="16.5" customHeight="1" x14ac:dyDescent="0.25">
      <c r="A73" s="24">
        <f t="shared" si="2"/>
        <v>1</v>
      </c>
      <c r="B73" s="27">
        <v>34150</v>
      </c>
      <c r="C73" s="29" t="s">
        <v>1477</v>
      </c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3"/>
      <c r="AG73" s="12" t="s">
        <v>243</v>
      </c>
      <c r="AH73" s="12"/>
      <c r="AI73" s="12"/>
      <c r="AJ73" s="12"/>
      <c r="AK73" s="12"/>
      <c r="AL73" s="12"/>
      <c r="AM73" s="12"/>
      <c r="AN73" s="12"/>
      <c r="AO73" s="12"/>
      <c r="AP73" s="12"/>
      <c r="AQ73" s="13"/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  <c r="BC73" s="12"/>
      <c r="BD73" s="12"/>
      <c r="BE73" s="38"/>
    </row>
    <row r="74" spans="1:85" s="13" customFormat="1" ht="16.5" customHeight="1" x14ac:dyDescent="0.25">
      <c r="A74" s="24">
        <f t="shared" si="2"/>
        <v>1</v>
      </c>
      <c r="B74" s="25">
        <v>34200</v>
      </c>
      <c r="C74" s="26" t="s">
        <v>1478</v>
      </c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7"/>
      <c r="AG74" s="16" t="s">
        <v>243</v>
      </c>
      <c r="AH74" s="16"/>
      <c r="AI74" s="16"/>
      <c r="AJ74" s="16"/>
      <c r="AK74" s="16"/>
      <c r="AL74" s="16"/>
      <c r="AM74" s="16"/>
      <c r="AN74" s="16"/>
      <c r="AO74" s="16"/>
      <c r="AP74" s="16"/>
      <c r="AQ74" s="17"/>
      <c r="AR74" s="16"/>
      <c r="AS74" s="16"/>
      <c r="AT74" s="16"/>
      <c r="AU74" s="16"/>
      <c r="AV74" s="16"/>
      <c r="AW74" s="16"/>
      <c r="AX74" s="16"/>
      <c r="AY74" s="16"/>
      <c r="AZ74" s="16"/>
      <c r="BA74" s="16"/>
      <c r="BB74" s="16"/>
      <c r="BC74" s="16"/>
      <c r="BD74" s="16"/>
      <c r="BE74" s="14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</row>
    <row r="75" spans="1:85" ht="16.5" customHeight="1" x14ac:dyDescent="0.25">
      <c r="A75" s="24">
        <f t="shared" si="2"/>
        <v>1</v>
      </c>
      <c r="B75" s="27">
        <v>34250</v>
      </c>
      <c r="C75" s="29" t="s">
        <v>1479</v>
      </c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3"/>
      <c r="AG75" s="12" t="s">
        <v>243</v>
      </c>
      <c r="AH75" s="12"/>
      <c r="AI75" s="12"/>
      <c r="AJ75" s="12"/>
      <c r="AK75" s="12"/>
      <c r="AL75" s="12"/>
      <c r="AM75" s="12"/>
      <c r="AN75" s="12"/>
      <c r="AO75" s="12"/>
      <c r="AP75" s="12"/>
      <c r="AQ75" s="13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38"/>
    </row>
    <row r="76" spans="1:85" s="13" customFormat="1" ht="16.5" customHeight="1" x14ac:dyDescent="0.25">
      <c r="A76" s="24">
        <f t="shared" si="2"/>
        <v>1</v>
      </c>
      <c r="B76" s="25">
        <v>34300</v>
      </c>
      <c r="C76" s="26" t="s">
        <v>1480</v>
      </c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7"/>
      <c r="AG76" s="16" t="s">
        <v>243</v>
      </c>
      <c r="AH76" s="16"/>
      <c r="AI76" s="16"/>
      <c r="AJ76" s="16"/>
      <c r="AK76" s="16"/>
      <c r="AL76" s="16"/>
      <c r="AM76" s="16"/>
      <c r="AN76" s="16"/>
      <c r="AO76" s="16"/>
      <c r="AP76" s="16"/>
      <c r="AQ76" s="17"/>
      <c r="AR76" s="16"/>
      <c r="AS76" s="16"/>
      <c r="AT76" s="16"/>
      <c r="AU76" s="16"/>
      <c r="AV76" s="16"/>
      <c r="AW76" s="16"/>
      <c r="AX76" s="16"/>
      <c r="AY76" s="16"/>
      <c r="AZ76" s="16"/>
      <c r="BA76" s="16"/>
      <c r="BB76" s="16"/>
      <c r="BC76" s="16"/>
      <c r="BD76" s="16"/>
      <c r="BE76" s="14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</row>
    <row r="77" spans="1:85" ht="16.5" customHeight="1" x14ac:dyDescent="0.25">
      <c r="A77" s="24">
        <f t="shared" si="2"/>
        <v>1</v>
      </c>
      <c r="B77" s="27">
        <v>34350</v>
      </c>
      <c r="C77" s="29" t="s">
        <v>1481</v>
      </c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3"/>
      <c r="AG77" s="12" t="s">
        <v>243</v>
      </c>
      <c r="AH77" s="12"/>
      <c r="AI77" s="12"/>
      <c r="AJ77" s="12"/>
      <c r="AK77" s="12"/>
      <c r="AL77" s="12"/>
      <c r="AM77" s="12"/>
      <c r="AN77" s="12"/>
      <c r="AO77" s="12"/>
      <c r="AP77" s="12"/>
      <c r="AQ77" s="13"/>
      <c r="AR77" s="12"/>
      <c r="AS77" s="12"/>
      <c r="AT77" s="12"/>
      <c r="AU77" s="12"/>
      <c r="AV77" s="12"/>
      <c r="AW77" s="12"/>
      <c r="AX77" s="12"/>
      <c r="AY77" s="12"/>
      <c r="AZ77" s="12"/>
      <c r="BA77" s="12"/>
      <c r="BB77" s="12"/>
      <c r="BC77" s="12"/>
      <c r="BD77" s="12"/>
      <c r="BE77" s="38"/>
    </row>
    <row r="78" spans="1:85" s="13" customFormat="1" ht="16.5" customHeight="1" x14ac:dyDescent="0.25">
      <c r="A78" s="24">
        <f t="shared" si="2"/>
        <v>1</v>
      </c>
      <c r="B78" s="25">
        <v>34400</v>
      </c>
      <c r="C78" s="26" t="s">
        <v>1482</v>
      </c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7"/>
      <c r="AG78" s="16" t="s">
        <v>243</v>
      </c>
      <c r="AH78" s="16"/>
      <c r="AI78" s="16"/>
      <c r="AJ78" s="16"/>
      <c r="AK78" s="16"/>
      <c r="AL78" s="16"/>
      <c r="AM78" s="16"/>
      <c r="AN78" s="16"/>
      <c r="AO78" s="16"/>
      <c r="AP78" s="16"/>
      <c r="AQ78" s="17"/>
      <c r="AR78" s="16"/>
      <c r="AS78" s="16"/>
      <c r="AT78" s="16"/>
      <c r="AU78" s="16"/>
      <c r="AV78" s="16"/>
      <c r="AW78" s="16"/>
      <c r="AX78" s="16"/>
      <c r="AY78" s="16"/>
      <c r="AZ78" s="16"/>
      <c r="BA78" s="16"/>
      <c r="BB78" s="16"/>
      <c r="BC78" s="16"/>
      <c r="BD78" s="16"/>
      <c r="BE78" s="14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</row>
    <row r="79" spans="1:85" ht="16.5" customHeight="1" x14ac:dyDescent="0.25">
      <c r="A79" s="24">
        <f t="shared" si="2"/>
        <v>1</v>
      </c>
      <c r="B79" s="27">
        <v>34450</v>
      </c>
      <c r="C79" s="29" t="s">
        <v>1483</v>
      </c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3"/>
      <c r="AG79" s="12" t="s">
        <v>243</v>
      </c>
      <c r="AH79" s="12"/>
      <c r="AI79" s="12"/>
      <c r="AJ79" s="12"/>
      <c r="AK79" s="12"/>
      <c r="AL79" s="12"/>
      <c r="AM79" s="12"/>
      <c r="AN79" s="12"/>
      <c r="AO79" s="12"/>
      <c r="AP79" s="12"/>
      <c r="AQ79" s="13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38"/>
    </row>
    <row r="80" spans="1:85" s="13" customFormat="1" ht="16.5" customHeight="1" x14ac:dyDescent="0.25">
      <c r="A80" s="24">
        <f t="shared" ref="A80:A104" si="3">COUNTIF(D81:BE81,"Y")</f>
        <v>1</v>
      </c>
      <c r="B80" s="25">
        <v>34500</v>
      </c>
      <c r="C80" s="26" t="s">
        <v>1484</v>
      </c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7"/>
      <c r="AG80" s="16" t="s">
        <v>243</v>
      </c>
      <c r="AH80" s="16"/>
      <c r="AI80" s="16"/>
      <c r="AJ80" s="16"/>
      <c r="AK80" s="16"/>
      <c r="AL80" s="16"/>
      <c r="AM80" s="16"/>
      <c r="AN80" s="16"/>
      <c r="AO80" s="16"/>
      <c r="AP80" s="16"/>
      <c r="AQ80" s="17"/>
      <c r="AR80" s="16"/>
      <c r="AS80" s="16"/>
      <c r="AT80" s="16"/>
      <c r="AU80" s="16"/>
      <c r="AV80" s="16"/>
      <c r="AW80" s="16"/>
      <c r="AX80" s="16"/>
      <c r="AY80" s="16"/>
      <c r="AZ80" s="16"/>
      <c r="BA80" s="16"/>
      <c r="BB80" s="16"/>
      <c r="BC80" s="16"/>
      <c r="BD80" s="16"/>
      <c r="BE80" s="14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</row>
    <row r="81" spans="1:85" ht="16.5" customHeight="1" x14ac:dyDescent="0.25">
      <c r="A81" s="24">
        <f t="shared" si="3"/>
        <v>1</v>
      </c>
      <c r="B81" s="27">
        <v>34599</v>
      </c>
      <c r="C81" s="29" t="s">
        <v>1485</v>
      </c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3"/>
      <c r="AG81" s="12" t="s">
        <v>243</v>
      </c>
      <c r="AH81" s="12"/>
      <c r="AI81" s="12"/>
      <c r="AJ81" s="12"/>
      <c r="AK81" s="12"/>
      <c r="AL81" s="12"/>
      <c r="AM81" s="12"/>
      <c r="AN81" s="12"/>
      <c r="AO81" s="12"/>
      <c r="AP81" s="12"/>
      <c r="AQ81" s="13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38"/>
    </row>
    <row r="82" spans="1:85" s="13" customFormat="1" ht="16.5" customHeight="1" x14ac:dyDescent="0.25">
      <c r="A82" s="24">
        <f t="shared" si="3"/>
        <v>1</v>
      </c>
      <c r="B82" s="25">
        <v>35000</v>
      </c>
      <c r="C82" s="26" t="s">
        <v>104</v>
      </c>
      <c r="D82" s="43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6" t="s">
        <v>243</v>
      </c>
      <c r="AH82" s="17"/>
      <c r="AI82" s="17"/>
      <c r="AJ82" s="17"/>
      <c r="AK82" s="17"/>
      <c r="AL82" s="17"/>
      <c r="AM82" s="17"/>
      <c r="AN82" s="17"/>
      <c r="AO82" s="17"/>
      <c r="AP82" s="43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4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</row>
    <row r="83" spans="1:85" ht="16.5" customHeight="1" x14ac:dyDescent="0.25">
      <c r="A83" s="24">
        <f t="shared" si="3"/>
        <v>1</v>
      </c>
      <c r="B83" s="27">
        <v>35100</v>
      </c>
      <c r="C83" s="29" t="s">
        <v>411</v>
      </c>
      <c r="D83" s="42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2" t="s">
        <v>243</v>
      </c>
      <c r="AH83" s="13"/>
      <c r="AI83" s="13"/>
      <c r="AJ83" s="13"/>
      <c r="AK83" s="13"/>
      <c r="AL83" s="13"/>
      <c r="AM83" s="13"/>
      <c r="AN83" s="13"/>
      <c r="AO83" s="13"/>
      <c r="AP83" s="42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38"/>
    </row>
    <row r="84" spans="1:85" s="13" customFormat="1" ht="16.5" customHeight="1" x14ac:dyDescent="0.25">
      <c r="A84" s="24">
        <f t="shared" si="3"/>
        <v>1</v>
      </c>
      <c r="B84" s="25">
        <v>36000</v>
      </c>
      <c r="C84" s="26" t="s">
        <v>419</v>
      </c>
      <c r="D84" s="43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43" t="s">
        <v>243</v>
      </c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4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</row>
    <row r="85" spans="1:85" ht="16.5" customHeight="1" x14ac:dyDescent="0.25">
      <c r="A85" s="24">
        <f t="shared" si="3"/>
        <v>1</v>
      </c>
      <c r="B85" s="27">
        <v>36001</v>
      </c>
      <c r="C85" s="29" t="s">
        <v>421</v>
      </c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3"/>
      <c r="AG85" s="12"/>
      <c r="AH85" s="12"/>
      <c r="AI85" s="12"/>
      <c r="AJ85" s="12"/>
      <c r="AK85" s="12"/>
      <c r="AL85" s="12"/>
      <c r="AM85" s="12"/>
      <c r="AN85" s="12"/>
      <c r="AO85" s="12"/>
      <c r="AP85" s="12" t="s">
        <v>243</v>
      </c>
      <c r="AQ85" s="13"/>
      <c r="AR85" s="12"/>
      <c r="AS85" s="12"/>
      <c r="AT85" s="12"/>
      <c r="AU85" s="12"/>
      <c r="AV85" s="12"/>
      <c r="AW85" s="12"/>
      <c r="AX85" s="12"/>
      <c r="AY85" s="12"/>
      <c r="AZ85" s="12"/>
      <c r="BA85" s="12"/>
      <c r="BB85" s="12"/>
      <c r="BC85" s="12"/>
      <c r="BD85" s="12"/>
      <c r="BE85" s="38"/>
    </row>
    <row r="86" spans="1:85" s="13" customFormat="1" ht="16.5" customHeight="1" x14ac:dyDescent="0.25">
      <c r="A86" s="24">
        <f t="shared" si="3"/>
        <v>1</v>
      </c>
      <c r="B86" s="25">
        <v>36002</v>
      </c>
      <c r="C86" s="26" t="s">
        <v>423</v>
      </c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7"/>
      <c r="AG86" s="16"/>
      <c r="AH86" s="16"/>
      <c r="AI86" s="16"/>
      <c r="AJ86" s="16"/>
      <c r="AK86" s="16"/>
      <c r="AL86" s="16"/>
      <c r="AM86" s="16"/>
      <c r="AN86" s="16"/>
      <c r="AO86" s="16"/>
      <c r="AP86" s="16" t="s">
        <v>243</v>
      </c>
      <c r="AQ86" s="17"/>
      <c r="AR86" s="16"/>
      <c r="AS86" s="16"/>
      <c r="AT86" s="16"/>
      <c r="AU86" s="16"/>
      <c r="AV86" s="16"/>
      <c r="AW86" s="16"/>
      <c r="AX86" s="16"/>
      <c r="AY86" s="16"/>
      <c r="AZ86" s="16"/>
      <c r="BA86" s="16"/>
      <c r="BB86" s="16"/>
      <c r="BC86" s="16"/>
      <c r="BD86" s="16"/>
      <c r="BE86" s="14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</row>
    <row r="87" spans="1:85" ht="16.5" customHeight="1" x14ac:dyDescent="0.25">
      <c r="A87" s="24">
        <f t="shared" si="3"/>
        <v>1</v>
      </c>
      <c r="B87" s="27">
        <v>36003</v>
      </c>
      <c r="C87" s="29" t="s">
        <v>425</v>
      </c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3"/>
      <c r="AG87" s="12"/>
      <c r="AH87" s="12"/>
      <c r="AI87" s="12"/>
      <c r="AJ87" s="12"/>
      <c r="AK87" s="12"/>
      <c r="AL87" s="12"/>
      <c r="AM87" s="12"/>
      <c r="AN87" s="12"/>
      <c r="AO87" s="12"/>
      <c r="AP87" s="12" t="s">
        <v>243</v>
      </c>
      <c r="AQ87" s="13"/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38"/>
    </row>
    <row r="88" spans="1:85" s="13" customFormat="1" ht="16.5" customHeight="1" x14ac:dyDescent="0.25">
      <c r="A88" s="24">
        <f t="shared" si="3"/>
        <v>1</v>
      </c>
      <c r="B88" s="25">
        <v>36004</v>
      </c>
      <c r="C88" s="26" t="s">
        <v>427</v>
      </c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7"/>
      <c r="AG88" s="16"/>
      <c r="AH88" s="16"/>
      <c r="AI88" s="16"/>
      <c r="AJ88" s="16"/>
      <c r="AK88" s="16"/>
      <c r="AL88" s="16"/>
      <c r="AM88" s="16"/>
      <c r="AN88" s="16"/>
      <c r="AO88" s="16"/>
      <c r="AP88" s="16" t="s">
        <v>243</v>
      </c>
      <c r="AQ88" s="17"/>
      <c r="AR88" s="16"/>
      <c r="AS88" s="16"/>
      <c r="AT88" s="16"/>
      <c r="AU88" s="16"/>
      <c r="AV88" s="16"/>
      <c r="AW88" s="16"/>
      <c r="AX88" s="16"/>
      <c r="AY88" s="16"/>
      <c r="AZ88" s="16"/>
      <c r="BA88" s="16"/>
      <c r="BB88" s="16"/>
      <c r="BC88" s="16"/>
      <c r="BD88" s="16"/>
      <c r="BE88" s="14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</row>
    <row r="89" spans="1:85" ht="16.5" customHeight="1" x14ac:dyDescent="0.25">
      <c r="A89" s="24">
        <f t="shared" si="3"/>
        <v>1</v>
      </c>
      <c r="B89" s="27">
        <v>36005</v>
      </c>
      <c r="C89" s="29" t="s">
        <v>8</v>
      </c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3"/>
      <c r="AG89" s="12"/>
      <c r="AH89" s="12"/>
      <c r="AI89" s="12"/>
      <c r="AJ89" s="12"/>
      <c r="AK89" s="12"/>
      <c r="AL89" s="12"/>
      <c r="AM89" s="12"/>
      <c r="AN89" s="12"/>
      <c r="AO89" s="12"/>
      <c r="AP89" s="12" t="s">
        <v>243</v>
      </c>
      <c r="AQ89" s="13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38"/>
    </row>
    <row r="90" spans="1:85" s="13" customFormat="1" ht="16.5" customHeight="1" x14ac:dyDescent="0.25">
      <c r="A90" s="24">
        <f t="shared" si="3"/>
        <v>1</v>
      </c>
      <c r="B90" s="25">
        <v>36006</v>
      </c>
      <c r="C90" s="26" t="s">
        <v>430</v>
      </c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7"/>
      <c r="AG90" s="16"/>
      <c r="AH90" s="16"/>
      <c r="AI90" s="16"/>
      <c r="AJ90" s="16"/>
      <c r="AK90" s="16"/>
      <c r="AL90" s="16"/>
      <c r="AM90" s="16"/>
      <c r="AN90" s="16"/>
      <c r="AO90" s="16"/>
      <c r="AP90" s="16" t="s">
        <v>243</v>
      </c>
      <c r="AQ90" s="17"/>
      <c r="AR90" s="16"/>
      <c r="AS90" s="16"/>
      <c r="AT90" s="16"/>
      <c r="AU90" s="16"/>
      <c r="AV90" s="16"/>
      <c r="AW90" s="16"/>
      <c r="AX90" s="16"/>
      <c r="AY90" s="16"/>
      <c r="AZ90" s="16"/>
      <c r="BA90" s="16"/>
      <c r="BB90" s="16"/>
      <c r="BC90" s="16"/>
      <c r="BD90" s="16"/>
      <c r="BE90" s="14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</row>
    <row r="91" spans="1:85" ht="16.5" customHeight="1" x14ac:dyDescent="0.25">
      <c r="A91" s="24">
        <f t="shared" si="3"/>
        <v>1</v>
      </c>
      <c r="B91" s="27">
        <v>36007</v>
      </c>
      <c r="C91" s="29" t="s">
        <v>432</v>
      </c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3"/>
      <c r="AG91" s="12"/>
      <c r="AH91" s="12"/>
      <c r="AI91" s="12"/>
      <c r="AJ91" s="12"/>
      <c r="AK91" s="12"/>
      <c r="AL91" s="12"/>
      <c r="AM91" s="12"/>
      <c r="AN91" s="12"/>
      <c r="AO91" s="12"/>
      <c r="AP91" s="12" t="s">
        <v>243</v>
      </c>
      <c r="AQ91" s="13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38"/>
    </row>
    <row r="92" spans="1:85" s="13" customFormat="1" ht="16.5" customHeight="1" x14ac:dyDescent="0.25">
      <c r="A92" s="24">
        <f t="shared" si="3"/>
        <v>1</v>
      </c>
      <c r="B92" s="25">
        <v>36008</v>
      </c>
      <c r="C92" s="26" t="s">
        <v>434</v>
      </c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7"/>
      <c r="AG92" s="16"/>
      <c r="AH92" s="16"/>
      <c r="AI92" s="16"/>
      <c r="AJ92" s="16"/>
      <c r="AK92" s="16"/>
      <c r="AL92" s="16"/>
      <c r="AM92" s="16"/>
      <c r="AN92" s="16"/>
      <c r="AO92" s="16"/>
      <c r="AP92" s="16" t="s">
        <v>243</v>
      </c>
      <c r="AQ92" s="17"/>
      <c r="AR92" s="16"/>
      <c r="AS92" s="16"/>
      <c r="AT92" s="16"/>
      <c r="AU92" s="16"/>
      <c r="AV92" s="16"/>
      <c r="AW92" s="16"/>
      <c r="AX92" s="16"/>
      <c r="AY92" s="16"/>
      <c r="AZ92" s="16"/>
      <c r="BA92" s="16"/>
      <c r="BB92" s="16"/>
      <c r="BC92" s="16"/>
      <c r="BD92" s="16"/>
      <c r="BE92" s="14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</row>
    <row r="93" spans="1:85" ht="16.5" customHeight="1" x14ac:dyDescent="0.25">
      <c r="A93" s="24">
        <f t="shared" si="3"/>
        <v>1</v>
      </c>
      <c r="B93" s="27">
        <v>36009</v>
      </c>
      <c r="C93" s="29" t="s">
        <v>436</v>
      </c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3"/>
      <c r="AG93" s="12"/>
      <c r="AH93" s="12"/>
      <c r="AI93" s="12"/>
      <c r="AJ93" s="12"/>
      <c r="AK93" s="12"/>
      <c r="AL93" s="12"/>
      <c r="AM93" s="12"/>
      <c r="AN93" s="12"/>
      <c r="AO93" s="12"/>
      <c r="AP93" s="12" t="s">
        <v>243</v>
      </c>
      <c r="AQ93" s="13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38"/>
    </row>
    <row r="94" spans="1:85" s="13" customFormat="1" ht="16.5" customHeight="1" x14ac:dyDescent="0.25">
      <c r="A94" s="24">
        <f t="shared" si="3"/>
        <v>1</v>
      </c>
      <c r="B94" s="25">
        <v>36010</v>
      </c>
      <c r="C94" s="26" t="s">
        <v>438</v>
      </c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7"/>
      <c r="AG94" s="16"/>
      <c r="AH94" s="16"/>
      <c r="AI94" s="16"/>
      <c r="AJ94" s="16"/>
      <c r="AK94" s="16"/>
      <c r="AL94" s="16"/>
      <c r="AM94" s="16"/>
      <c r="AN94" s="16"/>
      <c r="AO94" s="16"/>
      <c r="AP94" s="16" t="s">
        <v>243</v>
      </c>
      <c r="AQ94" s="17"/>
      <c r="AR94" s="16"/>
      <c r="AS94" s="16"/>
      <c r="AT94" s="16"/>
      <c r="AU94" s="16"/>
      <c r="AV94" s="16"/>
      <c r="AW94" s="16"/>
      <c r="AX94" s="16"/>
      <c r="AY94" s="16"/>
      <c r="AZ94" s="16"/>
      <c r="BA94" s="16"/>
      <c r="BB94" s="16"/>
      <c r="BC94" s="16"/>
      <c r="BD94" s="16"/>
      <c r="BE94" s="14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</row>
    <row r="95" spans="1:85" ht="16.5" customHeight="1" x14ac:dyDescent="0.25">
      <c r="A95" s="24">
        <f t="shared" si="3"/>
        <v>1</v>
      </c>
      <c r="B95" s="27">
        <v>36011</v>
      </c>
      <c r="C95" s="29" t="s">
        <v>440</v>
      </c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3"/>
      <c r="AG95" s="12"/>
      <c r="AH95" s="12"/>
      <c r="AI95" s="12"/>
      <c r="AJ95" s="12"/>
      <c r="AK95" s="12"/>
      <c r="AL95" s="12"/>
      <c r="AM95" s="12"/>
      <c r="AN95" s="12"/>
      <c r="AO95" s="12"/>
      <c r="AP95" s="12" t="s">
        <v>243</v>
      </c>
      <c r="AQ95" s="13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38"/>
    </row>
    <row r="96" spans="1:85" s="13" customFormat="1" ht="16.5" customHeight="1" x14ac:dyDescent="0.25">
      <c r="A96" s="24">
        <f t="shared" si="3"/>
        <v>1</v>
      </c>
      <c r="B96" s="25">
        <v>36012</v>
      </c>
      <c r="C96" s="26" t="s">
        <v>442</v>
      </c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7"/>
      <c r="AG96" s="16"/>
      <c r="AH96" s="16"/>
      <c r="AI96" s="16"/>
      <c r="AJ96" s="16"/>
      <c r="AK96" s="16"/>
      <c r="AL96" s="16"/>
      <c r="AM96" s="16"/>
      <c r="AN96" s="16"/>
      <c r="AO96" s="16"/>
      <c r="AP96" s="16" t="s">
        <v>243</v>
      </c>
      <c r="AQ96" s="17"/>
      <c r="AR96" s="16"/>
      <c r="AS96" s="16"/>
      <c r="AT96" s="16"/>
      <c r="AU96" s="16"/>
      <c r="AV96" s="16"/>
      <c r="AW96" s="16"/>
      <c r="AX96" s="16"/>
      <c r="AY96" s="16"/>
      <c r="AZ96" s="16"/>
      <c r="BA96" s="16"/>
      <c r="BB96" s="16"/>
      <c r="BC96" s="16"/>
      <c r="BD96" s="16"/>
      <c r="BE96" s="14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</row>
    <row r="97" spans="1:85" ht="16.5" customHeight="1" x14ac:dyDescent="0.25">
      <c r="A97" s="24">
        <f t="shared" si="3"/>
        <v>1</v>
      </c>
      <c r="B97" s="27">
        <v>36013</v>
      </c>
      <c r="C97" s="29" t="s">
        <v>1486</v>
      </c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3"/>
      <c r="AG97" s="12"/>
      <c r="AH97" s="12"/>
      <c r="AI97" s="12"/>
      <c r="AJ97" s="12"/>
      <c r="AK97" s="12"/>
      <c r="AL97" s="12"/>
      <c r="AM97" s="12"/>
      <c r="AN97" s="12"/>
      <c r="AO97" s="12"/>
      <c r="AP97" s="12" t="s">
        <v>243</v>
      </c>
      <c r="AQ97" s="13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38"/>
    </row>
    <row r="98" spans="1:85" s="13" customFormat="1" ht="16.5" customHeight="1" x14ac:dyDescent="0.25">
      <c r="A98" s="24">
        <f t="shared" si="3"/>
        <v>1</v>
      </c>
      <c r="B98" s="25">
        <v>36014</v>
      </c>
      <c r="C98" s="26" t="s">
        <v>117</v>
      </c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7"/>
      <c r="AG98" s="16"/>
      <c r="AH98" s="16"/>
      <c r="AI98" s="16"/>
      <c r="AJ98" s="16"/>
      <c r="AK98" s="16"/>
      <c r="AL98" s="16"/>
      <c r="AM98" s="16"/>
      <c r="AN98" s="16"/>
      <c r="AO98" s="16"/>
      <c r="AP98" s="16" t="s">
        <v>243</v>
      </c>
      <c r="AQ98" s="17"/>
      <c r="AR98" s="16"/>
      <c r="AS98" s="16"/>
      <c r="AT98" s="16"/>
      <c r="AU98" s="16"/>
      <c r="AV98" s="16"/>
      <c r="AW98" s="16"/>
      <c r="AX98" s="16"/>
      <c r="AY98" s="16"/>
      <c r="AZ98" s="16"/>
      <c r="BA98" s="16"/>
      <c r="BB98" s="16"/>
      <c r="BC98" s="16"/>
      <c r="BD98" s="16"/>
      <c r="BE98" s="14"/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</row>
    <row r="99" spans="1:85" ht="16.5" customHeight="1" x14ac:dyDescent="0.25">
      <c r="A99" s="24">
        <f t="shared" si="3"/>
        <v>1</v>
      </c>
      <c r="B99" s="27">
        <v>36100</v>
      </c>
      <c r="C99" s="29" t="s">
        <v>444</v>
      </c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3"/>
      <c r="AG99" s="12"/>
      <c r="AH99" s="12"/>
      <c r="AI99" s="12"/>
      <c r="AJ99" s="12"/>
      <c r="AK99" s="12"/>
      <c r="AL99" s="12"/>
      <c r="AM99" s="12"/>
      <c r="AN99" s="12"/>
      <c r="AO99" s="12"/>
      <c r="AP99" s="12" t="s">
        <v>243</v>
      </c>
      <c r="AQ99" s="13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38"/>
    </row>
    <row r="100" spans="1:85" s="13" customFormat="1" ht="16.5" customHeight="1" x14ac:dyDescent="0.25">
      <c r="A100" s="24">
        <f t="shared" si="3"/>
        <v>1</v>
      </c>
      <c r="B100" s="25">
        <v>36101</v>
      </c>
      <c r="C100" s="26" t="s">
        <v>1487</v>
      </c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7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 t="s">
        <v>243</v>
      </c>
      <c r="AQ100" s="17"/>
      <c r="AR100" s="16"/>
      <c r="AS100" s="16"/>
      <c r="AT100" s="16"/>
      <c r="AU100" s="16"/>
      <c r="AV100" s="16"/>
      <c r="AW100" s="16"/>
      <c r="AX100" s="16"/>
      <c r="AY100" s="16"/>
      <c r="AZ100" s="16"/>
      <c r="BA100" s="16"/>
      <c r="BB100" s="16"/>
      <c r="BC100" s="16"/>
      <c r="BD100" s="16"/>
      <c r="BE100" s="14"/>
      <c r="BF100" s="17"/>
      <c r="BG100" s="17"/>
      <c r="BH100" s="17"/>
      <c r="BI100" s="17"/>
      <c r="BJ100" s="17"/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</row>
    <row r="101" spans="1:85" ht="15" customHeight="1" x14ac:dyDescent="0.25">
      <c r="A101" s="24">
        <f t="shared" si="3"/>
        <v>1</v>
      </c>
      <c r="B101" s="27">
        <v>36102</v>
      </c>
      <c r="C101" s="29" t="s">
        <v>448</v>
      </c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3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 t="s">
        <v>243</v>
      </c>
      <c r="AQ101" s="13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38"/>
    </row>
    <row r="102" spans="1:85" s="13" customFormat="1" ht="16.5" customHeight="1" x14ac:dyDescent="0.25">
      <c r="A102" s="24">
        <f t="shared" si="3"/>
        <v>1</v>
      </c>
      <c r="B102" s="25">
        <v>36103</v>
      </c>
      <c r="C102" s="26" t="s">
        <v>450</v>
      </c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7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 t="s">
        <v>243</v>
      </c>
      <c r="AQ102" s="17"/>
      <c r="AR102" s="16"/>
      <c r="AS102" s="16"/>
      <c r="AT102" s="16"/>
      <c r="AU102" s="16"/>
      <c r="AV102" s="16"/>
      <c r="AW102" s="16"/>
      <c r="AX102" s="16"/>
      <c r="AY102" s="16"/>
      <c r="AZ102" s="16"/>
      <c r="BA102" s="16"/>
      <c r="BB102" s="16"/>
      <c r="BC102" s="16"/>
      <c r="BD102" s="16"/>
      <c r="BE102" s="14"/>
      <c r="BF102" s="17"/>
      <c r="BG102" s="17"/>
      <c r="BH102" s="17"/>
      <c r="BI102" s="17"/>
      <c r="BJ102" s="17"/>
      <c r="BK102" s="17"/>
      <c r="BL102" s="17"/>
      <c r="BM102" s="17"/>
      <c r="BN102" s="17"/>
      <c r="BO102" s="17"/>
      <c r="BP102" s="17"/>
      <c r="BQ102" s="17"/>
      <c r="BR102" s="17"/>
      <c r="BS102" s="17"/>
      <c r="BT102" s="17"/>
      <c r="BU102" s="17"/>
      <c r="BV102" s="17"/>
      <c r="BW102" s="17"/>
      <c r="BX102" s="17"/>
      <c r="BY102" s="17"/>
      <c r="BZ102" s="17"/>
      <c r="CA102" s="17"/>
      <c r="CB102" s="17"/>
      <c r="CC102" s="17"/>
      <c r="CD102" s="17"/>
      <c r="CE102" s="17"/>
      <c r="CF102" s="17"/>
      <c r="CG102" s="17"/>
    </row>
    <row r="103" spans="1:85" ht="16.5" customHeight="1" x14ac:dyDescent="0.25">
      <c r="A103" s="24">
        <f t="shared" si="3"/>
        <v>1</v>
      </c>
      <c r="B103" s="27">
        <v>36104</v>
      </c>
      <c r="C103" s="28" t="s">
        <v>452</v>
      </c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3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 t="s">
        <v>243</v>
      </c>
      <c r="AQ103" s="13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38"/>
    </row>
    <row r="104" spans="1:85" s="13" customFormat="1" ht="16.5" customHeight="1" x14ac:dyDescent="0.25">
      <c r="A104" s="24">
        <f t="shared" si="3"/>
        <v>1</v>
      </c>
      <c r="B104" s="25">
        <v>36105</v>
      </c>
      <c r="C104" s="24" t="s">
        <v>454</v>
      </c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7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 t="s">
        <v>243</v>
      </c>
      <c r="AQ104" s="17"/>
      <c r="AR104" s="16"/>
      <c r="AS104" s="16"/>
      <c r="AT104" s="16"/>
      <c r="AU104" s="16"/>
      <c r="AV104" s="16"/>
      <c r="AW104" s="16"/>
      <c r="AX104" s="16"/>
      <c r="AY104" s="16"/>
      <c r="AZ104" s="16"/>
      <c r="BA104" s="16"/>
      <c r="BB104" s="16"/>
      <c r="BC104" s="16"/>
      <c r="BD104" s="16"/>
      <c r="BE104" s="14"/>
      <c r="BF104" s="17"/>
      <c r="BG104" s="17"/>
      <c r="BH104" s="17"/>
      <c r="BI104" s="17"/>
      <c r="BJ104" s="17"/>
      <c r="BK104" s="17"/>
      <c r="BL104" s="17"/>
      <c r="BM104" s="17"/>
      <c r="BN104" s="17"/>
      <c r="BO104" s="17"/>
      <c r="BP104" s="17"/>
      <c r="BQ104" s="17"/>
      <c r="BR104" s="17"/>
      <c r="BS104" s="17"/>
      <c r="BT104" s="17"/>
      <c r="BU104" s="17"/>
      <c r="BV104" s="17"/>
      <c r="BW104" s="17"/>
      <c r="BX104" s="17"/>
      <c r="BY104" s="17"/>
      <c r="BZ104" s="17"/>
      <c r="CA104" s="17"/>
      <c r="CB104" s="17"/>
      <c r="CC104" s="17"/>
      <c r="CD104" s="17"/>
      <c r="CE104" s="17"/>
      <c r="CF104" s="17"/>
      <c r="CG104" s="17"/>
    </row>
    <row r="105" spans="1:85" ht="16.5" customHeight="1" x14ac:dyDescent="0.25">
      <c r="A105" s="24">
        <f t="shared" ref="A105:A148" si="4">COUNTIF(D110:BE110,"Y")</f>
        <v>13</v>
      </c>
      <c r="B105" s="30">
        <v>36106</v>
      </c>
      <c r="C105" s="13" t="s">
        <v>456</v>
      </c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3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 t="s">
        <v>243</v>
      </c>
      <c r="AQ105" s="13"/>
      <c r="AR105" s="12"/>
      <c r="AS105" s="12"/>
      <c r="AT105" s="12"/>
      <c r="AU105" s="12"/>
      <c r="AV105" s="12"/>
      <c r="AW105" s="12"/>
      <c r="AX105" s="12"/>
      <c r="AY105" s="12"/>
      <c r="AZ105" s="12"/>
      <c r="BA105" s="12"/>
      <c r="BB105" s="12"/>
      <c r="BC105" s="12"/>
      <c r="BD105" s="12"/>
      <c r="BE105" s="38"/>
    </row>
    <row r="106" spans="1:85" s="13" customFormat="1" ht="16.5" customHeight="1" x14ac:dyDescent="0.25">
      <c r="A106" s="24">
        <f t="shared" si="4"/>
        <v>13</v>
      </c>
      <c r="B106" s="44">
        <v>36107</v>
      </c>
      <c r="C106" s="17" t="s">
        <v>1488</v>
      </c>
      <c r="D106" s="43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43" t="s">
        <v>243</v>
      </c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  <c r="BC106" s="17"/>
      <c r="BD106" s="17"/>
      <c r="BE106" s="14"/>
      <c r="BF106" s="17"/>
      <c r="BG106" s="17"/>
      <c r="BH106" s="17"/>
      <c r="BI106" s="17"/>
      <c r="BJ106" s="17"/>
      <c r="BK106" s="17"/>
      <c r="BL106" s="17"/>
      <c r="BM106" s="17"/>
      <c r="BN106" s="17"/>
      <c r="BO106" s="17"/>
      <c r="BP106" s="17"/>
      <c r="BQ106" s="17"/>
      <c r="BR106" s="17"/>
      <c r="BS106" s="17"/>
      <c r="BT106" s="17"/>
      <c r="BU106" s="17"/>
      <c r="BV106" s="17"/>
      <c r="BW106" s="17"/>
      <c r="BX106" s="17"/>
      <c r="BY106" s="17"/>
      <c r="BZ106" s="17"/>
      <c r="CA106" s="17"/>
      <c r="CB106" s="17"/>
      <c r="CC106" s="17"/>
      <c r="CD106" s="17"/>
      <c r="CE106" s="17"/>
      <c r="CF106" s="17"/>
      <c r="CG106" s="17"/>
    </row>
    <row r="107" spans="1:85" ht="16.5" customHeight="1" x14ac:dyDescent="0.25">
      <c r="A107" s="24">
        <f t="shared" si="4"/>
        <v>13</v>
      </c>
      <c r="B107" s="30">
        <v>38000</v>
      </c>
      <c r="C107" s="13" t="s">
        <v>119</v>
      </c>
      <c r="D107" s="42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38"/>
    </row>
    <row r="108" spans="1:85" s="13" customFormat="1" ht="16.5" customHeight="1" x14ac:dyDescent="0.25">
      <c r="A108" s="24">
        <f t="shared" si="4"/>
        <v>13</v>
      </c>
      <c r="B108" s="44">
        <v>38001</v>
      </c>
      <c r="C108" s="17" t="s">
        <v>235</v>
      </c>
      <c r="D108" s="43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  <c r="BC108" s="17"/>
      <c r="BD108" s="17"/>
      <c r="BE108" s="14"/>
      <c r="BF108" s="17"/>
      <c r="BG108" s="17"/>
      <c r="BH108" s="17"/>
      <c r="BI108" s="17"/>
      <c r="BJ108" s="17"/>
      <c r="BK108" s="17"/>
      <c r="BL108" s="17"/>
      <c r="BM108" s="17"/>
      <c r="BN108" s="17"/>
      <c r="BO108" s="17"/>
      <c r="BP108" s="17"/>
      <c r="BQ108" s="17"/>
      <c r="BR108" s="17"/>
      <c r="BS108" s="17"/>
      <c r="BT108" s="17"/>
      <c r="BU108" s="17"/>
      <c r="BV108" s="17"/>
      <c r="BW108" s="17"/>
      <c r="BX108" s="17"/>
      <c r="BY108" s="17"/>
      <c r="BZ108" s="17"/>
      <c r="CA108" s="17"/>
      <c r="CB108" s="17"/>
      <c r="CC108" s="17"/>
      <c r="CD108" s="17"/>
      <c r="CE108" s="17"/>
      <c r="CF108" s="17"/>
      <c r="CG108" s="17"/>
    </row>
    <row r="109" spans="1:85" ht="16.5" customHeight="1" x14ac:dyDescent="0.25">
      <c r="A109" s="24">
        <f t="shared" si="4"/>
        <v>13</v>
      </c>
      <c r="B109" s="30">
        <v>38500</v>
      </c>
      <c r="C109" s="13" t="s">
        <v>216</v>
      </c>
      <c r="D109" s="42" t="s">
        <v>243</v>
      </c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2" t="s">
        <v>243</v>
      </c>
      <c r="S109" s="12" t="s">
        <v>243</v>
      </c>
      <c r="T109" s="12" t="s">
        <v>243</v>
      </c>
      <c r="U109" s="12" t="s">
        <v>243</v>
      </c>
      <c r="V109" s="12" t="s">
        <v>243</v>
      </c>
      <c r="W109" s="12" t="s">
        <v>243</v>
      </c>
      <c r="X109" s="12" t="s">
        <v>243</v>
      </c>
      <c r="Y109" s="12" t="s">
        <v>243</v>
      </c>
      <c r="Z109" s="12" t="s">
        <v>243</v>
      </c>
      <c r="AA109" s="12" t="s">
        <v>243</v>
      </c>
      <c r="AB109" s="12" t="s">
        <v>243</v>
      </c>
      <c r="AC109" s="12" t="s">
        <v>243</v>
      </c>
      <c r="AD109" s="12" t="s">
        <v>243</v>
      </c>
      <c r="AE109" s="12" t="s">
        <v>243</v>
      </c>
      <c r="AF109" s="12" t="s">
        <v>243</v>
      </c>
      <c r="AG109" s="12" t="s">
        <v>243</v>
      </c>
      <c r="AH109" s="12" t="s">
        <v>243</v>
      </c>
      <c r="AI109" s="12" t="s">
        <v>243</v>
      </c>
      <c r="AJ109" s="12" t="s">
        <v>243</v>
      </c>
      <c r="AK109" s="12" t="s">
        <v>243</v>
      </c>
      <c r="AL109" s="12"/>
      <c r="AM109" s="12" t="s">
        <v>243</v>
      </c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38"/>
    </row>
    <row r="110" spans="1:85" s="13" customFormat="1" ht="16.5" customHeight="1" x14ac:dyDescent="0.25">
      <c r="A110" s="24">
        <f t="shared" si="4"/>
        <v>13</v>
      </c>
      <c r="B110" s="25">
        <v>40000</v>
      </c>
      <c r="C110" s="24" t="s">
        <v>121</v>
      </c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 t="s">
        <v>243</v>
      </c>
      <c r="S110" s="16" t="s">
        <v>243</v>
      </c>
      <c r="T110" s="16" t="s">
        <v>243</v>
      </c>
      <c r="U110" s="16" t="s">
        <v>243</v>
      </c>
      <c r="V110" s="16" t="s">
        <v>243</v>
      </c>
      <c r="W110" s="16" t="s">
        <v>243</v>
      </c>
      <c r="X110" s="16" t="s">
        <v>243</v>
      </c>
      <c r="Y110" s="16" t="s">
        <v>243</v>
      </c>
      <c r="Z110" s="16" t="s">
        <v>243</v>
      </c>
      <c r="AA110" s="16" t="s">
        <v>243</v>
      </c>
      <c r="AB110" s="16" t="s">
        <v>243</v>
      </c>
      <c r="AC110" s="16" t="s">
        <v>243</v>
      </c>
      <c r="AD110" s="16" t="s">
        <v>243</v>
      </c>
      <c r="AE110" s="16"/>
      <c r="AF110" s="17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7"/>
      <c r="AR110" s="16"/>
      <c r="AS110" s="16"/>
      <c r="AT110" s="16"/>
      <c r="AU110" s="16"/>
      <c r="AV110" s="16"/>
      <c r="AW110" s="16"/>
      <c r="AX110" s="16"/>
      <c r="AY110" s="16"/>
      <c r="AZ110" s="16"/>
      <c r="BA110" s="16"/>
      <c r="BB110" s="16"/>
      <c r="BC110" s="16"/>
      <c r="BD110" s="16"/>
      <c r="BE110" s="14"/>
      <c r="BF110" s="17"/>
      <c r="BG110" s="17"/>
      <c r="BH110" s="17"/>
      <c r="BI110" s="17"/>
      <c r="BJ110" s="17"/>
      <c r="BK110" s="17"/>
      <c r="BL110" s="17"/>
      <c r="BM110" s="17"/>
      <c r="BN110" s="17"/>
      <c r="BO110" s="17"/>
      <c r="BP110" s="17"/>
      <c r="BQ110" s="17"/>
      <c r="BR110" s="17"/>
      <c r="BS110" s="17"/>
      <c r="BT110" s="17"/>
      <c r="BU110" s="17"/>
      <c r="BV110" s="17"/>
      <c r="BW110" s="17"/>
      <c r="BX110" s="17"/>
      <c r="BY110" s="17"/>
      <c r="BZ110" s="17"/>
      <c r="CA110" s="17"/>
      <c r="CB110" s="17"/>
      <c r="CC110" s="17"/>
      <c r="CD110" s="17"/>
      <c r="CE110" s="17"/>
      <c r="CF110" s="17"/>
      <c r="CG110" s="17"/>
    </row>
    <row r="111" spans="1:85" ht="16.5" customHeight="1" x14ac:dyDescent="0.25">
      <c r="A111" s="24">
        <f t="shared" si="4"/>
        <v>13</v>
      </c>
      <c r="B111" s="27">
        <v>40001</v>
      </c>
      <c r="C111" s="28" t="s">
        <v>122</v>
      </c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 t="s">
        <v>243</v>
      </c>
      <c r="S111" s="12" t="s">
        <v>243</v>
      </c>
      <c r="T111" s="12" t="s">
        <v>243</v>
      </c>
      <c r="U111" s="12" t="s">
        <v>243</v>
      </c>
      <c r="V111" s="12" t="s">
        <v>243</v>
      </c>
      <c r="W111" s="12" t="s">
        <v>243</v>
      </c>
      <c r="X111" s="12" t="s">
        <v>243</v>
      </c>
      <c r="Y111" s="12" t="s">
        <v>243</v>
      </c>
      <c r="Z111" s="12" t="s">
        <v>243</v>
      </c>
      <c r="AA111" s="12" t="s">
        <v>243</v>
      </c>
      <c r="AB111" s="12" t="s">
        <v>243</v>
      </c>
      <c r="AC111" s="12" t="s">
        <v>243</v>
      </c>
      <c r="AD111" s="12" t="s">
        <v>243</v>
      </c>
      <c r="AE111" s="12"/>
      <c r="AF111" s="13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3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38"/>
    </row>
    <row r="112" spans="1:85" s="13" customFormat="1" ht="16.5" customHeight="1" x14ac:dyDescent="0.25">
      <c r="A112" s="24">
        <f t="shared" si="4"/>
        <v>2</v>
      </c>
      <c r="B112" s="25">
        <v>40002</v>
      </c>
      <c r="C112" s="24" t="s">
        <v>123</v>
      </c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 t="s">
        <v>243</v>
      </c>
      <c r="S112" s="16" t="s">
        <v>243</v>
      </c>
      <c r="T112" s="16" t="s">
        <v>243</v>
      </c>
      <c r="U112" s="16" t="s">
        <v>243</v>
      </c>
      <c r="V112" s="16" t="s">
        <v>243</v>
      </c>
      <c r="W112" s="16" t="s">
        <v>243</v>
      </c>
      <c r="X112" s="16" t="s">
        <v>243</v>
      </c>
      <c r="Y112" s="16" t="s">
        <v>243</v>
      </c>
      <c r="Z112" s="16" t="s">
        <v>243</v>
      </c>
      <c r="AA112" s="16" t="s">
        <v>243</v>
      </c>
      <c r="AB112" s="16" t="s">
        <v>243</v>
      </c>
      <c r="AC112" s="16" t="s">
        <v>243</v>
      </c>
      <c r="AD112" s="16" t="s">
        <v>243</v>
      </c>
      <c r="AE112" s="16"/>
      <c r="AF112" s="17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7"/>
      <c r="AR112" s="16"/>
      <c r="AS112" s="16"/>
      <c r="AT112" s="16"/>
      <c r="AU112" s="16"/>
      <c r="AV112" s="16"/>
      <c r="AW112" s="16"/>
      <c r="AX112" s="16"/>
      <c r="AY112" s="16"/>
      <c r="AZ112" s="16"/>
      <c r="BA112" s="16"/>
      <c r="BB112" s="16"/>
      <c r="BC112" s="16"/>
      <c r="BD112" s="16"/>
      <c r="BE112" s="14"/>
      <c r="BF112" s="17"/>
      <c r="BG112" s="17"/>
      <c r="BH112" s="17"/>
      <c r="BI112" s="17"/>
      <c r="BJ112" s="17"/>
      <c r="BK112" s="17"/>
      <c r="BL112" s="17"/>
      <c r="BM112" s="17"/>
      <c r="BN112" s="17"/>
      <c r="BO112" s="17"/>
      <c r="BP112" s="17"/>
      <c r="BQ112" s="17"/>
      <c r="BR112" s="17"/>
      <c r="BS112" s="17"/>
      <c r="BT112" s="17"/>
      <c r="BU112" s="17"/>
      <c r="BV112" s="17"/>
      <c r="BW112" s="17"/>
      <c r="BX112" s="17"/>
      <c r="BY112" s="17"/>
      <c r="BZ112" s="17"/>
      <c r="CA112" s="17"/>
      <c r="CB112" s="17"/>
      <c r="CC112" s="17"/>
      <c r="CD112" s="17"/>
      <c r="CE112" s="17"/>
      <c r="CF112" s="17"/>
      <c r="CG112" s="17"/>
    </row>
    <row r="113" spans="1:85" ht="16.5" customHeight="1" x14ac:dyDescent="0.25">
      <c r="A113" s="24">
        <f t="shared" si="4"/>
        <v>13</v>
      </c>
      <c r="B113" s="27">
        <v>40100</v>
      </c>
      <c r="C113" s="28" t="s">
        <v>1489</v>
      </c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 t="s">
        <v>243</v>
      </c>
      <c r="S113" s="12" t="s">
        <v>243</v>
      </c>
      <c r="T113" s="12" t="s">
        <v>243</v>
      </c>
      <c r="U113" s="12" t="s">
        <v>243</v>
      </c>
      <c r="V113" s="12" t="s">
        <v>243</v>
      </c>
      <c r="W113" s="12" t="s">
        <v>243</v>
      </c>
      <c r="X113" s="12" t="s">
        <v>243</v>
      </c>
      <c r="Y113" s="12" t="s">
        <v>243</v>
      </c>
      <c r="Z113" s="12" t="s">
        <v>243</v>
      </c>
      <c r="AA113" s="12" t="s">
        <v>243</v>
      </c>
      <c r="AB113" s="12" t="s">
        <v>243</v>
      </c>
      <c r="AC113" s="12" t="s">
        <v>243</v>
      </c>
      <c r="AD113" s="12" t="s">
        <v>243</v>
      </c>
      <c r="AE113" s="12"/>
      <c r="AF113" s="13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3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  <c r="BD113" s="12"/>
      <c r="BE113" s="38"/>
    </row>
    <row r="114" spans="1:85" s="13" customFormat="1" ht="16.5" customHeight="1" x14ac:dyDescent="0.25">
      <c r="A114" s="24">
        <f t="shared" si="4"/>
        <v>2</v>
      </c>
      <c r="B114" s="25">
        <v>40102</v>
      </c>
      <c r="C114" s="24" t="s">
        <v>124</v>
      </c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 t="s">
        <v>243</v>
      </c>
      <c r="S114" s="16" t="s">
        <v>243</v>
      </c>
      <c r="T114" s="16" t="s">
        <v>243</v>
      </c>
      <c r="U114" s="16" t="s">
        <v>243</v>
      </c>
      <c r="V114" s="16" t="s">
        <v>243</v>
      </c>
      <c r="W114" s="16" t="s">
        <v>243</v>
      </c>
      <c r="X114" s="16" t="s">
        <v>243</v>
      </c>
      <c r="Y114" s="16" t="s">
        <v>243</v>
      </c>
      <c r="Z114" s="16" t="s">
        <v>243</v>
      </c>
      <c r="AA114" s="16" t="s">
        <v>243</v>
      </c>
      <c r="AB114" s="16" t="s">
        <v>243</v>
      </c>
      <c r="AC114" s="16" t="s">
        <v>243</v>
      </c>
      <c r="AD114" s="16" t="s">
        <v>243</v>
      </c>
      <c r="AE114" s="16"/>
      <c r="AF114" s="17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7"/>
      <c r="AR114" s="16"/>
      <c r="AS114" s="16"/>
      <c r="AT114" s="16"/>
      <c r="AU114" s="16"/>
      <c r="AV114" s="16"/>
      <c r="AW114" s="16"/>
      <c r="AX114" s="16"/>
      <c r="AY114" s="16"/>
      <c r="AZ114" s="16"/>
      <c r="BA114" s="16"/>
      <c r="BB114" s="16"/>
      <c r="BC114" s="16"/>
      <c r="BD114" s="16"/>
      <c r="BE114" s="14"/>
      <c r="BF114" s="17"/>
      <c r="BG114" s="17"/>
      <c r="BH114" s="17"/>
      <c r="BI114" s="17"/>
      <c r="BJ114" s="17"/>
      <c r="BK114" s="17"/>
      <c r="BL114" s="17"/>
      <c r="BM114" s="17"/>
      <c r="BN114" s="17"/>
      <c r="BO114" s="17"/>
      <c r="BP114" s="17"/>
      <c r="BQ114" s="17"/>
      <c r="BR114" s="17"/>
      <c r="BS114" s="17"/>
      <c r="BT114" s="17"/>
      <c r="BU114" s="17"/>
      <c r="BV114" s="17"/>
      <c r="BW114" s="17"/>
      <c r="BX114" s="17"/>
      <c r="BY114" s="17"/>
      <c r="BZ114" s="17"/>
      <c r="CA114" s="17"/>
      <c r="CB114" s="17"/>
      <c r="CC114" s="17"/>
      <c r="CD114" s="17"/>
      <c r="CE114" s="17"/>
      <c r="CF114" s="17"/>
      <c r="CG114" s="17"/>
    </row>
    <row r="115" spans="1:85" ht="16.5" customHeight="1" x14ac:dyDescent="0.25">
      <c r="A115" s="24">
        <f t="shared" si="4"/>
        <v>2</v>
      </c>
      <c r="B115" s="27">
        <v>40103</v>
      </c>
      <c r="C115" s="28" t="s">
        <v>1490</v>
      </c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 t="s">
        <v>243</v>
      </c>
      <c r="S115" s="12" t="s">
        <v>243</v>
      </c>
      <c r="T115" s="12" t="s">
        <v>243</v>
      </c>
      <c r="U115" s="12" t="s">
        <v>243</v>
      </c>
      <c r="V115" s="12" t="s">
        <v>243</v>
      </c>
      <c r="W115" s="12" t="s">
        <v>243</v>
      </c>
      <c r="X115" s="12" t="s">
        <v>243</v>
      </c>
      <c r="Y115" s="12" t="s">
        <v>243</v>
      </c>
      <c r="Z115" s="12" t="s">
        <v>243</v>
      </c>
      <c r="AA115" s="12" t="s">
        <v>243</v>
      </c>
      <c r="AB115" s="12" t="s">
        <v>243</v>
      </c>
      <c r="AC115" s="12" t="s">
        <v>243</v>
      </c>
      <c r="AD115" s="12" t="s">
        <v>243</v>
      </c>
      <c r="AE115" s="12"/>
      <c r="AF115" s="13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3"/>
      <c r="AR115" s="12"/>
      <c r="AS115" s="12"/>
      <c r="AT115" s="12"/>
      <c r="AU115" s="12"/>
      <c r="AV115" s="12"/>
      <c r="AW115" s="12"/>
      <c r="AX115" s="12"/>
      <c r="AY115" s="12"/>
      <c r="AZ115" s="12"/>
      <c r="BA115" s="12"/>
      <c r="BB115" s="12"/>
      <c r="BC115" s="12"/>
      <c r="BD115" s="12"/>
      <c r="BE115" s="38"/>
    </row>
    <row r="116" spans="1:85" s="13" customFormat="1" ht="16.5" customHeight="1" x14ac:dyDescent="0.25">
      <c r="A116" s="24">
        <f t="shared" si="4"/>
        <v>2</v>
      </c>
      <c r="B116" s="25">
        <v>40300</v>
      </c>
      <c r="C116" s="24" t="s">
        <v>1491</v>
      </c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 t="s">
        <v>243</v>
      </c>
      <c r="S116" s="16" t="s">
        <v>243</v>
      </c>
      <c r="T116" s="16" t="s">
        <v>243</v>
      </c>
      <c r="U116" s="16" t="s">
        <v>243</v>
      </c>
      <c r="V116" s="16" t="s">
        <v>243</v>
      </c>
      <c r="W116" s="16" t="s">
        <v>243</v>
      </c>
      <c r="X116" s="16" t="s">
        <v>243</v>
      </c>
      <c r="Y116" s="16" t="s">
        <v>243</v>
      </c>
      <c r="Z116" s="16" t="s">
        <v>243</v>
      </c>
      <c r="AA116" s="16" t="s">
        <v>243</v>
      </c>
      <c r="AB116" s="16" t="s">
        <v>243</v>
      </c>
      <c r="AC116" s="16" t="s">
        <v>243</v>
      </c>
      <c r="AD116" s="16" t="s">
        <v>243</v>
      </c>
      <c r="AE116" s="16"/>
      <c r="AF116" s="17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7"/>
      <c r="AR116" s="16"/>
      <c r="AS116" s="16"/>
      <c r="AT116" s="16"/>
      <c r="AU116" s="16"/>
      <c r="AV116" s="16"/>
      <c r="AW116" s="16"/>
      <c r="AX116" s="16"/>
      <c r="AY116" s="16"/>
      <c r="AZ116" s="16"/>
      <c r="BA116" s="16"/>
      <c r="BB116" s="16"/>
      <c r="BC116" s="16"/>
      <c r="BD116" s="16"/>
      <c r="BE116" s="14"/>
      <c r="BF116" s="17"/>
      <c r="BG116" s="17"/>
      <c r="BH116" s="17"/>
      <c r="BI116" s="17"/>
      <c r="BJ116" s="17"/>
      <c r="BK116" s="17"/>
      <c r="BL116" s="17"/>
      <c r="BM116" s="17"/>
      <c r="BN116" s="17"/>
      <c r="BO116" s="17"/>
      <c r="BP116" s="17"/>
      <c r="BQ116" s="17"/>
      <c r="BR116" s="17"/>
      <c r="BS116" s="17"/>
      <c r="BT116" s="17"/>
      <c r="BU116" s="17"/>
      <c r="BV116" s="17"/>
      <c r="BW116" s="17"/>
      <c r="BX116" s="17"/>
      <c r="BY116" s="17"/>
      <c r="BZ116" s="17"/>
      <c r="CA116" s="17"/>
      <c r="CB116" s="17"/>
      <c r="CC116" s="17"/>
      <c r="CD116" s="17"/>
      <c r="CE116" s="17"/>
      <c r="CF116" s="17"/>
      <c r="CG116" s="17"/>
    </row>
    <row r="117" spans="1:85" ht="16.5" customHeight="1" x14ac:dyDescent="0.25">
      <c r="A117" s="24">
        <f t="shared" si="4"/>
        <v>2</v>
      </c>
      <c r="B117" s="27">
        <v>40400</v>
      </c>
      <c r="C117" s="28" t="s">
        <v>1492</v>
      </c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 t="s">
        <v>243</v>
      </c>
      <c r="T117" s="12" t="s">
        <v>243</v>
      </c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3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3"/>
      <c r="AR117" s="12"/>
      <c r="AS117" s="12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  <c r="BD117" s="12"/>
      <c r="BE117" s="38"/>
    </row>
    <row r="118" spans="1:85" s="13" customFormat="1" ht="16.5" customHeight="1" x14ac:dyDescent="0.25">
      <c r="A118" s="24">
        <f t="shared" si="4"/>
        <v>2</v>
      </c>
      <c r="B118" s="25">
        <v>40500</v>
      </c>
      <c r="C118" s="24" t="s">
        <v>1493</v>
      </c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 t="s">
        <v>243</v>
      </c>
      <c r="S118" s="16" t="s">
        <v>243</v>
      </c>
      <c r="T118" s="16" t="s">
        <v>243</v>
      </c>
      <c r="U118" s="16" t="s">
        <v>243</v>
      </c>
      <c r="V118" s="16" t="s">
        <v>243</v>
      </c>
      <c r="W118" s="16" t="s">
        <v>243</v>
      </c>
      <c r="X118" s="16" t="s">
        <v>243</v>
      </c>
      <c r="Y118" s="16" t="s">
        <v>243</v>
      </c>
      <c r="Z118" s="16" t="s">
        <v>243</v>
      </c>
      <c r="AA118" s="16" t="s">
        <v>243</v>
      </c>
      <c r="AB118" s="16" t="s">
        <v>243</v>
      </c>
      <c r="AC118" s="16" t="s">
        <v>243</v>
      </c>
      <c r="AD118" s="16" t="s">
        <v>243</v>
      </c>
      <c r="AE118" s="16"/>
      <c r="AF118" s="17"/>
      <c r="AG118" s="16"/>
      <c r="AH118" s="16"/>
      <c r="AI118" s="16"/>
      <c r="AJ118" s="16"/>
      <c r="AK118" s="16"/>
      <c r="AL118" s="16"/>
      <c r="AM118" s="16"/>
      <c r="AN118" s="16"/>
      <c r="AO118" s="16"/>
      <c r="AP118" s="16"/>
      <c r="AQ118" s="17"/>
      <c r="AR118" s="16"/>
      <c r="AS118" s="16"/>
      <c r="AT118" s="16"/>
      <c r="AU118" s="16"/>
      <c r="AV118" s="16"/>
      <c r="AW118" s="16"/>
      <c r="AX118" s="16"/>
      <c r="AY118" s="16"/>
      <c r="AZ118" s="16"/>
      <c r="BA118" s="16"/>
      <c r="BB118" s="16"/>
      <c r="BC118" s="16"/>
      <c r="BD118" s="16"/>
      <c r="BE118" s="14"/>
      <c r="BF118" s="17"/>
      <c r="BG118" s="17"/>
      <c r="BH118" s="17"/>
      <c r="BI118" s="17"/>
      <c r="BJ118" s="17"/>
      <c r="BK118" s="17"/>
      <c r="BL118" s="17"/>
      <c r="BM118" s="17"/>
      <c r="BN118" s="17"/>
      <c r="BO118" s="17"/>
      <c r="BP118" s="17"/>
      <c r="BQ118" s="17"/>
      <c r="BR118" s="17"/>
      <c r="BS118" s="17"/>
      <c r="BT118" s="17"/>
      <c r="BU118" s="17"/>
      <c r="BV118" s="17"/>
      <c r="BW118" s="17"/>
      <c r="BX118" s="17"/>
      <c r="BY118" s="17"/>
      <c r="BZ118" s="17"/>
      <c r="CA118" s="17"/>
      <c r="CB118" s="17"/>
      <c r="CC118" s="17"/>
      <c r="CD118" s="17"/>
      <c r="CE118" s="17"/>
      <c r="CF118" s="17"/>
      <c r="CG118" s="17"/>
    </row>
    <row r="119" spans="1:85" ht="16.5" customHeight="1" x14ac:dyDescent="0.25">
      <c r="A119" s="24">
        <f t="shared" si="4"/>
        <v>2</v>
      </c>
      <c r="B119" s="27">
        <v>41000</v>
      </c>
      <c r="C119" s="28" t="s">
        <v>1494</v>
      </c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3" t="s">
        <v>243</v>
      </c>
      <c r="AG119" s="12"/>
      <c r="AH119" s="12"/>
      <c r="AI119" s="12"/>
      <c r="AJ119" s="12"/>
      <c r="AK119" s="12"/>
      <c r="AL119" s="12"/>
      <c r="AM119" s="12"/>
      <c r="AN119" s="12"/>
      <c r="AO119" s="12"/>
      <c r="AP119" s="13" t="s">
        <v>243</v>
      </c>
      <c r="AQ119" s="13"/>
      <c r="AR119" s="12"/>
      <c r="AS119" s="12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  <c r="BD119" s="12"/>
      <c r="BE119" s="38"/>
    </row>
    <row r="120" spans="1:85" s="13" customFormat="1" ht="16.5" customHeight="1" x14ac:dyDescent="0.25">
      <c r="A120" s="24">
        <f t="shared" si="4"/>
        <v>2</v>
      </c>
      <c r="B120" s="25">
        <v>41001</v>
      </c>
      <c r="C120" s="24" t="s">
        <v>1495</v>
      </c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7" t="s">
        <v>243</v>
      </c>
      <c r="AG120" s="16"/>
      <c r="AH120" s="16"/>
      <c r="AI120" s="16"/>
      <c r="AJ120" s="16"/>
      <c r="AK120" s="16"/>
      <c r="AL120" s="16"/>
      <c r="AM120" s="16"/>
      <c r="AN120" s="16"/>
      <c r="AO120" s="16"/>
      <c r="AP120" s="17" t="s">
        <v>243</v>
      </c>
      <c r="AQ120" s="17"/>
      <c r="AR120" s="16"/>
      <c r="AS120" s="16"/>
      <c r="AT120" s="16"/>
      <c r="AU120" s="16"/>
      <c r="AV120" s="16"/>
      <c r="AW120" s="16"/>
      <c r="AX120" s="16"/>
      <c r="AY120" s="16"/>
      <c r="AZ120" s="16"/>
      <c r="BA120" s="16"/>
      <c r="BB120" s="16"/>
      <c r="BC120" s="16"/>
      <c r="BD120" s="16"/>
      <c r="BE120" s="14"/>
      <c r="BF120" s="17"/>
      <c r="BG120" s="17"/>
      <c r="BH120" s="17"/>
      <c r="BI120" s="17"/>
      <c r="BJ120" s="17"/>
      <c r="BK120" s="17"/>
      <c r="BL120" s="17"/>
      <c r="BM120" s="17"/>
      <c r="BN120" s="17"/>
      <c r="BO120" s="17"/>
      <c r="BP120" s="17"/>
      <c r="BQ120" s="17"/>
      <c r="BR120" s="17"/>
      <c r="BS120" s="17"/>
      <c r="BT120" s="17"/>
      <c r="BU120" s="17"/>
      <c r="BV120" s="17"/>
      <c r="BW120" s="17"/>
      <c r="BX120" s="17"/>
      <c r="BY120" s="17"/>
      <c r="BZ120" s="17"/>
      <c r="CA120" s="17"/>
      <c r="CB120" s="17"/>
      <c r="CC120" s="17"/>
      <c r="CD120" s="17"/>
      <c r="CE120" s="17"/>
      <c r="CF120" s="17"/>
      <c r="CG120" s="17"/>
    </row>
    <row r="121" spans="1:85" ht="16.5" customHeight="1" x14ac:dyDescent="0.25">
      <c r="A121" s="24">
        <f t="shared" si="4"/>
        <v>2</v>
      </c>
      <c r="B121" s="27">
        <v>41002</v>
      </c>
      <c r="C121" s="28" t="s">
        <v>1496</v>
      </c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3" t="s">
        <v>243</v>
      </c>
      <c r="AG121" s="12"/>
      <c r="AH121" s="12"/>
      <c r="AI121" s="12"/>
      <c r="AJ121" s="12"/>
      <c r="AK121" s="12"/>
      <c r="AL121" s="12"/>
      <c r="AM121" s="12"/>
      <c r="AN121" s="12"/>
      <c r="AO121" s="12"/>
      <c r="AP121" s="13" t="s">
        <v>243</v>
      </c>
      <c r="AQ121" s="13"/>
      <c r="AR121" s="12"/>
      <c r="AS121" s="12"/>
      <c r="AT121" s="12"/>
      <c r="AU121" s="12"/>
      <c r="AV121" s="12"/>
      <c r="AW121" s="12"/>
      <c r="AX121" s="12"/>
      <c r="AY121" s="12"/>
      <c r="AZ121" s="12"/>
      <c r="BA121" s="12"/>
      <c r="BB121" s="12"/>
      <c r="BC121" s="12"/>
      <c r="BD121" s="12"/>
      <c r="BE121" s="38"/>
    </row>
    <row r="122" spans="1:85" s="13" customFormat="1" ht="16.5" customHeight="1" x14ac:dyDescent="0.25">
      <c r="A122" s="24">
        <f t="shared" si="4"/>
        <v>2</v>
      </c>
      <c r="B122" s="25">
        <v>41003</v>
      </c>
      <c r="C122" s="24" t="s">
        <v>1497</v>
      </c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7" t="s">
        <v>243</v>
      </c>
      <c r="AG122" s="16"/>
      <c r="AH122" s="16"/>
      <c r="AI122" s="16"/>
      <c r="AJ122" s="16"/>
      <c r="AK122" s="16"/>
      <c r="AL122" s="16"/>
      <c r="AM122" s="16"/>
      <c r="AN122" s="16"/>
      <c r="AO122" s="16"/>
      <c r="AP122" s="17" t="s">
        <v>243</v>
      </c>
      <c r="AQ122" s="17"/>
      <c r="AR122" s="16"/>
      <c r="AS122" s="16"/>
      <c r="AT122" s="16"/>
      <c r="AU122" s="16"/>
      <c r="AV122" s="16"/>
      <c r="AW122" s="16"/>
      <c r="AX122" s="16"/>
      <c r="AY122" s="16"/>
      <c r="AZ122" s="16"/>
      <c r="BA122" s="16"/>
      <c r="BB122" s="16"/>
      <c r="BC122" s="16"/>
      <c r="BD122" s="16"/>
      <c r="BE122" s="14"/>
      <c r="BF122" s="17"/>
      <c r="BG122" s="17"/>
      <c r="BH122" s="17"/>
      <c r="BI122" s="17"/>
      <c r="BJ122" s="17"/>
      <c r="BK122" s="17"/>
      <c r="BL122" s="17"/>
      <c r="BM122" s="17"/>
      <c r="BN122" s="17"/>
      <c r="BO122" s="17"/>
      <c r="BP122" s="17"/>
      <c r="BQ122" s="17"/>
      <c r="BR122" s="17"/>
      <c r="BS122" s="17"/>
      <c r="BT122" s="17"/>
      <c r="BU122" s="17"/>
      <c r="BV122" s="17"/>
      <c r="BW122" s="17"/>
      <c r="BX122" s="17"/>
      <c r="BY122" s="17"/>
      <c r="BZ122" s="17"/>
      <c r="CA122" s="17"/>
      <c r="CB122" s="17"/>
      <c r="CC122" s="17"/>
      <c r="CD122" s="17"/>
      <c r="CE122" s="17"/>
      <c r="CF122" s="17"/>
      <c r="CG122" s="17"/>
    </row>
    <row r="123" spans="1:85" ht="16.5" customHeight="1" x14ac:dyDescent="0.25">
      <c r="A123" s="24">
        <f t="shared" si="4"/>
        <v>2</v>
      </c>
      <c r="B123" s="27">
        <v>41004</v>
      </c>
      <c r="C123" s="28" t="s">
        <v>1498</v>
      </c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3" t="s">
        <v>243</v>
      </c>
      <c r="AG123" s="12"/>
      <c r="AH123" s="12"/>
      <c r="AI123" s="12"/>
      <c r="AJ123" s="12"/>
      <c r="AK123" s="12"/>
      <c r="AL123" s="12"/>
      <c r="AM123" s="12"/>
      <c r="AN123" s="12"/>
      <c r="AO123" s="12"/>
      <c r="AP123" s="13" t="s">
        <v>243</v>
      </c>
      <c r="AQ123" s="13"/>
      <c r="AR123" s="12"/>
      <c r="AS123" s="12"/>
      <c r="AT123" s="12"/>
      <c r="AU123" s="12"/>
      <c r="AV123" s="12"/>
      <c r="AW123" s="12"/>
      <c r="AX123" s="12"/>
      <c r="AY123" s="12"/>
      <c r="AZ123" s="12"/>
      <c r="BA123" s="12"/>
      <c r="BB123" s="12"/>
      <c r="BC123" s="12"/>
      <c r="BD123" s="12"/>
      <c r="BE123" s="38"/>
    </row>
    <row r="124" spans="1:85" s="13" customFormat="1" ht="16.5" customHeight="1" x14ac:dyDescent="0.25">
      <c r="A124" s="24">
        <f t="shared" si="4"/>
        <v>2</v>
      </c>
      <c r="B124" s="25">
        <v>41005</v>
      </c>
      <c r="C124" s="24" t="s">
        <v>1499</v>
      </c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7" t="s">
        <v>243</v>
      </c>
      <c r="AG124" s="16"/>
      <c r="AH124" s="16"/>
      <c r="AI124" s="16"/>
      <c r="AJ124" s="16"/>
      <c r="AK124" s="16"/>
      <c r="AL124" s="16"/>
      <c r="AM124" s="16"/>
      <c r="AN124" s="16"/>
      <c r="AO124" s="16"/>
      <c r="AP124" s="17" t="s">
        <v>243</v>
      </c>
      <c r="AQ124" s="17"/>
      <c r="AR124" s="16"/>
      <c r="AS124" s="16"/>
      <c r="AT124" s="16"/>
      <c r="AU124" s="16"/>
      <c r="AV124" s="16"/>
      <c r="AW124" s="16"/>
      <c r="AX124" s="16"/>
      <c r="AY124" s="16"/>
      <c r="AZ124" s="16"/>
      <c r="BA124" s="16"/>
      <c r="BB124" s="16"/>
      <c r="BC124" s="16"/>
      <c r="BD124" s="16"/>
      <c r="BE124" s="14"/>
      <c r="BF124" s="17"/>
      <c r="BG124" s="17"/>
      <c r="BH124" s="17"/>
      <c r="BI124" s="17"/>
      <c r="BJ124" s="17"/>
      <c r="BK124" s="17"/>
      <c r="BL124" s="17"/>
      <c r="BM124" s="17"/>
      <c r="BN124" s="17"/>
      <c r="BO124" s="17"/>
      <c r="BP124" s="17"/>
      <c r="BQ124" s="17"/>
      <c r="BR124" s="17"/>
      <c r="BS124" s="17"/>
      <c r="BT124" s="17"/>
      <c r="BU124" s="17"/>
      <c r="BV124" s="17"/>
      <c r="BW124" s="17"/>
      <c r="BX124" s="17"/>
      <c r="BY124" s="17"/>
      <c r="BZ124" s="17"/>
      <c r="CA124" s="17"/>
      <c r="CB124" s="17"/>
      <c r="CC124" s="17"/>
      <c r="CD124" s="17"/>
      <c r="CE124" s="17"/>
      <c r="CF124" s="17"/>
      <c r="CG124" s="17"/>
    </row>
    <row r="125" spans="1:85" ht="16.5" customHeight="1" x14ac:dyDescent="0.25">
      <c r="A125" s="24">
        <f t="shared" si="4"/>
        <v>2</v>
      </c>
      <c r="B125" s="27">
        <v>41006</v>
      </c>
      <c r="C125" s="28" t="s">
        <v>1500</v>
      </c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3" t="s">
        <v>243</v>
      </c>
      <c r="AG125" s="12"/>
      <c r="AH125" s="12"/>
      <c r="AI125" s="12"/>
      <c r="AJ125" s="12"/>
      <c r="AK125" s="12"/>
      <c r="AL125" s="12"/>
      <c r="AM125" s="12"/>
      <c r="AN125" s="12"/>
      <c r="AO125" s="12"/>
      <c r="AP125" s="13" t="s">
        <v>243</v>
      </c>
      <c r="AQ125" s="13"/>
      <c r="AR125" s="12"/>
      <c r="AS125" s="12"/>
      <c r="AT125" s="12"/>
      <c r="AU125" s="12"/>
      <c r="AV125" s="12"/>
      <c r="AW125" s="12"/>
      <c r="AX125" s="12"/>
      <c r="AY125" s="12"/>
      <c r="AZ125" s="12"/>
      <c r="BA125" s="12"/>
      <c r="BB125" s="12"/>
      <c r="BC125" s="12"/>
      <c r="BD125" s="12"/>
      <c r="BE125" s="38"/>
    </row>
    <row r="126" spans="1:85" s="13" customFormat="1" ht="16.5" customHeight="1" x14ac:dyDescent="0.25">
      <c r="A126" s="24">
        <f t="shared" si="4"/>
        <v>2</v>
      </c>
      <c r="B126" s="25">
        <v>41100</v>
      </c>
      <c r="C126" s="24" t="s">
        <v>1501</v>
      </c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7" t="s">
        <v>243</v>
      </c>
      <c r="AG126" s="16"/>
      <c r="AH126" s="16"/>
      <c r="AI126" s="16"/>
      <c r="AJ126" s="16"/>
      <c r="AK126" s="16"/>
      <c r="AL126" s="16"/>
      <c r="AM126" s="16"/>
      <c r="AN126" s="16"/>
      <c r="AO126" s="16"/>
      <c r="AP126" s="17" t="s">
        <v>243</v>
      </c>
      <c r="AQ126" s="17"/>
      <c r="AR126" s="16"/>
      <c r="AS126" s="16"/>
      <c r="AT126" s="16"/>
      <c r="AU126" s="16"/>
      <c r="AV126" s="16"/>
      <c r="AW126" s="16"/>
      <c r="AX126" s="16"/>
      <c r="AY126" s="16"/>
      <c r="AZ126" s="16"/>
      <c r="BA126" s="16"/>
      <c r="BB126" s="16"/>
      <c r="BC126" s="16"/>
      <c r="BD126" s="16"/>
      <c r="BE126" s="14"/>
      <c r="BF126" s="17"/>
      <c r="BG126" s="17"/>
      <c r="BH126" s="17"/>
      <c r="BI126" s="17"/>
      <c r="BJ126" s="17"/>
      <c r="BK126" s="17"/>
      <c r="BL126" s="17"/>
      <c r="BM126" s="17"/>
      <c r="BN126" s="17"/>
      <c r="BO126" s="17"/>
      <c r="BP126" s="17"/>
      <c r="BQ126" s="17"/>
      <c r="BR126" s="17"/>
      <c r="BS126" s="17"/>
      <c r="BT126" s="17"/>
      <c r="BU126" s="17"/>
      <c r="BV126" s="17"/>
      <c r="BW126" s="17"/>
      <c r="BX126" s="17"/>
      <c r="BY126" s="17"/>
      <c r="BZ126" s="17"/>
      <c r="CA126" s="17"/>
      <c r="CB126" s="17"/>
      <c r="CC126" s="17"/>
      <c r="CD126" s="17"/>
      <c r="CE126" s="17"/>
      <c r="CF126" s="17"/>
      <c r="CG126" s="17"/>
    </row>
    <row r="127" spans="1:85" ht="16.5" customHeight="1" x14ac:dyDescent="0.25">
      <c r="A127" s="24">
        <f t="shared" si="4"/>
        <v>2</v>
      </c>
      <c r="B127" s="27">
        <v>41150</v>
      </c>
      <c r="C127" s="28" t="s">
        <v>1502</v>
      </c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3" t="s">
        <v>243</v>
      </c>
      <c r="AG127" s="12"/>
      <c r="AH127" s="12"/>
      <c r="AI127" s="12"/>
      <c r="AJ127" s="12"/>
      <c r="AK127" s="12"/>
      <c r="AL127" s="12"/>
      <c r="AM127" s="12"/>
      <c r="AN127" s="12"/>
      <c r="AO127" s="12"/>
      <c r="AP127" s="13" t="s">
        <v>243</v>
      </c>
      <c r="AQ127" s="13"/>
      <c r="AR127" s="12"/>
      <c r="AS127" s="12"/>
      <c r="AT127" s="12"/>
      <c r="AU127" s="12"/>
      <c r="AV127" s="12"/>
      <c r="AW127" s="12"/>
      <c r="AX127" s="12"/>
      <c r="AY127" s="12"/>
      <c r="AZ127" s="12"/>
      <c r="BA127" s="12"/>
      <c r="BB127" s="12"/>
      <c r="BC127" s="12"/>
      <c r="BD127" s="12"/>
      <c r="BE127" s="38"/>
    </row>
    <row r="128" spans="1:85" s="13" customFormat="1" ht="16.5" customHeight="1" x14ac:dyDescent="0.25">
      <c r="A128" s="24">
        <f t="shared" si="4"/>
        <v>2</v>
      </c>
      <c r="B128" s="25">
        <v>41200</v>
      </c>
      <c r="C128" s="24" t="s">
        <v>1503</v>
      </c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7" t="s">
        <v>243</v>
      </c>
      <c r="AG128" s="16"/>
      <c r="AH128" s="16"/>
      <c r="AI128" s="16"/>
      <c r="AJ128" s="16"/>
      <c r="AK128" s="16"/>
      <c r="AL128" s="16"/>
      <c r="AM128" s="16"/>
      <c r="AN128" s="16"/>
      <c r="AO128" s="16"/>
      <c r="AP128" s="17" t="s">
        <v>243</v>
      </c>
      <c r="AQ128" s="17"/>
      <c r="AR128" s="16"/>
      <c r="AS128" s="16"/>
      <c r="AT128" s="16"/>
      <c r="AU128" s="16"/>
      <c r="AV128" s="16"/>
      <c r="AW128" s="16"/>
      <c r="AX128" s="16"/>
      <c r="AY128" s="16"/>
      <c r="AZ128" s="16"/>
      <c r="BA128" s="16"/>
      <c r="BB128" s="16"/>
      <c r="BC128" s="16"/>
      <c r="BD128" s="16"/>
      <c r="BE128" s="14"/>
      <c r="BF128" s="17"/>
      <c r="BG128" s="17"/>
      <c r="BH128" s="17"/>
      <c r="BI128" s="17"/>
      <c r="BJ128" s="17"/>
      <c r="BK128" s="17"/>
      <c r="BL128" s="17"/>
      <c r="BM128" s="17"/>
      <c r="BN128" s="17"/>
      <c r="BO128" s="17"/>
      <c r="BP128" s="17"/>
      <c r="BQ128" s="17"/>
      <c r="BR128" s="17"/>
      <c r="BS128" s="17"/>
      <c r="BT128" s="17"/>
      <c r="BU128" s="17"/>
      <c r="BV128" s="17"/>
      <c r="BW128" s="17"/>
      <c r="BX128" s="17"/>
      <c r="BY128" s="17"/>
      <c r="BZ128" s="17"/>
      <c r="CA128" s="17"/>
      <c r="CB128" s="17"/>
      <c r="CC128" s="17"/>
      <c r="CD128" s="17"/>
      <c r="CE128" s="17"/>
      <c r="CF128" s="17"/>
      <c r="CG128" s="17"/>
    </row>
    <row r="129" spans="1:85" ht="16.5" customHeight="1" x14ac:dyDescent="0.25">
      <c r="A129" s="24">
        <f t="shared" si="4"/>
        <v>2</v>
      </c>
      <c r="B129" s="27">
        <v>41201</v>
      </c>
      <c r="C129" s="28" t="s">
        <v>1504</v>
      </c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3" t="s">
        <v>243</v>
      </c>
      <c r="AG129" s="12"/>
      <c r="AH129" s="12"/>
      <c r="AI129" s="12"/>
      <c r="AJ129" s="12"/>
      <c r="AK129" s="12"/>
      <c r="AL129" s="12"/>
      <c r="AM129" s="12"/>
      <c r="AN129" s="12"/>
      <c r="AO129" s="12"/>
      <c r="AP129" s="13" t="s">
        <v>243</v>
      </c>
      <c r="AQ129" s="13"/>
      <c r="AR129" s="12"/>
      <c r="AS129" s="12"/>
      <c r="AT129" s="12"/>
      <c r="AU129" s="12"/>
      <c r="AV129" s="12"/>
      <c r="AW129" s="12"/>
      <c r="AX129" s="12"/>
      <c r="AY129" s="12"/>
      <c r="AZ129" s="12"/>
      <c r="BA129" s="12"/>
      <c r="BB129" s="12"/>
      <c r="BC129" s="12"/>
      <c r="BD129" s="12"/>
      <c r="BE129" s="38"/>
    </row>
    <row r="130" spans="1:85" s="13" customFormat="1" ht="16.5" customHeight="1" x14ac:dyDescent="0.25">
      <c r="A130" s="24">
        <f t="shared" si="4"/>
        <v>2</v>
      </c>
      <c r="B130" s="25">
        <v>41202</v>
      </c>
      <c r="C130" s="24" t="s">
        <v>1505</v>
      </c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7" t="s">
        <v>243</v>
      </c>
      <c r="AG130" s="16"/>
      <c r="AH130" s="16"/>
      <c r="AI130" s="16"/>
      <c r="AJ130" s="16"/>
      <c r="AK130" s="16"/>
      <c r="AL130" s="16"/>
      <c r="AM130" s="16"/>
      <c r="AN130" s="16"/>
      <c r="AO130" s="16"/>
      <c r="AP130" s="17" t="s">
        <v>243</v>
      </c>
      <c r="AQ130" s="17"/>
      <c r="AR130" s="16"/>
      <c r="AS130" s="16"/>
      <c r="AT130" s="16"/>
      <c r="AU130" s="16"/>
      <c r="AV130" s="16"/>
      <c r="AW130" s="16"/>
      <c r="AX130" s="16"/>
      <c r="AY130" s="16"/>
      <c r="AZ130" s="16"/>
      <c r="BA130" s="16"/>
      <c r="BB130" s="16"/>
      <c r="BC130" s="16"/>
      <c r="BD130" s="16"/>
      <c r="BE130" s="14"/>
      <c r="BF130" s="17"/>
      <c r="BG130" s="17"/>
      <c r="BH130" s="17"/>
      <c r="BI130" s="17"/>
      <c r="BJ130" s="17"/>
      <c r="BK130" s="17"/>
      <c r="BL130" s="17"/>
      <c r="BM130" s="17"/>
      <c r="BN130" s="17"/>
      <c r="BO130" s="17"/>
      <c r="BP130" s="17"/>
      <c r="BQ130" s="17"/>
      <c r="BR130" s="17"/>
      <c r="BS130" s="17"/>
      <c r="BT130" s="17"/>
      <c r="BU130" s="17"/>
      <c r="BV130" s="17"/>
      <c r="BW130" s="17"/>
      <c r="BX130" s="17"/>
      <c r="BY130" s="17"/>
      <c r="BZ130" s="17"/>
      <c r="CA130" s="17"/>
      <c r="CB130" s="17"/>
      <c r="CC130" s="17"/>
      <c r="CD130" s="17"/>
      <c r="CE130" s="17"/>
      <c r="CF130" s="17"/>
      <c r="CG130" s="17"/>
    </row>
    <row r="131" spans="1:85" ht="16.5" customHeight="1" x14ac:dyDescent="0.25">
      <c r="A131" s="24">
        <f t="shared" si="4"/>
        <v>2</v>
      </c>
      <c r="B131" s="27">
        <v>41203</v>
      </c>
      <c r="C131" s="28" t="s">
        <v>1506</v>
      </c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3" t="s">
        <v>243</v>
      </c>
      <c r="AG131" s="12"/>
      <c r="AH131" s="12"/>
      <c r="AI131" s="12"/>
      <c r="AJ131" s="12"/>
      <c r="AK131" s="12"/>
      <c r="AL131" s="12"/>
      <c r="AM131" s="12"/>
      <c r="AN131" s="12"/>
      <c r="AO131" s="12"/>
      <c r="AP131" s="13" t="s">
        <v>243</v>
      </c>
      <c r="AQ131" s="13"/>
      <c r="AR131" s="12"/>
      <c r="AS131" s="12"/>
      <c r="AT131" s="12"/>
      <c r="AU131" s="12"/>
      <c r="AV131" s="12"/>
      <c r="AW131" s="12"/>
      <c r="AX131" s="12"/>
      <c r="AY131" s="12"/>
      <c r="AZ131" s="12"/>
      <c r="BA131" s="12"/>
      <c r="BB131" s="12"/>
      <c r="BC131" s="12"/>
      <c r="BD131" s="12"/>
      <c r="BE131" s="38"/>
    </row>
    <row r="132" spans="1:85" s="13" customFormat="1" ht="16.5" customHeight="1" x14ac:dyDescent="0.25">
      <c r="A132" s="24">
        <f t="shared" si="4"/>
        <v>1</v>
      </c>
      <c r="B132" s="25">
        <v>41204</v>
      </c>
      <c r="C132" s="24" t="s">
        <v>1507</v>
      </c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7" t="s">
        <v>243</v>
      </c>
      <c r="AG132" s="16"/>
      <c r="AH132" s="16"/>
      <c r="AI132" s="16"/>
      <c r="AJ132" s="16"/>
      <c r="AK132" s="16"/>
      <c r="AL132" s="16"/>
      <c r="AM132" s="16"/>
      <c r="AN132" s="16"/>
      <c r="AO132" s="16"/>
      <c r="AP132" s="17" t="s">
        <v>243</v>
      </c>
      <c r="AQ132" s="17"/>
      <c r="AR132" s="16"/>
      <c r="AS132" s="16"/>
      <c r="AT132" s="16"/>
      <c r="AU132" s="16"/>
      <c r="AV132" s="16"/>
      <c r="AW132" s="16"/>
      <c r="AX132" s="16"/>
      <c r="AY132" s="16"/>
      <c r="AZ132" s="16"/>
      <c r="BA132" s="16"/>
      <c r="BB132" s="16"/>
      <c r="BC132" s="16"/>
      <c r="BD132" s="16"/>
      <c r="BE132" s="14"/>
      <c r="BF132" s="17"/>
      <c r="BG132" s="17"/>
      <c r="BH132" s="17"/>
      <c r="BI132" s="17"/>
      <c r="BJ132" s="17"/>
      <c r="BK132" s="17"/>
      <c r="BL132" s="17"/>
      <c r="BM132" s="17"/>
      <c r="BN132" s="17"/>
      <c r="BO132" s="17"/>
      <c r="BP132" s="17"/>
      <c r="BQ132" s="17"/>
      <c r="BR132" s="17"/>
      <c r="BS132" s="17"/>
      <c r="BT132" s="17"/>
      <c r="BU132" s="17"/>
      <c r="BV132" s="17"/>
      <c r="BW132" s="17"/>
      <c r="BX132" s="17"/>
      <c r="BY132" s="17"/>
      <c r="BZ132" s="17"/>
      <c r="CA132" s="17"/>
      <c r="CB132" s="17"/>
      <c r="CC132" s="17"/>
      <c r="CD132" s="17"/>
      <c r="CE132" s="17"/>
      <c r="CF132" s="17"/>
      <c r="CG132" s="17"/>
    </row>
    <row r="133" spans="1:85" ht="16.5" customHeight="1" x14ac:dyDescent="0.25">
      <c r="A133" s="24">
        <f t="shared" si="4"/>
        <v>5</v>
      </c>
      <c r="B133" s="27">
        <v>41205</v>
      </c>
      <c r="C133" s="28" t="s">
        <v>1508</v>
      </c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3" t="s">
        <v>243</v>
      </c>
      <c r="AG133" s="12"/>
      <c r="AH133" s="12"/>
      <c r="AI133" s="12"/>
      <c r="AJ133" s="12"/>
      <c r="AK133" s="12"/>
      <c r="AL133" s="12"/>
      <c r="AM133" s="12"/>
      <c r="AN133" s="12"/>
      <c r="AO133" s="12"/>
      <c r="AP133" s="13" t="s">
        <v>243</v>
      </c>
      <c r="AQ133" s="13"/>
      <c r="AR133" s="12"/>
      <c r="AS133" s="12"/>
      <c r="AT133" s="12"/>
      <c r="AU133" s="12"/>
      <c r="AV133" s="12"/>
      <c r="AW133" s="12"/>
      <c r="AX133" s="12"/>
      <c r="AY133" s="12"/>
      <c r="AZ133" s="12"/>
      <c r="BA133" s="12"/>
      <c r="BB133" s="12"/>
      <c r="BC133" s="12"/>
      <c r="BD133" s="12"/>
      <c r="BE133" s="38"/>
    </row>
    <row r="134" spans="1:85" s="13" customFormat="1" ht="16.5" customHeight="1" x14ac:dyDescent="0.25">
      <c r="A134" s="24">
        <f t="shared" si="4"/>
        <v>13</v>
      </c>
      <c r="B134" s="25">
        <v>41206</v>
      </c>
      <c r="C134" s="24" t="s">
        <v>1509</v>
      </c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7" t="s">
        <v>243</v>
      </c>
      <c r="AG134" s="16"/>
      <c r="AH134" s="16"/>
      <c r="AI134" s="16"/>
      <c r="AJ134" s="16"/>
      <c r="AK134" s="16"/>
      <c r="AL134" s="16"/>
      <c r="AM134" s="16"/>
      <c r="AN134" s="16"/>
      <c r="AO134" s="16"/>
      <c r="AP134" s="17" t="s">
        <v>243</v>
      </c>
      <c r="AQ134" s="17"/>
      <c r="AR134" s="16"/>
      <c r="AS134" s="16"/>
      <c r="AT134" s="16"/>
      <c r="AU134" s="16"/>
      <c r="AV134" s="16"/>
      <c r="AW134" s="16"/>
      <c r="AX134" s="16"/>
      <c r="AY134" s="16"/>
      <c r="AZ134" s="16"/>
      <c r="BA134" s="16"/>
      <c r="BB134" s="16"/>
      <c r="BC134" s="16"/>
      <c r="BD134" s="16"/>
      <c r="BE134" s="14"/>
      <c r="BF134" s="17"/>
      <c r="BG134" s="17"/>
      <c r="BH134" s="17"/>
      <c r="BI134" s="17"/>
      <c r="BJ134" s="17"/>
      <c r="BK134" s="17"/>
      <c r="BL134" s="17"/>
      <c r="BM134" s="17"/>
      <c r="BN134" s="17"/>
      <c r="BO134" s="17"/>
      <c r="BP134" s="17"/>
      <c r="BQ134" s="17"/>
      <c r="BR134" s="17"/>
      <c r="BS134" s="17"/>
      <c r="BT134" s="17"/>
      <c r="BU134" s="17"/>
      <c r="BV134" s="17"/>
      <c r="BW134" s="17"/>
      <c r="BX134" s="17"/>
      <c r="BY134" s="17"/>
      <c r="BZ134" s="17"/>
      <c r="CA134" s="17"/>
      <c r="CB134" s="17"/>
      <c r="CC134" s="17"/>
      <c r="CD134" s="17"/>
      <c r="CE134" s="17"/>
      <c r="CF134" s="17"/>
      <c r="CG134" s="17"/>
    </row>
    <row r="135" spans="1:85" ht="16.5" customHeight="1" x14ac:dyDescent="0.25">
      <c r="A135" s="24">
        <f t="shared" si="4"/>
        <v>13</v>
      </c>
      <c r="B135" s="27">
        <v>41301</v>
      </c>
      <c r="C135" s="28" t="s">
        <v>1510</v>
      </c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3" t="s">
        <v>243</v>
      </c>
      <c r="AG135" s="12"/>
      <c r="AH135" s="12"/>
      <c r="AI135" s="12"/>
      <c r="AJ135" s="12"/>
      <c r="AK135" s="12"/>
      <c r="AL135" s="12"/>
      <c r="AM135" s="12"/>
      <c r="AN135" s="12"/>
      <c r="AO135" s="12"/>
      <c r="AP135" s="13" t="s">
        <v>243</v>
      </c>
      <c r="AQ135" s="13"/>
      <c r="AR135" s="12"/>
      <c r="AS135" s="12"/>
      <c r="AT135" s="12"/>
      <c r="AU135" s="12"/>
      <c r="AV135" s="12"/>
      <c r="AW135" s="12"/>
      <c r="AX135" s="12"/>
      <c r="AY135" s="12"/>
      <c r="AZ135" s="12"/>
      <c r="BA135" s="12"/>
      <c r="BB135" s="12"/>
      <c r="BC135" s="12"/>
      <c r="BD135" s="12"/>
      <c r="BE135" s="38"/>
    </row>
    <row r="136" spans="1:85" s="13" customFormat="1" ht="16.5" customHeight="1" x14ac:dyDescent="0.25">
      <c r="A136" s="24">
        <f t="shared" si="4"/>
        <v>1</v>
      </c>
      <c r="B136" s="25">
        <v>41399</v>
      </c>
      <c r="C136" s="24" t="s">
        <v>1511</v>
      </c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7" t="s">
        <v>243</v>
      </c>
      <c r="AG136" s="16"/>
      <c r="AH136" s="16"/>
      <c r="AI136" s="16"/>
      <c r="AJ136" s="16"/>
      <c r="AK136" s="16"/>
      <c r="AL136" s="16"/>
      <c r="AM136" s="16"/>
      <c r="AN136" s="16"/>
      <c r="AO136" s="16"/>
      <c r="AP136" s="16" t="s">
        <v>243</v>
      </c>
      <c r="AQ136" s="17"/>
      <c r="AR136" s="16"/>
      <c r="AS136" s="16"/>
      <c r="AT136" s="16"/>
      <c r="AU136" s="16"/>
      <c r="AV136" s="16"/>
      <c r="AW136" s="16"/>
      <c r="AX136" s="16"/>
      <c r="AY136" s="16"/>
      <c r="AZ136" s="16"/>
      <c r="BA136" s="16"/>
      <c r="BB136" s="16"/>
      <c r="BC136" s="16"/>
      <c r="BD136" s="16"/>
      <c r="BE136" s="14"/>
      <c r="BF136" s="17"/>
      <c r="BG136" s="17"/>
      <c r="BH136" s="17"/>
      <c r="BI136" s="17"/>
      <c r="BJ136" s="17"/>
      <c r="BK136" s="17"/>
      <c r="BL136" s="17"/>
      <c r="BM136" s="17"/>
      <c r="BN136" s="17"/>
      <c r="BO136" s="17"/>
      <c r="BP136" s="17"/>
      <c r="BQ136" s="17"/>
      <c r="BR136" s="17"/>
      <c r="BS136" s="17"/>
      <c r="BT136" s="17"/>
      <c r="BU136" s="17"/>
      <c r="BV136" s="17"/>
      <c r="BW136" s="17"/>
      <c r="BX136" s="17"/>
      <c r="BY136" s="17"/>
      <c r="BZ136" s="17"/>
      <c r="CA136" s="17"/>
      <c r="CB136" s="17"/>
      <c r="CC136" s="17"/>
      <c r="CD136" s="17"/>
      <c r="CE136" s="17"/>
      <c r="CF136" s="17"/>
      <c r="CG136" s="17"/>
    </row>
    <row r="137" spans="1:85" ht="16.5" customHeight="1" x14ac:dyDescent="0.25">
      <c r="A137" s="24">
        <f t="shared" si="4"/>
        <v>1</v>
      </c>
      <c r="B137" s="27">
        <v>41400</v>
      </c>
      <c r="C137" s="28" t="s">
        <v>246</v>
      </c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3"/>
      <c r="AG137" s="12"/>
      <c r="AH137" s="12"/>
      <c r="AI137" s="12"/>
      <c r="AJ137" s="12" t="s">
        <v>243</v>
      </c>
      <c r="AK137" s="12"/>
      <c r="AL137" s="12"/>
      <c r="AM137" s="12"/>
      <c r="AN137" s="12"/>
      <c r="AO137" s="12"/>
      <c r="AP137" s="12"/>
      <c r="AQ137" s="13"/>
      <c r="AR137" s="12"/>
      <c r="AS137" s="12"/>
      <c r="AT137" s="12"/>
      <c r="AU137" s="12"/>
      <c r="AV137" s="12"/>
      <c r="AW137" s="12"/>
      <c r="AX137" s="12"/>
      <c r="AY137" s="12"/>
      <c r="AZ137" s="12"/>
      <c r="BA137" s="12"/>
      <c r="BB137" s="12"/>
      <c r="BC137" s="12"/>
      <c r="BD137" s="12"/>
      <c r="BE137" s="38"/>
    </row>
    <row r="138" spans="1:85" s="13" customFormat="1" ht="16.5" customHeight="1" x14ac:dyDescent="0.25">
      <c r="A138" s="24">
        <f t="shared" si="4"/>
        <v>1</v>
      </c>
      <c r="B138" s="25">
        <v>41450</v>
      </c>
      <c r="C138" s="24" t="s">
        <v>247</v>
      </c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7" t="s">
        <v>243</v>
      </c>
      <c r="AG138" s="16" t="s">
        <v>243</v>
      </c>
      <c r="AH138" s="16" t="s">
        <v>243</v>
      </c>
      <c r="AI138" s="16" t="s">
        <v>243</v>
      </c>
      <c r="AJ138" s="16"/>
      <c r="AK138" s="16" t="s">
        <v>243</v>
      </c>
      <c r="AL138" s="16"/>
      <c r="AM138" s="16"/>
      <c r="AN138" s="16"/>
      <c r="AO138" s="16"/>
      <c r="AP138" s="16"/>
      <c r="AQ138" s="17"/>
      <c r="AR138" s="16"/>
      <c r="AS138" s="16"/>
      <c r="AT138" s="16"/>
      <c r="AU138" s="16"/>
      <c r="AV138" s="16"/>
      <c r="AW138" s="16"/>
      <c r="AX138" s="16"/>
      <c r="AY138" s="16"/>
      <c r="AZ138" s="16"/>
      <c r="BA138" s="16"/>
      <c r="BB138" s="16"/>
      <c r="BC138" s="16"/>
      <c r="BD138" s="16"/>
      <c r="BE138" s="14"/>
      <c r="BF138" s="17"/>
      <c r="BG138" s="17"/>
      <c r="BH138" s="17"/>
      <c r="BI138" s="17"/>
      <c r="BJ138" s="17"/>
      <c r="BK138" s="17"/>
      <c r="BL138" s="17"/>
      <c r="BM138" s="17"/>
      <c r="BN138" s="17"/>
      <c r="BO138" s="17"/>
      <c r="BP138" s="17"/>
      <c r="BQ138" s="17"/>
      <c r="BR138" s="17"/>
      <c r="BS138" s="17"/>
      <c r="BT138" s="17"/>
      <c r="BU138" s="17"/>
      <c r="BV138" s="17"/>
      <c r="BW138" s="17"/>
      <c r="BX138" s="17"/>
      <c r="BY138" s="17"/>
      <c r="BZ138" s="17"/>
      <c r="CA138" s="17"/>
      <c r="CB138" s="17"/>
      <c r="CC138" s="17"/>
      <c r="CD138" s="17"/>
      <c r="CE138" s="17"/>
      <c r="CF138" s="17"/>
      <c r="CG138" s="17"/>
    </row>
    <row r="139" spans="1:85" ht="16.5" customHeight="1" x14ac:dyDescent="0.25">
      <c r="A139" s="24">
        <f t="shared" si="4"/>
        <v>1</v>
      </c>
      <c r="B139" s="27">
        <v>41500</v>
      </c>
      <c r="C139" s="28" t="s">
        <v>508</v>
      </c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 t="s">
        <v>243</v>
      </c>
      <c r="S139" s="12" t="s">
        <v>243</v>
      </c>
      <c r="T139" s="12" t="s">
        <v>243</v>
      </c>
      <c r="U139" s="12" t="s">
        <v>243</v>
      </c>
      <c r="V139" s="12" t="s">
        <v>243</v>
      </c>
      <c r="W139" s="12" t="s">
        <v>243</v>
      </c>
      <c r="X139" s="12" t="s">
        <v>243</v>
      </c>
      <c r="Y139" s="12" t="s">
        <v>243</v>
      </c>
      <c r="Z139" s="12" t="s">
        <v>243</v>
      </c>
      <c r="AA139" s="12" t="s">
        <v>243</v>
      </c>
      <c r="AB139" s="12" t="s">
        <v>243</v>
      </c>
      <c r="AC139" s="12" t="s">
        <v>243</v>
      </c>
      <c r="AD139" s="12" t="s">
        <v>243</v>
      </c>
      <c r="AE139" s="12"/>
      <c r="AF139" s="13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3"/>
      <c r="AR139" s="12"/>
      <c r="AS139" s="12"/>
      <c r="AT139" s="12"/>
      <c r="AU139" s="12"/>
      <c r="AV139" s="12"/>
      <c r="AW139" s="12"/>
      <c r="AX139" s="12"/>
      <c r="AY139" s="12"/>
      <c r="AZ139" s="12"/>
      <c r="BA139" s="12"/>
      <c r="BB139" s="12"/>
      <c r="BC139" s="12"/>
      <c r="BD139" s="12"/>
      <c r="BE139" s="38"/>
    </row>
    <row r="140" spans="1:85" s="13" customFormat="1" ht="16.5" customHeight="1" x14ac:dyDescent="0.25">
      <c r="A140" s="24">
        <f t="shared" si="4"/>
        <v>0</v>
      </c>
      <c r="B140" s="25">
        <v>42000</v>
      </c>
      <c r="C140" s="24" t="s">
        <v>1512</v>
      </c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 t="s">
        <v>243</v>
      </c>
      <c r="S140" s="16" t="s">
        <v>243</v>
      </c>
      <c r="T140" s="16" t="s">
        <v>243</v>
      </c>
      <c r="U140" s="16" t="s">
        <v>243</v>
      </c>
      <c r="V140" s="16" t="s">
        <v>243</v>
      </c>
      <c r="W140" s="16" t="s">
        <v>243</v>
      </c>
      <c r="X140" s="16" t="s">
        <v>243</v>
      </c>
      <c r="Y140" s="16" t="s">
        <v>243</v>
      </c>
      <c r="Z140" s="16" t="s">
        <v>243</v>
      </c>
      <c r="AA140" s="16" t="s">
        <v>243</v>
      </c>
      <c r="AB140" s="16" t="s">
        <v>243</v>
      </c>
      <c r="AC140" s="16" t="s">
        <v>243</v>
      </c>
      <c r="AD140" s="16" t="s">
        <v>243</v>
      </c>
      <c r="AE140" s="16"/>
      <c r="AF140" s="17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7"/>
      <c r="AR140" s="16"/>
      <c r="AS140" s="16"/>
      <c r="AT140" s="16"/>
      <c r="AU140" s="16"/>
      <c r="AV140" s="16"/>
      <c r="AW140" s="16"/>
      <c r="AX140" s="16"/>
      <c r="AY140" s="16"/>
      <c r="AZ140" s="16"/>
      <c r="BA140" s="16"/>
      <c r="BB140" s="16"/>
      <c r="BC140" s="16"/>
      <c r="BD140" s="16"/>
      <c r="BE140" s="14"/>
      <c r="BF140" s="17"/>
      <c r="BG140" s="17"/>
      <c r="BH140" s="17"/>
      <c r="BI140" s="17"/>
      <c r="BJ140" s="17"/>
      <c r="BK140" s="17"/>
      <c r="BL140" s="17"/>
      <c r="BM140" s="17"/>
      <c r="BN140" s="17"/>
      <c r="BO140" s="17"/>
      <c r="BP140" s="17"/>
      <c r="BQ140" s="17"/>
      <c r="BR140" s="17"/>
      <c r="BS140" s="17"/>
      <c r="BT140" s="17"/>
      <c r="BU140" s="17"/>
      <c r="BV140" s="17"/>
      <c r="BW140" s="17"/>
      <c r="BX140" s="17"/>
      <c r="BY140" s="17"/>
      <c r="BZ140" s="17"/>
      <c r="CA140" s="17"/>
      <c r="CB140" s="17"/>
      <c r="CC140" s="17"/>
      <c r="CD140" s="17"/>
      <c r="CE140" s="17"/>
      <c r="CF140" s="17"/>
      <c r="CG140" s="17"/>
    </row>
    <row r="141" spans="1:85" ht="16.5" customHeight="1" x14ac:dyDescent="0.25">
      <c r="A141" s="24">
        <f t="shared" si="4"/>
        <v>1</v>
      </c>
      <c r="B141" s="27">
        <v>43000</v>
      </c>
      <c r="C141" s="28" t="s">
        <v>1513</v>
      </c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3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3"/>
      <c r="AR141" s="12"/>
      <c r="AS141" s="12"/>
      <c r="AT141" s="12"/>
      <c r="AU141" s="12"/>
      <c r="AV141" s="12"/>
      <c r="AW141" s="12" t="s">
        <v>243</v>
      </c>
      <c r="AX141" s="12"/>
      <c r="AY141" s="12"/>
      <c r="AZ141" s="12"/>
      <c r="BA141" s="12"/>
      <c r="BB141" s="12"/>
      <c r="BC141" s="12"/>
      <c r="BD141" s="12"/>
      <c r="BE141" s="38"/>
    </row>
    <row r="142" spans="1:85" s="13" customFormat="1" ht="16.5" customHeight="1" x14ac:dyDescent="0.25">
      <c r="A142" s="24">
        <f t="shared" si="4"/>
        <v>40</v>
      </c>
      <c r="B142" s="25">
        <v>43010</v>
      </c>
      <c r="C142" s="24" t="s">
        <v>1514</v>
      </c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7"/>
      <c r="AG142" s="16"/>
      <c r="AH142" s="16"/>
      <c r="AI142" s="16"/>
      <c r="AJ142" s="16"/>
      <c r="AK142" s="16"/>
      <c r="AL142" s="16"/>
      <c r="AM142" s="16"/>
      <c r="AN142" s="16"/>
      <c r="AO142" s="16"/>
      <c r="AP142" s="16"/>
      <c r="AQ142" s="17"/>
      <c r="AR142" s="16"/>
      <c r="AS142" s="16"/>
      <c r="AT142" s="16"/>
      <c r="AU142" s="16"/>
      <c r="AV142" s="16"/>
      <c r="AW142" s="16" t="s">
        <v>243</v>
      </c>
      <c r="AX142" s="16"/>
      <c r="AY142" s="16"/>
      <c r="AZ142" s="16"/>
      <c r="BA142" s="16"/>
      <c r="BB142" s="16"/>
      <c r="BC142" s="16"/>
      <c r="BD142" s="16"/>
      <c r="BE142" s="14"/>
      <c r="BF142" s="17"/>
      <c r="BG142" s="17"/>
      <c r="BH142" s="17"/>
      <c r="BI142" s="17"/>
      <c r="BJ142" s="17"/>
      <c r="BK142" s="17"/>
      <c r="BL142" s="17"/>
      <c r="BM142" s="17"/>
      <c r="BN142" s="17"/>
      <c r="BO142" s="17"/>
      <c r="BP142" s="17"/>
      <c r="BQ142" s="17"/>
      <c r="BR142" s="17"/>
      <c r="BS142" s="17"/>
      <c r="BT142" s="17"/>
      <c r="BU142" s="17"/>
      <c r="BV142" s="17"/>
      <c r="BW142" s="17"/>
      <c r="BX142" s="17"/>
      <c r="BY142" s="17"/>
      <c r="BZ142" s="17"/>
      <c r="CA142" s="17"/>
      <c r="CB142" s="17"/>
      <c r="CC142" s="17"/>
      <c r="CD142" s="17"/>
      <c r="CE142" s="17"/>
      <c r="CF142" s="17"/>
      <c r="CG142" s="17"/>
    </row>
    <row r="143" spans="1:85" s="31" customFormat="1" ht="16.5" customHeight="1" thickBot="1" x14ac:dyDescent="0.3">
      <c r="A143" s="24">
        <f t="shared" si="4"/>
        <v>0</v>
      </c>
      <c r="B143" s="27">
        <v>43020</v>
      </c>
      <c r="C143" s="28" t="s">
        <v>1515</v>
      </c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58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58"/>
      <c r="AR143" s="12"/>
      <c r="AS143" s="12"/>
      <c r="AT143" s="12"/>
      <c r="AU143" s="12"/>
      <c r="AV143" s="12"/>
      <c r="AW143" s="12" t="s">
        <v>243</v>
      </c>
      <c r="AX143" s="12"/>
      <c r="AY143" s="12"/>
      <c r="AZ143" s="12"/>
      <c r="BA143" s="12"/>
      <c r="BB143" s="12"/>
      <c r="BC143" s="12"/>
      <c r="BD143" s="12"/>
      <c r="BE143" s="38"/>
      <c r="BF143" s="17"/>
      <c r="BG143" s="17"/>
      <c r="BH143" s="17"/>
    </row>
    <row r="144" spans="1:85" s="13" customFormat="1" ht="16.5" customHeight="1" x14ac:dyDescent="0.25">
      <c r="A144" s="24">
        <f t="shared" si="4"/>
        <v>40</v>
      </c>
      <c r="B144" s="25">
        <v>43030</v>
      </c>
      <c r="C144" s="24" t="s">
        <v>1516</v>
      </c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7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7"/>
      <c r="AR144" s="16"/>
      <c r="AS144" s="16"/>
      <c r="AT144" s="16"/>
      <c r="AU144" s="16"/>
      <c r="AV144" s="16"/>
      <c r="AW144" s="16" t="s">
        <v>243</v>
      </c>
      <c r="AX144" s="16"/>
      <c r="AY144" s="16"/>
      <c r="AZ144" s="16"/>
      <c r="BA144" s="16"/>
      <c r="BB144" s="16"/>
      <c r="BC144" s="16"/>
      <c r="BD144" s="16"/>
      <c r="BE144" s="14"/>
      <c r="BF144" s="17"/>
      <c r="BG144" s="17"/>
      <c r="BH144" s="17"/>
      <c r="BI144" s="17"/>
      <c r="BJ144" s="17"/>
      <c r="BK144" s="17"/>
      <c r="BL144" s="17"/>
      <c r="BM144" s="17"/>
      <c r="BN144" s="17"/>
      <c r="BO144" s="17"/>
      <c r="BP144" s="17"/>
      <c r="BQ144" s="17"/>
      <c r="BR144" s="17"/>
      <c r="BS144" s="17"/>
      <c r="BT144" s="17"/>
      <c r="BU144" s="17"/>
      <c r="BV144" s="17"/>
      <c r="BW144" s="17"/>
      <c r="BX144" s="17"/>
      <c r="BY144" s="17"/>
      <c r="BZ144" s="17"/>
      <c r="CA144" s="17"/>
      <c r="CB144" s="17"/>
      <c r="CC144" s="17"/>
      <c r="CD144" s="17"/>
      <c r="CE144" s="17"/>
      <c r="CF144" s="17"/>
      <c r="CG144" s="17"/>
    </row>
    <row r="145" spans="1:85" ht="16.5" customHeight="1" thickBot="1" x14ac:dyDescent="0.3">
      <c r="A145" s="24">
        <f t="shared" si="4"/>
        <v>40</v>
      </c>
      <c r="B145" s="27">
        <v>43210</v>
      </c>
      <c r="C145" s="28" t="s">
        <v>144</v>
      </c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3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3"/>
      <c r="AR145" s="12"/>
      <c r="AS145" s="12"/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  <c r="BD145" s="12"/>
      <c r="BE145" s="38"/>
      <c r="BF145" s="31"/>
      <c r="BG145" s="31"/>
      <c r="BH145" s="31"/>
    </row>
    <row r="146" spans="1:85" s="13" customFormat="1" ht="16.5" customHeight="1" x14ac:dyDescent="0.25">
      <c r="A146" s="24">
        <f t="shared" si="4"/>
        <v>0</v>
      </c>
      <c r="B146" s="25">
        <v>43211</v>
      </c>
      <c r="C146" s="24" t="s">
        <v>145</v>
      </c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7"/>
      <c r="AG146" s="16"/>
      <c r="AH146" s="16"/>
      <c r="AI146" s="16"/>
      <c r="AJ146" s="16"/>
      <c r="AK146" s="16"/>
      <c r="AL146" s="16"/>
      <c r="AM146" s="16"/>
      <c r="AN146" s="16" t="s">
        <v>243</v>
      </c>
      <c r="AO146" s="16"/>
      <c r="AP146" s="16"/>
      <c r="AQ146" s="17"/>
      <c r="AR146" s="16"/>
      <c r="AS146" s="16"/>
      <c r="AT146" s="16"/>
      <c r="AU146" s="16"/>
      <c r="AV146" s="16"/>
      <c r="AW146" s="16"/>
      <c r="AX146" s="16"/>
      <c r="AY146" s="16"/>
      <c r="AZ146" s="16"/>
      <c r="BA146" s="16"/>
      <c r="BB146" s="16"/>
      <c r="BC146" s="16"/>
      <c r="BD146" s="16"/>
      <c r="BE146" s="14"/>
      <c r="BF146" s="17"/>
      <c r="BG146" s="17"/>
      <c r="BH146" s="17"/>
      <c r="BI146" s="17"/>
      <c r="BJ146" s="17"/>
      <c r="BK146" s="17"/>
      <c r="BL146" s="17"/>
      <c r="BM146" s="17"/>
      <c r="BN146" s="17"/>
      <c r="BO146" s="17"/>
      <c r="BP146" s="17"/>
      <c r="BQ146" s="17"/>
      <c r="BR146" s="17"/>
      <c r="BS146" s="17"/>
      <c r="BT146" s="17"/>
      <c r="BU146" s="17"/>
      <c r="BV146" s="17"/>
      <c r="BW146" s="17"/>
      <c r="BX146" s="17"/>
      <c r="BY146" s="17"/>
      <c r="BZ146" s="17"/>
      <c r="CA146" s="17"/>
      <c r="CB146" s="17"/>
      <c r="CC146" s="17"/>
      <c r="CD146" s="17"/>
      <c r="CE146" s="17"/>
      <c r="CF146" s="17"/>
      <c r="CG146" s="17"/>
    </row>
    <row r="147" spans="1:85" ht="16.5" customHeight="1" x14ac:dyDescent="0.25">
      <c r="A147" s="24">
        <f t="shared" si="4"/>
        <v>0</v>
      </c>
      <c r="B147" s="27">
        <v>45100</v>
      </c>
      <c r="C147" s="28" t="s">
        <v>610</v>
      </c>
      <c r="D147" s="12"/>
      <c r="E147" s="12" t="s">
        <v>243</v>
      </c>
      <c r="F147" s="12" t="s">
        <v>243</v>
      </c>
      <c r="G147" s="12" t="s">
        <v>243</v>
      </c>
      <c r="H147" s="12" t="s">
        <v>243</v>
      </c>
      <c r="I147" s="12" t="s">
        <v>243</v>
      </c>
      <c r="J147" s="12" t="s">
        <v>243</v>
      </c>
      <c r="K147" s="12" t="s">
        <v>243</v>
      </c>
      <c r="L147" s="12" t="s">
        <v>243</v>
      </c>
      <c r="M147" s="12"/>
      <c r="N147" s="12"/>
      <c r="O147" s="12" t="s">
        <v>243</v>
      </c>
      <c r="P147" s="12" t="s">
        <v>243</v>
      </c>
      <c r="Q147" s="12" t="s">
        <v>243</v>
      </c>
      <c r="R147" s="12" t="s">
        <v>243</v>
      </c>
      <c r="S147" s="12" t="s">
        <v>243</v>
      </c>
      <c r="T147" s="12" t="s">
        <v>243</v>
      </c>
      <c r="U147" s="12" t="s">
        <v>243</v>
      </c>
      <c r="V147" s="12" t="s">
        <v>243</v>
      </c>
      <c r="W147" s="12" t="s">
        <v>243</v>
      </c>
      <c r="X147" s="12" t="s">
        <v>243</v>
      </c>
      <c r="Y147" s="12" t="s">
        <v>243</v>
      </c>
      <c r="Z147" s="12" t="s">
        <v>243</v>
      </c>
      <c r="AA147" s="12" t="s">
        <v>243</v>
      </c>
      <c r="AB147" s="12" t="s">
        <v>243</v>
      </c>
      <c r="AC147" s="12" t="s">
        <v>243</v>
      </c>
      <c r="AD147" s="12" t="s">
        <v>243</v>
      </c>
      <c r="AE147" s="12" t="s">
        <v>243</v>
      </c>
      <c r="AF147" s="12" t="s">
        <v>243</v>
      </c>
      <c r="AG147" s="12" t="s">
        <v>243</v>
      </c>
      <c r="AH147" s="12" t="s">
        <v>243</v>
      </c>
      <c r="AI147" s="12" t="s">
        <v>243</v>
      </c>
      <c r="AJ147" s="12" t="s">
        <v>243</v>
      </c>
      <c r="AK147" s="12"/>
      <c r="AL147" s="12"/>
      <c r="AM147" s="12"/>
      <c r="AN147" s="12" t="s">
        <v>243</v>
      </c>
      <c r="AO147" s="12" t="s">
        <v>243</v>
      </c>
      <c r="AP147" s="12"/>
      <c r="AQ147" s="13"/>
      <c r="AR147" s="12" t="s">
        <v>243</v>
      </c>
      <c r="AS147" s="12" t="s">
        <v>243</v>
      </c>
      <c r="AT147" s="12" t="s">
        <v>243</v>
      </c>
      <c r="AU147" s="12" t="s">
        <v>243</v>
      </c>
      <c r="AV147" s="12" t="s">
        <v>243</v>
      </c>
      <c r="AW147" s="12" t="s">
        <v>243</v>
      </c>
      <c r="AX147" s="12" t="s">
        <v>243</v>
      </c>
      <c r="AY147" s="12" t="s">
        <v>243</v>
      </c>
      <c r="AZ147" s="12"/>
      <c r="BA147" s="12"/>
      <c r="BB147" s="12"/>
      <c r="BC147" s="12"/>
      <c r="BD147" s="12"/>
      <c r="BE147" s="38"/>
    </row>
    <row r="148" spans="1:85" s="13" customFormat="1" ht="16.5" customHeight="1" x14ac:dyDescent="0.25">
      <c r="A148" s="24">
        <f t="shared" si="4"/>
        <v>0</v>
      </c>
      <c r="B148" s="25">
        <v>45200</v>
      </c>
      <c r="C148" s="24" t="s">
        <v>213</v>
      </c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7"/>
      <c r="AG148" s="16"/>
      <c r="AH148" s="16"/>
      <c r="AI148" s="16"/>
      <c r="AJ148" s="16"/>
      <c r="AK148" s="16"/>
      <c r="AL148" s="16"/>
      <c r="AM148" s="16"/>
      <c r="AN148" s="16"/>
      <c r="AO148" s="16"/>
      <c r="AP148" s="16"/>
      <c r="AQ148" s="17"/>
      <c r="AR148" s="16"/>
      <c r="AS148" s="16"/>
      <c r="AT148" s="16"/>
      <c r="AU148" s="16"/>
      <c r="AV148" s="16"/>
      <c r="AW148" s="16"/>
      <c r="AX148" s="16"/>
      <c r="AY148" s="16"/>
      <c r="AZ148" s="16"/>
      <c r="BA148" s="16"/>
      <c r="BB148" s="16"/>
      <c r="BC148" s="16"/>
      <c r="BD148" s="16"/>
      <c r="BE148" s="14"/>
      <c r="BF148" s="17"/>
      <c r="BG148" s="17"/>
      <c r="BH148" s="17"/>
      <c r="BI148" s="17"/>
      <c r="BJ148" s="17"/>
      <c r="BK148" s="17"/>
      <c r="BL148" s="17"/>
      <c r="BM148" s="17"/>
      <c r="BN148" s="17"/>
      <c r="BO148" s="17"/>
      <c r="BP148" s="17"/>
      <c r="BQ148" s="17"/>
      <c r="BR148" s="17"/>
      <c r="BS148" s="17"/>
      <c r="BT148" s="17"/>
      <c r="BU148" s="17"/>
      <c r="BV148" s="17"/>
      <c r="BW148" s="17"/>
      <c r="BX148" s="17"/>
      <c r="BY148" s="17"/>
      <c r="BZ148" s="17"/>
      <c r="CA148" s="17"/>
      <c r="CB148" s="17"/>
      <c r="CC148" s="17"/>
      <c r="CD148" s="17"/>
      <c r="CE148" s="17"/>
      <c r="CF148" s="17"/>
      <c r="CG148" s="17"/>
    </row>
    <row r="149" spans="1:85" ht="16.5" customHeight="1" x14ac:dyDescent="0.25">
      <c r="A149" s="24" t="e">
        <f>COUNTIF(#REF!,"Y")</f>
        <v>#REF!</v>
      </c>
      <c r="B149" s="27">
        <v>45300</v>
      </c>
      <c r="C149" s="28" t="s">
        <v>211</v>
      </c>
      <c r="D149" s="12"/>
      <c r="E149" s="12" t="s">
        <v>243</v>
      </c>
      <c r="F149" s="12" t="s">
        <v>243</v>
      </c>
      <c r="G149" s="12" t="s">
        <v>243</v>
      </c>
      <c r="H149" s="12" t="s">
        <v>243</v>
      </c>
      <c r="I149" s="12" t="s">
        <v>243</v>
      </c>
      <c r="J149" s="12" t="s">
        <v>243</v>
      </c>
      <c r="K149" s="12" t="s">
        <v>243</v>
      </c>
      <c r="L149" s="12" t="s">
        <v>243</v>
      </c>
      <c r="M149" s="12"/>
      <c r="N149" s="12"/>
      <c r="O149" s="12" t="s">
        <v>243</v>
      </c>
      <c r="P149" s="12" t="s">
        <v>243</v>
      </c>
      <c r="Q149" s="12" t="s">
        <v>243</v>
      </c>
      <c r="R149" s="12" t="s">
        <v>243</v>
      </c>
      <c r="S149" s="12" t="s">
        <v>243</v>
      </c>
      <c r="T149" s="12" t="s">
        <v>243</v>
      </c>
      <c r="U149" s="12" t="s">
        <v>243</v>
      </c>
      <c r="V149" s="12" t="s">
        <v>243</v>
      </c>
      <c r="W149" s="12" t="s">
        <v>243</v>
      </c>
      <c r="X149" s="12" t="s">
        <v>243</v>
      </c>
      <c r="Y149" s="12" t="s">
        <v>243</v>
      </c>
      <c r="Z149" s="12" t="s">
        <v>243</v>
      </c>
      <c r="AA149" s="12" t="s">
        <v>243</v>
      </c>
      <c r="AB149" s="12" t="s">
        <v>243</v>
      </c>
      <c r="AC149" s="12" t="s">
        <v>243</v>
      </c>
      <c r="AD149" s="12" t="s">
        <v>243</v>
      </c>
      <c r="AE149" s="12" t="s">
        <v>243</v>
      </c>
      <c r="AF149" s="12" t="s">
        <v>243</v>
      </c>
      <c r="AG149" s="12" t="s">
        <v>243</v>
      </c>
      <c r="AH149" s="12" t="s">
        <v>243</v>
      </c>
      <c r="AI149" s="12" t="s">
        <v>243</v>
      </c>
      <c r="AJ149" s="12" t="s">
        <v>243</v>
      </c>
      <c r="AK149" s="12"/>
      <c r="AL149" s="12"/>
      <c r="AM149" s="12"/>
      <c r="AN149" s="12" t="s">
        <v>243</v>
      </c>
      <c r="AO149" s="12" t="s">
        <v>243</v>
      </c>
      <c r="AP149" s="12"/>
      <c r="AQ149" s="13"/>
      <c r="AR149" s="12" t="s">
        <v>243</v>
      </c>
      <c r="AS149" s="12" t="s">
        <v>243</v>
      </c>
      <c r="AT149" s="12" t="s">
        <v>243</v>
      </c>
      <c r="AU149" s="12" t="s">
        <v>243</v>
      </c>
      <c r="AV149" s="12" t="s">
        <v>243</v>
      </c>
      <c r="AW149" s="12" t="s">
        <v>243</v>
      </c>
      <c r="AX149" s="12" t="s">
        <v>243</v>
      </c>
      <c r="AY149" s="12" t="s">
        <v>243</v>
      </c>
      <c r="AZ149" s="12"/>
      <c r="BA149" s="12"/>
      <c r="BB149" s="12"/>
      <c r="BC149" s="12"/>
      <c r="BD149" s="12"/>
      <c r="BE149" s="38"/>
    </row>
    <row r="150" spans="1:85" s="13" customFormat="1" ht="16.5" customHeight="1" x14ac:dyDescent="0.25">
      <c r="A150" s="24" t="e">
        <f>COUNTIF(#REF!,"Y")</f>
        <v>#REF!</v>
      </c>
      <c r="B150" s="25">
        <v>45400</v>
      </c>
      <c r="C150" s="24" t="s">
        <v>1517</v>
      </c>
      <c r="D150" s="16"/>
      <c r="E150" s="16" t="s">
        <v>243</v>
      </c>
      <c r="F150" s="16" t="s">
        <v>243</v>
      </c>
      <c r="G150" s="16" t="s">
        <v>243</v>
      </c>
      <c r="H150" s="16" t="s">
        <v>243</v>
      </c>
      <c r="I150" s="16" t="s">
        <v>243</v>
      </c>
      <c r="J150" s="16" t="s">
        <v>243</v>
      </c>
      <c r="K150" s="16" t="s">
        <v>243</v>
      </c>
      <c r="L150" s="16" t="s">
        <v>243</v>
      </c>
      <c r="M150" s="16"/>
      <c r="N150" s="16"/>
      <c r="O150" s="16" t="s">
        <v>243</v>
      </c>
      <c r="P150" s="16" t="s">
        <v>243</v>
      </c>
      <c r="Q150" s="16" t="s">
        <v>243</v>
      </c>
      <c r="R150" s="16" t="s">
        <v>243</v>
      </c>
      <c r="S150" s="16" t="s">
        <v>243</v>
      </c>
      <c r="T150" s="16" t="s">
        <v>243</v>
      </c>
      <c r="U150" s="16" t="s">
        <v>243</v>
      </c>
      <c r="V150" s="16" t="s">
        <v>243</v>
      </c>
      <c r="W150" s="16" t="s">
        <v>243</v>
      </c>
      <c r="X150" s="16" t="s">
        <v>243</v>
      </c>
      <c r="Y150" s="16" t="s">
        <v>243</v>
      </c>
      <c r="Z150" s="16" t="s">
        <v>243</v>
      </c>
      <c r="AA150" s="16" t="s">
        <v>243</v>
      </c>
      <c r="AB150" s="16" t="s">
        <v>243</v>
      </c>
      <c r="AC150" s="16" t="s">
        <v>243</v>
      </c>
      <c r="AD150" s="16" t="s">
        <v>243</v>
      </c>
      <c r="AE150" s="16" t="s">
        <v>243</v>
      </c>
      <c r="AF150" s="16" t="s">
        <v>243</v>
      </c>
      <c r="AG150" s="16" t="s">
        <v>243</v>
      </c>
      <c r="AH150" s="16" t="s">
        <v>243</v>
      </c>
      <c r="AI150" s="16" t="s">
        <v>243</v>
      </c>
      <c r="AJ150" s="16" t="s">
        <v>243</v>
      </c>
      <c r="AK150" s="16"/>
      <c r="AL150" s="16"/>
      <c r="AM150" s="16"/>
      <c r="AN150" s="16" t="s">
        <v>243</v>
      </c>
      <c r="AO150" s="16" t="s">
        <v>243</v>
      </c>
      <c r="AP150" s="16"/>
      <c r="AQ150" s="17"/>
      <c r="AR150" s="16" t="s">
        <v>243</v>
      </c>
      <c r="AS150" s="16" t="s">
        <v>243</v>
      </c>
      <c r="AT150" s="16" t="s">
        <v>243</v>
      </c>
      <c r="AU150" s="16" t="s">
        <v>243</v>
      </c>
      <c r="AV150" s="16" t="s">
        <v>243</v>
      </c>
      <c r="AW150" s="16" t="s">
        <v>243</v>
      </c>
      <c r="AX150" s="16" t="s">
        <v>243</v>
      </c>
      <c r="AY150" s="16" t="s">
        <v>243</v>
      </c>
      <c r="AZ150" s="16"/>
      <c r="BA150" s="16"/>
      <c r="BB150" s="16"/>
      <c r="BC150" s="16"/>
      <c r="BD150" s="16"/>
      <c r="BE150" s="14"/>
      <c r="BF150" s="17"/>
      <c r="BG150" s="17"/>
      <c r="BH150" s="17"/>
      <c r="BI150" s="17"/>
      <c r="BJ150" s="17"/>
      <c r="BK150" s="17"/>
      <c r="BL150" s="17"/>
      <c r="BM150" s="17"/>
      <c r="BN150" s="17"/>
      <c r="BO150" s="17"/>
      <c r="BP150" s="17"/>
      <c r="BQ150" s="17"/>
      <c r="BR150" s="17"/>
      <c r="BS150" s="17"/>
      <c r="BT150" s="17"/>
      <c r="BU150" s="17"/>
      <c r="BV150" s="17"/>
      <c r="BW150" s="17"/>
      <c r="BX150" s="17"/>
      <c r="BY150" s="17"/>
      <c r="BZ150" s="17"/>
      <c r="CA150" s="17"/>
      <c r="CB150" s="17"/>
      <c r="CC150" s="17"/>
      <c r="CD150" s="17"/>
      <c r="CE150" s="17"/>
      <c r="CF150" s="17"/>
      <c r="CG150" s="17"/>
    </row>
    <row r="151" spans="1:85" ht="16.5" customHeight="1" x14ac:dyDescent="0.25">
      <c r="A151" s="24" t="e">
        <f>COUNTIF(#REF!,"Y")</f>
        <v>#REF!</v>
      </c>
      <c r="B151" s="27">
        <v>45500</v>
      </c>
      <c r="C151" s="28" t="s">
        <v>214</v>
      </c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3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3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  <c r="BD151" s="12"/>
      <c r="BE151" s="38"/>
    </row>
    <row r="152" spans="1:85" s="13" customFormat="1" ht="16.5" customHeight="1" x14ac:dyDescent="0.25">
      <c r="A152" s="24" t="e">
        <f>COUNTIF(#REF!,"Y")</f>
        <v>#REF!</v>
      </c>
      <c r="B152" s="25">
        <v>45600</v>
      </c>
      <c r="C152" s="24" t="s">
        <v>1518</v>
      </c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7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17"/>
      <c r="AR152" s="16"/>
      <c r="AS152" s="16"/>
      <c r="AT152" s="16"/>
      <c r="AU152" s="16"/>
      <c r="AV152" s="16"/>
      <c r="AW152" s="16"/>
      <c r="AX152" s="16"/>
      <c r="AY152" s="16"/>
      <c r="AZ152" s="16"/>
      <c r="BA152" s="16"/>
      <c r="BB152" s="16"/>
      <c r="BC152" s="16"/>
      <c r="BD152" s="16"/>
      <c r="BE152" s="14"/>
      <c r="BF152" s="17"/>
      <c r="BG152" s="17"/>
      <c r="BH152" s="17"/>
      <c r="BI152" s="17"/>
      <c r="BJ152" s="17"/>
      <c r="BK152" s="17"/>
      <c r="BL152" s="17"/>
      <c r="BM152" s="17"/>
      <c r="BN152" s="17"/>
      <c r="BO152" s="17"/>
      <c r="BP152" s="17"/>
      <c r="BQ152" s="17"/>
      <c r="BR152" s="17"/>
      <c r="BS152" s="17"/>
      <c r="BT152" s="17"/>
      <c r="BU152" s="17"/>
      <c r="BV152" s="17"/>
      <c r="BW152" s="17"/>
      <c r="BX152" s="17"/>
      <c r="BY152" s="17"/>
      <c r="BZ152" s="17"/>
      <c r="CA152" s="17"/>
      <c r="CB152" s="17"/>
      <c r="CC152" s="17"/>
      <c r="CD152" s="17"/>
      <c r="CE152" s="17"/>
      <c r="CF152" s="17"/>
      <c r="CG152" s="17"/>
    </row>
    <row r="153" spans="1:85" ht="16.5" customHeight="1" x14ac:dyDescent="0.25">
      <c r="A153" s="24" t="e">
        <f>COUNTIF(#REF!,"Y")</f>
        <v>#REF!</v>
      </c>
      <c r="B153" s="27">
        <v>45700</v>
      </c>
      <c r="C153" s="28" t="s">
        <v>1519</v>
      </c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3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3"/>
      <c r="AR153" s="12"/>
      <c r="AS153" s="12"/>
      <c r="AT153" s="12"/>
      <c r="AU153" s="12"/>
      <c r="AV153" s="12"/>
      <c r="AW153" s="12"/>
      <c r="AX153" s="12"/>
      <c r="AY153" s="12"/>
      <c r="AZ153" s="12"/>
      <c r="BA153" s="12"/>
      <c r="BB153" s="12"/>
      <c r="BC153" s="12"/>
      <c r="BD153" s="12"/>
      <c r="BE153" s="38"/>
    </row>
    <row r="154" spans="1:85" s="13" customFormat="1" ht="16.5" customHeight="1" x14ac:dyDescent="0.25">
      <c r="A154" s="24">
        <f t="shared" ref="A154:A192" si="5">COUNTIF(D159:BE159,"Y")</f>
        <v>36</v>
      </c>
      <c r="B154" s="25">
        <v>50000</v>
      </c>
      <c r="C154" s="24" t="s">
        <v>283</v>
      </c>
      <c r="D154" s="16"/>
      <c r="E154" s="16" t="s">
        <v>243</v>
      </c>
      <c r="F154" s="16" t="s">
        <v>243</v>
      </c>
      <c r="G154" s="16" t="s">
        <v>243</v>
      </c>
      <c r="H154" s="16" t="s">
        <v>243</v>
      </c>
      <c r="I154" s="16"/>
      <c r="J154" s="16"/>
      <c r="K154" s="16"/>
      <c r="L154" s="16"/>
      <c r="M154" s="16"/>
      <c r="N154" s="16"/>
      <c r="O154" s="16" t="s">
        <v>243</v>
      </c>
      <c r="P154" s="16" t="s">
        <v>243</v>
      </c>
      <c r="Q154" s="16" t="s">
        <v>243</v>
      </c>
      <c r="R154" s="16" t="s">
        <v>243</v>
      </c>
      <c r="S154" s="16" t="s">
        <v>243</v>
      </c>
      <c r="T154" s="16" t="s">
        <v>243</v>
      </c>
      <c r="U154" s="16" t="s">
        <v>243</v>
      </c>
      <c r="V154" s="16" t="s">
        <v>243</v>
      </c>
      <c r="W154" s="16" t="s">
        <v>243</v>
      </c>
      <c r="X154" s="16" t="s">
        <v>243</v>
      </c>
      <c r="Y154" s="16" t="s">
        <v>243</v>
      </c>
      <c r="Z154" s="16" t="s">
        <v>243</v>
      </c>
      <c r="AA154" s="16" t="s">
        <v>243</v>
      </c>
      <c r="AB154" s="16" t="s">
        <v>243</v>
      </c>
      <c r="AC154" s="16" t="s">
        <v>243</v>
      </c>
      <c r="AD154" s="16" t="s">
        <v>243</v>
      </c>
      <c r="AE154" s="16" t="s">
        <v>243</v>
      </c>
      <c r="AF154" s="16" t="s">
        <v>243</v>
      </c>
      <c r="AG154" s="16" t="s">
        <v>243</v>
      </c>
      <c r="AH154" s="16" t="s">
        <v>243</v>
      </c>
      <c r="AI154" s="16" t="s">
        <v>243</v>
      </c>
      <c r="AJ154" s="16"/>
      <c r="AK154" s="16" t="s">
        <v>243</v>
      </c>
      <c r="AL154" s="16"/>
      <c r="AM154" s="16"/>
      <c r="AN154" s="16" t="s">
        <v>243</v>
      </c>
      <c r="AO154" s="16" t="s">
        <v>243</v>
      </c>
      <c r="AP154" s="16"/>
      <c r="AQ154" s="17"/>
      <c r="AR154" s="16" t="s">
        <v>243</v>
      </c>
      <c r="AS154" s="16" t="s">
        <v>243</v>
      </c>
      <c r="AT154" s="16" t="s">
        <v>243</v>
      </c>
      <c r="AU154" s="16" t="s">
        <v>243</v>
      </c>
      <c r="AV154" s="16" t="s">
        <v>243</v>
      </c>
      <c r="AW154" s="16" t="s">
        <v>243</v>
      </c>
      <c r="AX154" s="16" t="s">
        <v>243</v>
      </c>
      <c r="AY154" s="16" t="s">
        <v>243</v>
      </c>
      <c r="AZ154" s="16"/>
      <c r="BA154" s="16"/>
      <c r="BB154" s="16"/>
      <c r="BC154" s="16"/>
      <c r="BD154" s="16"/>
      <c r="BE154" s="14"/>
      <c r="BF154" s="17"/>
      <c r="BG154" s="17"/>
      <c r="BH154" s="17"/>
      <c r="BI154" s="17"/>
      <c r="BJ154" s="17"/>
      <c r="BK154" s="17"/>
      <c r="BL154" s="17"/>
      <c r="BM154" s="17"/>
      <c r="BN154" s="17"/>
      <c r="BO154" s="17"/>
      <c r="BP154" s="17"/>
      <c r="BQ154" s="17"/>
      <c r="BR154" s="17"/>
      <c r="BS154" s="17"/>
      <c r="BT154" s="17"/>
      <c r="BU154" s="17"/>
      <c r="BV154" s="17"/>
      <c r="BW154" s="17"/>
      <c r="BX154" s="17"/>
      <c r="BY154" s="17"/>
      <c r="BZ154" s="17"/>
      <c r="CA154" s="17"/>
      <c r="CB154" s="17"/>
      <c r="CC154" s="17"/>
      <c r="CD154" s="17"/>
      <c r="CE154" s="17"/>
      <c r="CF154" s="17"/>
      <c r="CG154" s="17"/>
    </row>
    <row r="155" spans="1:85" ht="16.5" customHeight="1" x14ac:dyDescent="0.25">
      <c r="A155" s="24">
        <f t="shared" si="5"/>
        <v>36</v>
      </c>
      <c r="B155" s="27">
        <v>50100</v>
      </c>
      <c r="C155" s="28" t="s">
        <v>1520</v>
      </c>
      <c r="D155" s="12"/>
      <c r="E155" s="12" t="s">
        <v>243</v>
      </c>
      <c r="F155" s="12" t="s">
        <v>243</v>
      </c>
      <c r="G155" s="12" t="s">
        <v>243</v>
      </c>
      <c r="H155" s="12" t="s">
        <v>243</v>
      </c>
      <c r="I155" s="12"/>
      <c r="J155" s="12"/>
      <c r="K155" s="12"/>
      <c r="L155" s="12"/>
      <c r="M155" s="12"/>
      <c r="N155" s="12"/>
      <c r="O155" s="12" t="s">
        <v>243</v>
      </c>
      <c r="P155" s="12" t="s">
        <v>243</v>
      </c>
      <c r="Q155" s="12" t="s">
        <v>243</v>
      </c>
      <c r="R155" s="12" t="s">
        <v>243</v>
      </c>
      <c r="S155" s="12" t="s">
        <v>243</v>
      </c>
      <c r="T155" s="12" t="s">
        <v>243</v>
      </c>
      <c r="U155" s="12" t="s">
        <v>243</v>
      </c>
      <c r="V155" s="12" t="s">
        <v>243</v>
      </c>
      <c r="W155" s="12" t="s">
        <v>243</v>
      </c>
      <c r="X155" s="12" t="s">
        <v>243</v>
      </c>
      <c r="Y155" s="12" t="s">
        <v>243</v>
      </c>
      <c r="Z155" s="12" t="s">
        <v>243</v>
      </c>
      <c r="AA155" s="12" t="s">
        <v>243</v>
      </c>
      <c r="AB155" s="12" t="s">
        <v>243</v>
      </c>
      <c r="AC155" s="12" t="s">
        <v>243</v>
      </c>
      <c r="AD155" s="12" t="s">
        <v>243</v>
      </c>
      <c r="AE155" s="12" t="s">
        <v>243</v>
      </c>
      <c r="AF155" s="12" t="s">
        <v>243</v>
      </c>
      <c r="AG155" s="12" t="s">
        <v>243</v>
      </c>
      <c r="AH155" s="12" t="s">
        <v>243</v>
      </c>
      <c r="AI155" s="12" t="s">
        <v>243</v>
      </c>
      <c r="AJ155" s="12"/>
      <c r="AK155" s="12" t="s">
        <v>243</v>
      </c>
      <c r="AL155" s="12"/>
      <c r="AM155" s="12"/>
      <c r="AN155" s="12" t="s">
        <v>243</v>
      </c>
      <c r="AO155" s="12" t="s">
        <v>243</v>
      </c>
      <c r="AP155" s="12"/>
      <c r="AQ155" s="13"/>
      <c r="AR155" s="12" t="s">
        <v>243</v>
      </c>
      <c r="AS155" s="12" t="s">
        <v>243</v>
      </c>
      <c r="AT155" s="12" t="s">
        <v>243</v>
      </c>
      <c r="AU155" s="12" t="s">
        <v>243</v>
      </c>
      <c r="AV155" s="12" t="s">
        <v>243</v>
      </c>
      <c r="AW155" s="12" t="s">
        <v>243</v>
      </c>
      <c r="AX155" s="12" t="s">
        <v>243</v>
      </c>
      <c r="AY155" s="12" t="s">
        <v>243</v>
      </c>
      <c r="AZ155" s="12"/>
      <c r="BA155" s="12"/>
      <c r="BB155" s="12"/>
      <c r="BC155" s="12"/>
      <c r="BD155" s="12"/>
      <c r="BE155" s="38"/>
    </row>
    <row r="156" spans="1:85" s="13" customFormat="1" ht="16.5" customHeight="1" x14ac:dyDescent="0.25">
      <c r="A156" s="24">
        <f t="shared" si="5"/>
        <v>36</v>
      </c>
      <c r="B156" s="25">
        <v>50200</v>
      </c>
      <c r="C156" s="24" t="s">
        <v>1521</v>
      </c>
      <c r="D156" s="16"/>
      <c r="E156" s="16" t="s">
        <v>243</v>
      </c>
      <c r="F156" s="16" t="s">
        <v>243</v>
      </c>
      <c r="G156" s="16" t="s">
        <v>243</v>
      </c>
      <c r="H156" s="16" t="s">
        <v>243</v>
      </c>
      <c r="I156" s="16"/>
      <c r="J156" s="16"/>
      <c r="K156" s="16"/>
      <c r="L156" s="16"/>
      <c r="M156" s="16"/>
      <c r="N156" s="16"/>
      <c r="O156" s="16" t="s">
        <v>243</v>
      </c>
      <c r="P156" s="16" t="s">
        <v>243</v>
      </c>
      <c r="Q156" s="16" t="s">
        <v>243</v>
      </c>
      <c r="R156" s="16" t="s">
        <v>243</v>
      </c>
      <c r="S156" s="16" t="s">
        <v>243</v>
      </c>
      <c r="T156" s="16" t="s">
        <v>243</v>
      </c>
      <c r="U156" s="16" t="s">
        <v>243</v>
      </c>
      <c r="V156" s="16" t="s">
        <v>243</v>
      </c>
      <c r="W156" s="16" t="s">
        <v>243</v>
      </c>
      <c r="X156" s="16" t="s">
        <v>243</v>
      </c>
      <c r="Y156" s="16" t="s">
        <v>243</v>
      </c>
      <c r="Z156" s="16" t="s">
        <v>243</v>
      </c>
      <c r="AA156" s="16" t="s">
        <v>243</v>
      </c>
      <c r="AB156" s="16" t="s">
        <v>243</v>
      </c>
      <c r="AC156" s="16" t="s">
        <v>243</v>
      </c>
      <c r="AD156" s="16" t="s">
        <v>243</v>
      </c>
      <c r="AE156" s="16" t="s">
        <v>243</v>
      </c>
      <c r="AF156" s="16" t="s">
        <v>243</v>
      </c>
      <c r="AG156" s="16" t="s">
        <v>243</v>
      </c>
      <c r="AH156" s="16" t="s">
        <v>243</v>
      </c>
      <c r="AI156" s="16" t="s">
        <v>243</v>
      </c>
      <c r="AJ156" s="16"/>
      <c r="AK156" s="16" t="s">
        <v>243</v>
      </c>
      <c r="AL156" s="16"/>
      <c r="AM156" s="16"/>
      <c r="AN156" s="16" t="s">
        <v>243</v>
      </c>
      <c r="AO156" s="16" t="s">
        <v>243</v>
      </c>
      <c r="AP156" s="16"/>
      <c r="AQ156" s="17"/>
      <c r="AR156" s="16" t="s">
        <v>243</v>
      </c>
      <c r="AS156" s="16" t="s">
        <v>243</v>
      </c>
      <c r="AT156" s="16" t="s">
        <v>243</v>
      </c>
      <c r="AU156" s="16" t="s">
        <v>243</v>
      </c>
      <c r="AV156" s="16" t="s">
        <v>243</v>
      </c>
      <c r="AW156" s="16" t="s">
        <v>243</v>
      </c>
      <c r="AX156" s="16" t="s">
        <v>243</v>
      </c>
      <c r="AY156" s="16" t="s">
        <v>243</v>
      </c>
      <c r="AZ156" s="16"/>
      <c r="BA156" s="16"/>
      <c r="BB156" s="16"/>
      <c r="BC156" s="16"/>
      <c r="BD156" s="16"/>
      <c r="BE156" s="14"/>
      <c r="BF156" s="17"/>
      <c r="BG156" s="17"/>
      <c r="BH156" s="17"/>
      <c r="BI156" s="17"/>
      <c r="BJ156" s="17"/>
      <c r="BK156" s="17"/>
      <c r="BL156" s="17"/>
      <c r="BM156" s="17"/>
      <c r="BN156" s="17"/>
      <c r="BO156" s="17"/>
      <c r="BP156" s="17"/>
      <c r="BQ156" s="17"/>
      <c r="BR156" s="17"/>
      <c r="BS156" s="17"/>
      <c r="BT156" s="17"/>
      <c r="BU156" s="17"/>
      <c r="BV156" s="17"/>
      <c r="BW156" s="17"/>
      <c r="BX156" s="17"/>
      <c r="BY156" s="17"/>
      <c r="BZ156" s="17"/>
      <c r="CA156" s="17"/>
      <c r="CB156" s="17"/>
      <c r="CC156" s="17"/>
      <c r="CD156" s="17"/>
      <c r="CE156" s="17"/>
      <c r="CF156" s="17"/>
      <c r="CG156" s="17"/>
    </row>
    <row r="157" spans="1:85" ht="16.5" customHeight="1" x14ac:dyDescent="0.25">
      <c r="A157" s="24">
        <f t="shared" si="5"/>
        <v>36</v>
      </c>
      <c r="B157" s="27">
        <v>50300</v>
      </c>
      <c r="C157" s="28" t="s">
        <v>1522</v>
      </c>
      <c r="D157" s="12"/>
      <c r="E157" s="12" t="s">
        <v>243</v>
      </c>
      <c r="F157" s="12" t="s">
        <v>243</v>
      </c>
      <c r="G157" s="12" t="s">
        <v>243</v>
      </c>
      <c r="H157" s="12" t="s">
        <v>243</v>
      </c>
      <c r="I157" s="12"/>
      <c r="J157" s="12"/>
      <c r="K157" s="12"/>
      <c r="L157" s="12"/>
      <c r="M157" s="12"/>
      <c r="N157" s="12"/>
      <c r="O157" s="12" t="s">
        <v>243</v>
      </c>
      <c r="P157" s="12" t="s">
        <v>243</v>
      </c>
      <c r="Q157" s="12" t="s">
        <v>243</v>
      </c>
      <c r="R157" s="12" t="s">
        <v>243</v>
      </c>
      <c r="S157" s="12" t="s">
        <v>243</v>
      </c>
      <c r="T157" s="12" t="s">
        <v>243</v>
      </c>
      <c r="U157" s="12" t="s">
        <v>243</v>
      </c>
      <c r="V157" s="12" t="s">
        <v>243</v>
      </c>
      <c r="W157" s="12" t="s">
        <v>243</v>
      </c>
      <c r="X157" s="12" t="s">
        <v>243</v>
      </c>
      <c r="Y157" s="12" t="s">
        <v>243</v>
      </c>
      <c r="Z157" s="12" t="s">
        <v>243</v>
      </c>
      <c r="AA157" s="12" t="s">
        <v>243</v>
      </c>
      <c r="AB157" s="12" t="s">
        <v>243</v>
      </c>
      <c r="AC157" s="12" t="s">
        <v>243</v>
      </c>
      <c r="AD157" s="12" t="s">
        <v>243</v>
      </c>
      <c r="AE157" s="12" t="s">
        <v>243</v>
      </c>
      <c r="AF157" s="12" t="s">
        <v>243</v>
      </c>
      <c r="AG157" s="12" t="s">
        <v>243</v>
      </c>
      <c r="AH157" s="12" t="s">
        <v>243</v>
      </c>
      <c r="AI157" s="12" t="s">
        <v>243</v>
      </c>
      <c r="AJ157" s="12"/>
      <c r="AK157" s="12" t="s">
        <v>243</v>
      </c>
      <c r="AL157" s="12"/>
      <c r="AM157" s="12"/>
      <c r="AN157" s="12" t="s">
        <v>243</v>
      </c>
      <c r="AO157" s="12" t="s">
        <v>243</v>
      </c>
      <c r="AP157" s="12"/>
      <c r="AQ157" s="13"/>
      <c r="AR157" s="12" t="s">
        <v>243</v>
      </c>
      <c r="AS157" s="12" t="s">
        <v>243</v>
      </c>
      <c r="AT157" s="12" t="s">
        <v>243</v>
      </c>
      <c r="AU157" s="12" t="s">
        <v>243</v>
      </c>
      <c r="AV157" s="12" t="s">
        <v>243</v>
      </c>
      <c r="AW157" s="12" t="s">
        <v>243</v>
      </c>
      <c r="AX157" s="12" t="s">
        <v>243</v>
      </c>
      <c r="AY157" s="12" t="s">
        <v>243</v>
      </c>
      <c r="AZ157" s="12"/>
      <c r="BA157" s="12"/>
      <c r="BB157" s="12"/>
      <c r="BC157" s="12"/>
      <c r="BD157" s="12"/>
      <c r="BE157" s="38"/>
    </row>
    <row r="158" spans="1:85" s="13" customFormat="1" ht="16.5" customHeight="1" x14ac:dyDescent="0.25">
      <c r="A158" s="24">
        <f t="shared" si="5"/>
        <v>36</v>
      </c>
      <c r="B158" s="25">
        <v>50350</v>
      </c>
      <c r="C158" s="24" t="s">
        <v>1523</v>
      </c>
      <c r="D158" s="16"/>
      <c r="E158" s="16" t="s">
        <v>243</v>
      </c>
      <c r="F158" s="16" t="s">
        <v>243</v>
      </c>
      <c r="G158" s="16" t="s">
        <v>243</v>
      </c>
      <c r="H158" s="16" t="s">
        <v>243</v>
      </c>
      <c r="I158" s="16"/>
      <c r="J158" s="16"/>
      <c r="K158" s="16"/>
      <c r="L158" s="16"/>
      <c r="M158" s="16"/>
      <c r="N158" s="16"/>
      <c r="O158" s="16" t="s">
        <v>243</v>
      </c>
      <c r="P158" s="16" t="s">
        <v>243</v>
      </c>
      <c r="Q158" s="16" t="s">
        <v>243</v>
      </c>
      <c r="R158" s="16" t="s">
        <v>243</v>
      </c>
      <c r="S158" s="16" t="s">
        <v>243</v>
      </c>
      <c r="T158" s="16" t="s">
        <v>243</v>
      </c>
      <c r="U158" s="16" t="s">
        <v>243</v>
      </c>
      <c r="V158" s="16" t="s">
        <v>243</v>
      </c>
      <c r="W158" s="16" t="s">
        <v>243</v>
      </c>
      <c r="X158" s="16" t="s">
        <v>243</v>
      </c>
      <c r="Y158" s="16" t="s">
        <v>243</v>
      </c>
      <c r="Z158" s="16" t="s">
        <v>243</v>
      </c>
      <c r="AA158" s="16" t="s">
        <v>243</v>
      </c>
      <c r="AB158" s="16" t="s">
        <v>243</v>
      </c>
      <c r="AC158" s="16" t="s">
        <v>243</v>
      </c>
      <c r="AD158" s="16" t="s">
        <v>243</v>
      </c>
      <c r="AE158" s="16" t="s">
        <v>243</v>
      </c>
      <c r="AF158" s="16" t="s">
        <v>243</v>
      </c>
      <c r="AG158" s="16" t="s">
        <v>243</v>
      </c>
      <c r="AH158" s="16" t="s">
        <v>243</v>
      </c>
      <c r="AI158" s="16" t="s">
        <v>243</v>
      </c>
      <c r="AJ158" s="16"/>
      <c r="AK158" s="16" t="s">
        <v>243</v>
      </c>
      <c r="AL158" s="16"/>
      <c r="AM158" s="16"/>
      <c r="AN158" s="16" t="s">
        <v>243</v>
      </c>
      <c r="AO158" s="16" t="s">
        <v>243</v>
      </c>
      <c r="AP158" s="16"/>
      <c r="AQ158" s="17"/>
      <c r="AR158" s="16" t="s">
        <v>243</v>
      </c>
      <c r="AS158" s="16" t="s">
        <v>243</v>
      </c>
      <c r="AT158" s="16" t="s">
        <v>243</v>
      </c>
      <c r="AU158" s="16" t="s">
        <v>243</v>
      </c>
      <c r="AV158" s="16" t="s">
        <v>243</v>
      </c>
      <c r="AW158" s="16" t="s">
        <v>243</v>
      </c>
      <c r="AX158" s="16" t="s">
        <v>243</v>
      </c>
      <c r="AY158" s="16" t="s">
        <v>243</v>
      </c>
      <c r="AZ158" s="16"/>
      <c r="BA158" s="16"/>
      <c r="BB158" s="16"/>
      <c r="BC158" s="16"/>
      <c r="BD158" s="16"/>
      <c r="BE158" s="14"/>
      <c r="BF158" s="17"/>
      <c r="BG158" s="17"/>
      <c r="BH158" s="17"/>
      <c r="BI158" s="17"/>
      <c r="BJ158" s="17"/>
      <c r="BK158" s="17"/>
      <c r="BL158" s="17"/>
      <c r="BM158" s="17"/>
      <c r="BN158" s="17"/>
      <c r="BO158" s="17"/>
      <c r="BP158" s="17"/>
      <c r="BQ158" s="17"/>
      <c r="BR158" s="17"/>
      <c r="BS158" s="17"/>
      <c r="BT158" s="17"/>
      <c r="BU158" s="17"/>
      <c r="BV158" s="17"/>
      <c r="BW158" s="17"/>
      <c r="BX158" s="17"/>
      <c r="BY158" s="17"/>
      <c r="BZ158" s="17"/>
      <c r="CA158" s="17"/>
      <c r="CB158" s="17"/>
      <c r="CC158" s="17"/>
      <c r="CD158" s="17"/>
      <c r="CE158" s="17"/>
      <c r="CF158" s="17"/>
      <c r="CG158" s="17"/>
    </row>
    <row r="159" spans="1:85" ht="16.5" customHeight="1" x14ac:dyDescent="0.25">
      <c r="A159" s="24">
        <f t="shared" si="5"/>
        <v>36</v>
      </c>
      <c r="B159" s="27">
        <v>50400</v>
      </c>
      <c r="C159" s="28" t="s">
        <v>228</v>
      </c>
      <c r="D159" s="12"/>
      <c r="E159" s="12" t="s">
        <v>243</v>
      </c>
      <c r="F159" s="12" t="s">
        <v>243</v>
      </c>
      <c r="G159" s="12" t="s">
        <v>243</v>
      </c>
      <c r="H159" s="12" t="s">
        <v>243</v>
      </c>
      <c r="I159" s="12"/>
      <c r="J159" s="12"/>
      <c r="K159" s="12"/>
      <c r="L159" s="12"/>
      <c r="M159" s="12"/>
      <c r="N159" s="12"/>
      <c r="O159" s="12" t="s">
        <v>243</v>
      </c>
      <c r="P159" s="12" t="s">
        <v>243</v>
      </c>
      <c r="Q159" s="12" t="s">
        <v>243</v>
      </c>
      <c r="R159" s="12" t="s">
        <v>243</v>
      </c>
      <c r="S159" s="12" t="s">
        <v>243</v>
      </c>
      <c r="T159" s="12" t="s">
        <v>243</v>
      </c>
      <c r="U159" s="12" t="s">
        <v>243</v>
      </c>
      <c r="V159" s="12" t="s">
        <v>243</v>
      </c>
      <c r="W159" s="12" t="s">
        <v>243</v>
      </c>
      <c r="X159" s="12" t="s">
        <v>243</v>
      </c>
      <c r="Y159" s="12" t="s">
        <v>243</v>
      </c>
      <c r="Z159" s="12" t="s">
        <v>243</v>
      </c>
      <c r="AA159" s="12" t="s">
        <v>243</v>
      </c>
      <c r="AB159" s="12" t="s">
        <v>243</v>
      </c>
      <c r="AC159" s="12" t="s">
        <v>243</v>
      </c>
      <c r="AD159" s="12" t="s">
        <v>243</v>
      </c>
      <c r="AE159" s="12" t="s">
        <v>243</v>
      </c>
      <c r="AF159" s="12" t="s">
        <v>243</v>
      </c>
      <c r="AG159" s="12" t="s">
        <v>243</v>
      </c>
      <c r="AH159" s="12" t="s">
        <v>243</v>
      </c>
      <c r="AI159" s="12" t="s">
        <v>243</v>
      </c>
      <c r="AJ159" s="12"/>
      <c r="AK159" s="12" t="s">
        <v>243</v>
      </c>
      <c r="AL159" s="12"/>
      <c r="AM159" s="12"/>
      <c r="AN159" s="12" t="s">
        <v>243</v>
      </c>
      <c r="AO159" s="12" t="s">
        <v>243</v>
      </c>
      <c r="AP159" s="12"/>
      <c r="AQ159" s="13"/>
      <c r="AR159" s="12" t="s">
        <v>243</v>
      </c>
      <c r="AS159" s="12" t="s">
        <v>243</v>
      </c>
      <c r="AT159" s="12" t="s">
        <v>243</v>
      </c>
      <c r="AU159" s="12" t="s">
        <v>243</v>
      </c>
      <c r="AV159" s="12" t="s">
        <v>243</v>
      </c>
      <c r="AW159" s="12" t="s">
        <v>243</v>
      </c>
      <c r="AX159" s="12" t="s">
        <v>243</v>
      </c>
      <c r="AY159" s="12" t="s">
        <v>243</v>
      </c>
      <c r="AZ159" s="12"/>
      <c r="BA159" s="12"/>
      <c r="BB159" s="12"/>
      <c r="BC159" s="12"/>
      <c r="BD159" s="12"/>
      <c r="BE159" s="38"/>
    </row>
    <row r="160" spans="1:85" s="13" customFormat="1" ht="16.5" customHeight="1" x14ac:dyDescent="0.25">
      <c r="A160" s="24">
        <f t="shared" si="5"/>
        <v>36</v>
      </c>
      <c r="B160" s="25">
        <v>50500</v>
      </c>
      <c r="C160" s="24" t="s">
        <v>287</v>
      </c>
      <c r="D160" s="16"/>
      <c r="E160" s="16" t="s">
        <v>243</v>
      </c>
      <c r="F160" s="16" t="s">
        <v>243</v>
      </c>
      <c r="G160" s="16" t="s">
        <v>243</v>
      </c>
      <c r="H160" s="16" t="s">
        <v>243</v>
      </c>
      <c r="I160" s="16"/>
      <c r="J160" s="16"/>
      <c r="K160" s="16"/>
      <c r="L160" s="16"/>
      <c r="M160" s="16"/>
      <c r="N160" s="16"/>
      <c r="O160" s="16" t="s">
        <v>243</v>
      </c>
      <c r="P160" s="16" t="s">
        <v>243</v>
      </c>
      <c r="Q160" s="16" t="s">
        <v>243</v>
      </c>
      <c r="R160" s="16" t="s">
        <v>243</v>
      </c>
      <c r="S160" s="16" t="s">
        <v>243</v>
      </c>
      <c r="T160" s="16" t="s">
        <v>243</v>
      </c>
      <c r="U160" s="16" t="s">
        <v>243</v>
      </c>
      <c r="V160" s="16" t="s">
        <v>243</v>
      </c>
      <c r="W160" s="16" t="s">
        <v>243</v>
      </c>
      <c r="X160" s="16" t="s">
        <v>243</v>
      </c>
      <c r="Y160" s="16" t="s">
        <v>243</v>
      </c>
      <c r="Z160" s="16" t="s">
        <v>243</v>
      </c>
      <c r="AA160" s="16" t="s">
        <v>243</v>
      </c>
      <c r="AB160" s="16" t="s">
        <v>243</v>
      </c>
      <c r="AC160" s="16" t="s">
        <v>243</v>
      </c>
      <c r="AD160" s="16" t="s">
        <v>243</v>
      </c>
      <c r="AE160" s="16" t="s">
        <v>243</v>
      </c>
      <c r="AF160" s="16" t="s">
        <v>243</v>
      </c>
      <c r="AG160" s="16" t="s">
        <v>243</v>
      </c>
      <c r="AH160" s="16" t="s">
        <v>243</v>
      </c>
      <c r="AI160" s="16" t="s">
        <v>243</v>
      </c>
      <c r="AJ160" s="16"/>
      <c r="AK160" s="16" t="s">
        <v>243</v>
      </c>
      <c r="AL160" s="16"/>
      <c r="AM160" s="16"/>
      <c r="AN160" s="16" t="s">
        <v>243</v>
      </c>
      <c r="AO160" s="16" t="s">
        <v>243</v>
      </c>
      <c r="AP160" s="16"/>
      <c r="AQ160" s="17"/>
      <c r="AR160" s="16" t="s">
        <v>243</v>
      </c>
      <c r="AS160" s="16" t="s">
        <v>243</v>
      </c>
      <c r="AT160" s="16" t="s">
        <v>243</v>
      </c>
      <c r="AU160" s="16" t="s">
        <v>243</v>
      </c>
      <c r="AV160" s="16" t="s">
        <v>243</v>
      </c>
      <c r="AW160" s="16" t="s">
        <v>243</v>
      </c>
      <c r="AX160" s="16" t="s">
        <v>243</v>
      </c>
      <c r="AY160" s="16" t="s">
        <v>243</v>
      </c>
      <c r="AZ160" s="16"/>
      <c r="BA160" s="16"/>
      <c r="BB160" s="16"/>
      <c r="BC160" s="16"/>
      <c r="BD160" s="16"/>
      <c r="BE160" s="14"/>
      <c r="BF160" s="17"/>
      <c r="BG160" s="17"/>
      <c r="BH160" s="17"/>
      <c r="BI160" s="17"/>
      <c r="BJ160" s="17"/>
      <c r="BK160" s="17"/>
      <c r="BL160" s="17"/>
      <c r="BM160" s="17"/>
      <c r="BN160" s="17"/>
      <c r="BO160" s="17"/>
      <c r="BP160" s="17"/>
      <c r="BQ160" s="17"/>
      <c r="BR160" s="17"/>
      <c r="BS160" s="17"/>
      <c r="BT160" s="17"/>
      <c r="BU160" s="17"/>
      <c r="BV160" s="17"/>
      <c r="BW160" s="17"/>
      <c r="BX160" s="17"/>
      <c r="BY160" s="17"/>
      <c r="BZ160" s="17"/>
      <c r="CA160" s="17"/>
      <c r="CB160" s="17"/>
      <c r="CC160" s="17"/>
      <c r="CD160" s="17"/>
      <c r="CE160" s="17"/>
      <c r="CF160" s="17"/>
      <c r="CG160" s="17"/>
    </row>
    <row r="161" spans="1:85" ht="16.5" customHeight="1" x14ac:dyDescent="0.25">
      <c r="A161" s="24">
        <f t="shared" si="5"/>
        <v>36</v>
      </c>
      <c r="B161" s="27">
        <v>50600</v>
      </c>
      <c r="C161" s="28" t="s">
        <v>284</v>
      </c>
      <c r="D161" s="12"/>
      <c r="E161" s="12" t="s">
        <v>243</v>
      </c>
      <c r="F161" s="12" t="s">
        <v>243</v>
      </c>
      <c r="G161" s="12" t="s">
        <v>243</v>
      </c>
      <c r="H161" s="12" t="s">
        <v>243</v>
      </c>
      <c r="I161" s="12"/>
      <c r="J161" s="12"/>
      <c r="K161" s="12"/>
      <c r="L161" s="12"/>
      <c r="M161" s="12"/>
      <c r="N161" s="12"/>
      <c r="O161" s="12" t="s">
        <v>243</v>
      </c>
      <c r="P161" s="12" t="s">
        <v>243</v>
      </c>
      <c r="Q161" s="12" t="s">
        <v>243</v>
      </c>
      <c r="R161" s="12" t="s">
        <v>243</v>
      </c>
      <c r="S161" s="12" t="s">
        <v>243</v>
      </c>
      <c r="T161" s="12" t="s">
        <v>243</v>
      </c>
      <c r="U161" s="12" t="s">
        <v>243</v>
      </c>
      <c r="V161" s="12" t="s">
        <v>243</v>
      </c>
      <c r="W161" s="12" t="s">
        <v>243</v>
      </c>
      <c r="X161" s="12" t="s">
        <v>243</v>
      </c>
      <c r="Y161" s="12" t="s">
        <v>243</v>
      </c>
      <c r="Z161" s="12" t="s">
        <v>243</v>
      </c>
      <c r="AA161" s="12" t="s">
        <v>243</v>
      </c>
      <c r="AB161" s="12" t="s">
        <v>243</v>
      </c>
      <c r="AC161" s="12" t="s">
        <v>243</v>
      </c>
      <c r="AD161" s="12" t="s">
        <v>243</v>
      </c>
      <c r="AE161" s="12" t="s">
        <v>243</v>
      </c>
      <c r="AF161" s="12" t="s">
        <v>243</v>
      </c>
      <c r="AG161" s="12" t="s">
        <v>243</v>
      </c>
      <c r="AH161" s="12" t="s">
        <v>243</v>
      </c>
      <c r="AI161" s="12" t="s">
        <v>243</v>
      </c>
      <c r="AJ161" s="12"/>
      <c r="AK161" s="12" t="s">
        <v>243</v>
      </c>
      <c r="AL161" s="12"/>
      <c r="AM161" s="12"/>
      <c r="AN161" s="12" t="s">
        <v>243</v>
      </c>
      <c r="AO161" s="12" t="s">
        <v>243</v>
      </c>
      <c r="AP161" s="12"/>
      <c r="AQ161" s="13"/>
      <c r="AR161" s="12" t="s">
        <v>243</v>
      </c>
      <c r="AS161" s="12" t="s">
        <v>243</v>
      </c>
      <c r="AT161" s="12" t="s">
        <v>243</v>
      </c>
      <c r="AU161" s="12" t="s">
        <v>243</v>
      </c>
      <c r="AV161" s="12" t="s">
        <v>243</v>
      </c>
      <c r="AW161" s="12" t="s">
        <v>243</v>
      </c>
      <c r="AX161" s="12" t="s">
        <v>243</v>
      </c>
      <c r="AY161" s="12" t="s">
        <v>243</v>
      </c>
      <c r="AZ161" s="12"/>
      <c r="BA161" s="12"/>
      <c r="BB161" s="12"/>
      <c r="BC161" s="12"/>
      <c r="BD161" s="12"/>
      <c r="BE161" s="38"/>
    </row>
    <row r="162" spans="1:85" s="13" customFormat="1" ht="16.5" customHeight="1" x14ac:dyDescent="0.25">
      <c r="A162" s="24">
        <f t="shared" si="5"/>
        <v>36</v>
      </c>
      <c r="B162" s="25">
        <v>50610</v>
      </c>
      <c r="C162" s="24" t="s">
        <v>226</v>
      </c>
      <c r="D162" s="16"/>
      <c r="E162" s="16" t="s">
        <v>243</v>
      </c>
      <c r="F162" s="16" t="s">
        <v>243</v>
      </c>
      <c r="G162" s="16" t="s">
        <v>243</v>
      </c>
      <c r="H162" s="16" t="s">
        <v>243</v>
      </c>
      <c r="I162" s="16"/>
      <c r="J162" s="16"/>
      <c r="K162" s="16"/>
      <c r="L162" s="16"/>
      <c r="M162" s="16"/>
      <c r="N162" s="16"/>
      <c r="O162" s="16" t="s">
        <v>243</v>
      </c>
      <c r="P162" s="16" t="s">
        <v>243</v>
      </c>
      <c r="Q162" s="16" t="s">
        <v>243</v>
      </c>
      <c r="R162" s="16" t="s">
        <v>243</v>
      </c>
      <c r="S162" s="16" t="s">
        <v>243</v>
      </c>
      <c r="T162" s="16" t="s">
        <v>243</v>
      </c>
      <c r="U162" s="16" t="s">
        <v>243</v>
      </c>
      <c r="V162" s="16" t="s">
        <v>243</v>
      </c>
      <c r="W162" s="16" t="s">
        <v>243</v>
      </c>
      <c r="X162" s="16" t="s">
        <v>243</v>
      </c>
      <c r="Y162" s="16" t="s">
        <v>243</v>
      </c>
      <c r="Z162" s="16" t="s">
        <v>243</v>
      </c>
      <c r="AA162" s="16" t="s">
        <v>243</v>
      </c>
      <c r="AB162" s="16" t="s">
        <v>243</v>
      </c>
      <c r="AC162" s="16" t="s">
        <v>243</v>
      </c>
      <c r="AD162" s="16" t="s">
        <v>243</v>
      </c>
      <c r="AE162" s="16" t="s">
        <v>243</v>
      </c>
      <c r="AF162" s="16" t="s">
        <v>243</v>
      </c>
      <c r="AG162" s="16" t="s">
        <v>243</v>
      </c>
      <c r="AH162" s="16" t="s">
        <v>243</v>
      </c>
      <c r="AI162" s="16" t="s">
        <v>243</v>
      </c>
      <c r="AJ162" s="16"/>
      <c r="AK162" s="16" t="s">
        <v>243</v>
      </c>
      <c r="AL162" s="16"/>
      <c r="AM162" s="16"/>
      <c r="AN162" s="16" t="s">
        <v>243</v>
      </c>
      <c r="AO162" s="16" t="s">
        <v>243</v>
      </c>
      <c r="AP162" s="16"/>
      <c r="AQ162" s="17"/>
      <c r="AR162" s="16" t="s">
        <v>243</v>
      </c>
      <c r="AS162" s="16" t="s">
        <v>243</v>
      </c>
      <c r="AT162" s="16" t="s">
        <v>243</v>
      </c>
      <c r="AU162" s="16" t="s">
        <v>243</v>
      </c>
      <c r="AV162" s="16" t="s">
        <v>243</v>
      </c>
      <c r="AW162" s="16" t="s">
        <v>243</v>
      </c>
      <c r="AX162" s="16" t="s">
        <v>243</v>
      </c>
      <c r="AY162" s="16" t="s">
        <v>243</v>
      </c>
      <c r="AZ162" s="16"/>
      <c r="BA162" s="16"/>
      <c r="BB162" s="16"/>
      <c r="BC162" s="16"/>
      <c r="BD162" s="16"/>
      <c r="BE162" s="14"/>
      <c r="BF162" s="17"/>
      <c r="BG162" s="17"/>
      <c r="BH162" s="17"/>
      <c r="BI162" s="17"/>
      <c r="BJ162" s="17"/>
      <c r="BK162" s="17"/>
      <c r="BL162" s="17"/>
      <c r="BM162" s="17"/>
      <c r="BN162" s="17"/>
      <c r="BO162" s="17"/>
      <c r="BP162" s="17"/>
      <c r="BQ162" s="17"/>
      <c r="BR162" s="17"/>
      <c r="BS162" s="17"/>
      <c r="BT162" s="17"/>
      <c r="BU162" s="17"/>
      <c r="BV162" s="17"/>
      <c r="BW162" s="17"/>
      <c r="BX162" s="17"/>
      <c r="BY162" s="17"/>
      <c r="BZ162" s="17"/>
      <c r="CA162" s="17"/>
      <c r="CB162" s="17"/>
      <c r="CC162" s="17"/>
      <c r="CD162" s="17"/>
      <c r="CE162" s="17"/>
      <c r="CF162" s="17"/>
      <c r="CG162" s="17"/>
    </row>
    <row r="163" spans="1:85" ht="16.5" customHeight="1" x14ac:dyDescent="0.25">
      <c r="A163" s="24">
        <f t="shared" si="5"/>
        <v>36</v>
      </c>
      <c r="B163" s="27">
        <v>50620</v>
      </c>
      <c r="C163" s="28" t="s">
        <v>285</v>
      </c>
      <c r="D163" s="12"/>
      <c r="E163" s="12" t="s">
        <v>243</v>
      </c>
      <c r="F163" s="12" t="s">
        <v>243</v>
      </c>
      <c r="G163" s="12" t="s">
        <v>243</v>
      </c>
      <c r="H163" s="12" t="s">
        <v>243</v>
      </c>
      <c r="I163" s="12"/>
      <c r="J163" s="12"/>
      <c r="K163" s="12"/>
      <c r="L163" s="12"/>
      <c r="M163" s="12"/>
      <c r="N163" s="12"/>
      <c r="O163" s="12" t="s">
        <v>243</v>
      </c>
      <c r="P163" s="12" t="s">
        <v>243</v>
      </c>
      <c r="Q163" s="12" t="s">
        <v>243</v>
      </c>
      <c r="R163" s="12" t="s">
        <v>243</v>
      </c>
      <c r="S163" s="12" t="s">
        <v>243</v>
      </c>
      <c r="T163" s="12" t="s">
        <v>243</v>
      </c>
      <c r="U163" s="12" t="s">
        <v>243</v>
      </c>
      <c r="V163" s="12" t="s">
        <v>243</v>
      </c>
      <c r="W163" s="12" t="s">
        <v>243</v>
      </c>
      <c r="X163" s="12" t="s">
        <v>243</v>
      </c>
      <c r="Y163" s="12" t="s">
        <v>243</v>
      </c>
      <c r="Z163" s="12" t="s">
        <v>243</v>
      </c>
      <c r="AA163" s="12" t="s">
        <v>243</v>
      </c>
      <c r="AB163" s="12" t="s">
        <v>243</v>
      </c>
      <c r="AC163" s="12" t="s">
        <v>243</v>
      </c>
      <c r="AD163" s="12" t="s">
        <v>243</v>
      </c>
      <c r="AE163" s="12" t="s">
        <v>243</v>
      </c>
      <c r="AF163" s="12" t="s">
        <v>243</v>
      </c>
      <c r="AG163" s="12" t="s">
        <v>243</v>
      </c>
      <c r="AH163" s="12" t="s">
        <v>243</v>
      </c>
      <c r="AI163" s="12" t="s">
        <v>243</v>
      </c>
      <c r="AJ163" s="12"/>
      <c r="AK163" s="12" t="s">
        <v>243</v>
      </c>
      <c r="AL163" s="12"/>
      <c r="AM163" s="12"/>
      <c r="AN163" s="12" t="s">
        <v>243</v>
      </c>
      <c r="AO163" s="12" t="s">
        <v>243</v>
      </c>
      <c r="AP163" s="12"/>
      <c r="AQ163" s="13"/>
      <c r="AR163" s="12" t="s">
        <v>243</v>
      </c>
      <c r="AS163" s="12" t="s">
        <v>243</v>
      </c>
      <c r="AT163" s="12" t="s">
        <v>243</v>
      </c>
      <c r="AU163" s="12" t="s">
        <v>243</v>
      </c>
      <c r="AV163" s="12" t="s">
        <v>243</v>
      </c>
      <c r="AW163" s="12" t="s">
        <v>243</v>
      </c>
      <c r="AX163" s="12" t="s">
        <v>243</v>
      </c>
      <c r="AY163" s="12" t="s">
        <v>243</v>
      </c>
      <c r="AZ163" s="12"/>
      <c r="BA163" s="12"/>
      <c r="BB163" s="12"/>
      <c r="BC163" s="12"/>
      <c r="BD163" s="12"/>
      <c r="BE163" s="38"/>
    </row>
    <row r="164" spans="1:85" s="13" customFormat="1" ht="16.5" customHeight="1" x14ac:dyDescent="0.25">
      <c r="A164" s="24">
        <f t="shared" si="5"/>
        <v>36</v>
      </c>
      <c r="B164" s="25">
        <v>50630</v>
      </c>
      <c r="C164" s="24" t="s">
        <v>227</v>
      </c>
      <c r="D164" s="16"/>
      <c r="E164" s="16" t="s">
        <v>243</v>
      </c>
      <c r="F164" s="16" t="s">
        <v>243</v>
      </c>
      <c r="G164" s="16" t="s">
        <v>243</v>
      </c>
      <c r="H164" s="16" t="s">
        <v>243</v>
      </c>
      <c r="I164" s="16"/>
      <c r="J164" s="16"/>
      <c r="K164" s="16"/>
      <c r="L164" s="16"/>
      <c r="M164" s="16"/>
      <c r="N164" s="16"/>
      <c r="O164" s="16" t="s">
        <v>243</v>
      </c>
      <c r="P164" s="16" t="s">
        <v>243</v>
      </c>
      <c r="Q164" s="16" t="s">
        <v>243</v>
      </c>
      <c r="R164" s="16" t="s">
        <v>243</v>
      </c>
      <c r="S164" s="16" t="s">
        <v>243</v>
      </c>
      <c r="T164" s="16" t="s">
        <v>243</v>
      </c>
      <c r="U164" s="16" t="s">
        <v>243</v>
      </c>
      <c r="V164" s="16" t="s">
        <v>243</v>
      </c>
      <c r="W164" s="16" t="s">
        <v>243</v>
      </c>
      <c r="X164" s="16" t="s">
        <v>243</v>
      </c>
      <c r="Y164" s="16" t="s">
        <v>243</v>
      </c>
      <c r="Z164" s="16" t="s">
        <v>243</v>
      </c>
      <c r="AA164" s="16" t="s">
        <v>243</v>
      </c>
      <c r="AB164" s="16" t="s">
        <v>243</v>
      </c>
      <c r="AC164" s="16" t="s">
        <v>243</v>
      </c>
      <c r="AD164" s="16" t="s">
        <v>243</v>
      </c>
      <c r="AE164" s="16" t="s">
        <v>243</v>
      </c>
      <c r="AF164" s="16" t="s">
        <v>243</v>
      </c>
      <c r="AG164" s="16" t="s">
        <v>243</v>
      </c>
      <c r="AH164" s="16" t="s">
        <v>243</v>
      </c>
      <c r="AI164" s="16" t="s">
        <v>243</v>
      </c>
      <c r="AJ164" s="16"/>
      <c r="AK164" s="16" t="s">
        <v>243</v>
      </c>
      <c r="AL164" s="16"/>
      <c r="AM164" s="16"/>
      <c r="AN164" s="16" t="s">
        <v>243</v>
      </c>
      <c r="AO164" s="16" t="s">
        <v>243</v>
      </c>
      <c r="AP164" s="16"/>
      <c r="AQ164" s="17"/>
      <c r="AR164" s="16" t="s">
        <v>243</v>
      </c>
      <c r="AS164" s="16" t="s">
        <v>243</v>
      </c>
      <c r="AT164" s="16" t="s">
        <v>243</v>
      </c>
      <c r="AU164" s="16" t="s">
        <v>243</v>
      </c>
      <c r="AV164" s="16" t="s">
        <v>243</v>
      </c>
      <c r="AW164" s="16" t="s">
        <v>243</v>
      </c>
      <c r="AX164" s="16" t="s">
        <v>243</v>
      </c>
      <c r="AY164" s="16" t="s">
        <v>243</v>
      </c>
      <c r="AZ164" s="16"/>
      <c r="BA164" s="16"/>
      <c r="BB164" s="16"/>
      <c r="BC164" s="16"/>
      <c r="BD164" s="16"/>
      <c r="BE164" s="14"/>
      <c r="BF164" s="17"/>
      <c r="BG164" s="17"/>
      <c r="BH164" s="17"/>
      <c r="BI164" s="17"/>
      <c r="BJ164" s="17"/>
      <c r="BK164" s="17"/>
      <c r="BL164" s="17"/>
      <c r="BM164" s="17"/>
      <c r="BN164" s="17"/>
      <c r="BO164" s="17"/>
      <c r="BP164" s="17"/>
      <c r="BQ164" s="17"/>
      <c r="BR164" s="17"/>
      <c r="BS164" s="17"/>
      <c r="BT164" s="17"/>
      <c r="BU164" s="17"/>
      <c r="BV164" s="17"/>
      <c r="BW164" s="17"/>
      <c r="BX164" s="17"/>
      <c r="BY164" s="17"/>
      <c r="BZ164" s="17"/>
      <c r="CA164" s="17"/>
      <c r="CB164" s="17"/>
      <c r="CC164" s="17"/>
      <c r="CD164" s="17"/>
      <c r="CE164" s="17"/>
      <c r="CF164" s="17"/>
      <c r="CG164" s="17"/>
    </row>
    <row r="165" spans="1:85" ht="16.5" customHeight="1" x14ac:dyDescent="0.25">
      <c r="A165" s="24">
        <f t="shared" si="5"/>
        <v>36</v>
      </c>
      <c r="B165" s="27">
        <v>50640</v>
      </c>
      <c r="C165" s="28" t="s">
        <v>1524</v>
      </c>
      <c r="D165" s="12"/>
      <c r="E165" s="12" t="s">
        <v>243</v>
      </c>
      <c r="F165" s="12" t="s">
        <v>243</v>
      </c>
      <c r="G165" s="12" t="s">
        <v>243</v>
      </c>
      <c r="H165" s="12" t="s">
        <v>243</v>
      </c>
      <c r="I165" s="12"/>
      <c r="J165" s="12"/>
      <c r="K165" s="12"/>
      <c r="L165" s="12"/>
      <c r="M165" s="12"/>
      <c r="N165" s="12"/>
      <c r="O165" s="12" t="s">
        <v>243</v>
      </c>
      <c r="P165" s="12" t="s">
        <v>243</v>
      </c>
      <c r="Q165" s="12" t="s">
        <v>243</v>
      </c>
      <c r="R165" s="12" t="s">
        <v>243</v>
      </c>
      <c r="S165" s="12" t="s">
        <v>243</v>
      </c>
      <c r="T165" s="12" t="s">
        <v>243</v>
      </c>
      <c r="U165" s="12" t="s">
        <v>243</v>
      </c>
      <c r="V165" s="12" t="s">
        <v>243</v>
      </c>
      <c r="W165" s="12" t="s">
        <v>243</v>
      </c>
      <c r="X165" s="12" t="s">
        <v>243</v>
      </c>
      <c r="Y165" s="12" t="s">
        <v>243</v>
      </c>
      <c r="Z165" s="12" t="s">
        <v>243</v>
      </c>
      <c r="AA165" s="12" t="s">
        <v>243</v>
      </c>
      <c r="AB165" s="12" t="s">
        <v>243</v>
      </c>
      <c r="AC165" s="12" t="s">
        <v>243</v>
      </c>
      <c r="AD165" s="12" t="s">
        <v>243</v>
      </c>
      <c r="AE165" s="12" t="s">
        <v>243</v>
      </c>
      <c r="AF165" s="12" t="s">
        <v>243</v>
      </c>
      <c r="AG165" s="12" t="s">
        <v>243</v>
      </c>
      <c r="AH165" s="12" t="s">
        <v>243</v>
      </c>
      <c r="AI165" s="12" t="s">
        <v>243</v>
      </c>
      <c r="AJ165" s="12"/>
      <c r="AK165" s="12" t="s">
        <v>243</v>
      </c>
      <c r="AL165" s="12"/>
      <c r="AM165" s="12"/>
      <c r="AN165" s="12" t="s">
        <v>243</v>
      </c>
      <c r="AO165" s="12" t="s">
        <v>243</v>
      </c>
      <c r="AP165" s="12"/>
      <c r="AQ165" s="13"/>
      <c r="AR165" s="12" t="s">
        <v>243</v>
      </c>
      <c r="AS165" s="12" t="s">
        <v>243</v>
      </c>
      <c r="AT165" s="12" t="s">
        <v>243</v>
      </c>
      <c r="AU165" s="12" t="s">
        <v>243</v>
      </c>
      <c r="AV165" s="12" t="s">
        <v>243</v>
      </c>
      <c r="AW165" s="12" t="s">
        <v>243</v>
      </c>
      <c r="AX165" s="12" t="s">
        <v>243</v>
      </c>
      <c r="AY165" s="12" t="s">
        <v>243</v>
      </c>
      <c r="AZ165" s="12"/>
      <c r="BA165" s="12"/>
      <c r="BB165" s="12"/>
      <c r="BC165" s="12"/>
      <c r="BD165" s="12"/>
      <c r="BE165" s="38"/>
    </row>
    <row r="166" spans="1:85" s="13" customFormat="1" ht="16.5" customHeight="1" x14ac:dyDescent="0.25">
      <c r="A166" s="24">
        <f t="shared" si="5"/>
        <v>36</v>
      </c>
      <c r="B166" s="25">
        <v>50700</v>
      </c>
      <c r="C166" s="24" t="s">
        <v>1525</v>
      </c>
      <c r="D166" s="16"/>
      <c r="E166" s="16" t="s">
        <v>243</v>
      </c>
      <c r="F166" s="16" t="s">
        <v>243</v>
      </c>
      <c r="G166" s="16" t="s">
        <v>243</v>
      </c>
      <c r="H166" s="16" t="s">
        <v>243</v>
      </c>
      <c r="I166" s="16"/>
      <c r="J166" s="16"/>
      <c r="K166" s="16"/>
      <c r="L166" s="16"/>
      <c r="M166" s="16"/>
      <c r="N166" s="16"/>
      <c r="O166" s="16" t="s">
        <v>243</v>
      </c>
      <c r="P166" s="16" t="s">
        <v>243</v>
      </c>
      <c r="Q166" s="16" t="s">
        <v>243</v>
      </c>
      <c r="R166" s="16" t="s">
        <v>243</v>
      </c>
      <c r="S166" s="16" t="s">
        <v>243</v>
      </c>
      <c r="T166" s="16" t="s">
        <v>243</v>
      </c>
      <c r="U166" s="16" t="s">
        <v>243</v>
      </c>
      <c r="V166" s="16" t="s">
        <v>243</v>
      </c>
      <c r="W166" s="16" t="s">
        <v>243</v>
      </c>
      <c r="X166" s="16" t="s">
        <v>243</v>
      </c>
      <c r="Y166" s="16" t="s">
        <v>243</v>
      </c>
      <c r="Z166" s="16" t="s">
        <v>243</v>
      </c>
      <c r="AA166" s="16" t="s">
        <v>243</v>
      </c>
      <c r="AB166" s="16" t="s">
        <v>243</v>
      </c>
      <c r="AC166" s="16" t="s">
        <v>243</v>
      </c>
      <c r="AD166" s="16" t="s">
        <v>243</v>
      </c>
      <c r="AE166" s="16" t="s">
        <v>243</v>
      </c>
      <c r="AF166" s="16" t="s">
        <v>243</v>
      </c>
      <c r="AG166" s="16" t="s">
        <v>243</v>
      </c>
      <c r="AH166" s="16" t="s">
        <v>243</v>
      </c>
      <c r="AI166" s="16" t="s">
        <v>243</v>
      </c>
      <c r="AJ166" s="16"/>
      <c r="AK166" s="16" t="s">
        <v>243</v>
      </c>
      <c r="AL166" s="16"/>
      <c r="AM166" s="16"/>
      <c r="AN166" s="16" t="s">
        <v>243</v>
      </c>
      <c r="AO166" s="16" t="s">
        <v>243</v>
      </c>
      <c r="AP166" s="16"/>
      <c r="AQ166" s="17"/>
      <c r="AR166" s="16" t="s">
        <v>243</v>
      </c>
      <c r="AS166" s="16" t="s">
        <v>243</v>
      </c>
      <c r="AT166" s="16" t="s">
        <v>243</v>
      </c>
      <c r="AU166" s="16" t="s">
        <v>243</v>
      </c>
      <c r="AV166" s="16" t="s">
        <v>243</v>
      </c>
      <c r="AW166" s="16" t="s">
        <v>243</v>
      </c>
      <c r="AX166" s="16" t="s">
        <v>243</v>
      </c>
      <c r="AY166" s="16" t="s">
        <v>243</v>
      </c>
      <c r="AZ166" s="16"/>
      <c r="BA166" s="16"/>
      <c r="BB166" s="16"/>
      <c r="BC166" s="16"/>
      <c r="BD166" s="16"/>
      <c r="BE166" s="14"/>
      <c r="BF166" s="17"/>
      <c r="BG166" s="17"/>
      <c r="BH166" s="17"/>
      <c r="BI166" s="17"/>
      <c r="BJ166" s="17"/>
      <c r="BK166" s="17"/>
      <c r="BL166" s="17"/>
      <c r="BM166" s="17"/>
      <c r="BN166" s="17"/>
      <c r="BO166" s="17"/>
      <c r="BP166" s="17"/>
      <c r="BQ166" s="17"/>
      <c r="BR166" s="17"/>
      <c r="BS166" s="17"/>
      <c r="BT166" s="17"/>
      <c r="BU166" s="17"/>
      <c r="BV166" s="17"/>
      <c r="BW166" s="17"/>
      <c r="BX166" s="17"/>
      <c r="BY166" s="17"/>
      <c r="BZ166" s="17"/>
      <c r="CA166" s="17"/>
      <c r="CB166" s="17"/>
      <c r="CC166" s="17"/>
      <c r="CD166" s="17"/>
      <c r="CE166" s="17"/>
      <c r="CF166" s="17"/>
      <c r="CG166" s="17"/>
    </row>
    <row r="167" spans="1:85" ht="16.5" customHeight="1" x14ac:dyDescent="0.25">
      <c r="A167" s="24">
        <f t="shared" si="5"/>
        <v>36</v>
      </c>
      <c r="B167" s="27">
        <v>50710</v>
      </c>
      <c r="C167" s="28" t="s">
        <v>1526</v>
      </c>
      <c r="D167" s="12"/>
      <c r="E167" s="12" t="s">
        <v>243</v>
      </c>
      <c r="F167" s="12" t="s">
        <v>243</v>
      </c>
      <c r="G167" s="12" t="s">
        <v>243</v>
      </c>
      <c r="H167" s="12" t="s">
        <v>243</v>
      </c>
      <c r="I167" s="12"/>
      <c r="J167" s="12"/>
      <c r="K167" s="12"/>
      <c r="L167" s="12"/>
      <c r="M167" s="12"/>
      <c r="N167" s="12"/>
      <c r="O167" s="12" t="s">
        <v>243</v>
      </c>
      <c r="P167" s="12" t="s">
        <v>243</v>
      </c>
      <c r="Q167" s="12" t="s">
        <v>243</v>
      </c>
      <c r="R167" s="12" t="s">
        <v>243</v>
      </c>
      <c r="S167" s="12" t="s">
        <v>243</v>
      </c>
      <c r="T167" s="12" t="s">
        <v>243</v>
      </c>
      <c r="U167" s="12" t="s">
        <v>243</v>
      </c>
      <c r="V167" s="12" t="s">
        <v>243</v>
      </c>
      <c r="W167" s="12" t="s">
        <v>243</v>
      </c>
      <c r="X167" s="12" t="s">
        <v>243</v>
      </c>
      <c r="Y167" s="12" t="s">
        <v>243</v>
      </c>
      <c r="Z167" s="12" t="s">
        <v>243</v>
      </c>
      <c r="AA167" s="12" t="s">
        <v>243</v>
      </c>
      <c r="AB167" s="12" t="s">
        <v>243</v>
      </c>
      <c r="AC167" s="12" t="s">
        <v>243</v>
      </c>
      <c r="AD167" s="12" t="s">
        <v>243</v>
      </c>
      <c r="AE167" s="12" t="s">
        <v>243</v>
      </c>
      <c r="AF167" s="12" t="s">
        <v>243</v>
      </c>
      <c r="AG167" s="12" t="s">
        <v>243</v>
      </c>
      <c r="AH167" s="12" t="s">
        <v>243</v>
      </c>
      <c r="AI167" s="12" t="s">
        <v>243</v>
      </c>
      <c r="AJ167" s="12"/>
      <c r="AK167" s="12" t="s">
        <v>243</v>
      </c>
      <c r="AL167" s="12"/>
      <c r="AM167" s="12"/>
      <c r="AN167" s="12" t="s">
        <v>243</v>
      </c>
      <c r="AO167" s="12" t="s">
        <v>243</v>
      </c>
      <c r="AP167" s="12"/>
      <c r="AQ167" s="13"/>
      <c r="AR167" s="12" t="s">
        <v>243</v>
      </c>
      <c r="AS167" s="12" t="s">
        <v>243</v>
      </c>
      <c r="AT167" s="12" t="s">
        <v>243</v>
      </c>
      <c r="AU167" s="12" t="s">
        <v>243</v>
      </c>
      <c r="AV167" s="12" t="s">
        <v>243</v>
      </c>
      <c r="AW167" s="12" t="s">
        <v>243</v>
      </c>
      <c r="AX167" s="12" t="s">
        <v>243</v>
      </c>
      <c r="AY167" s="12" t="s">
        <v>243</v>
      </c>
      <c r="AZ167" s="12"/>
      <c r="BA167" s="12"/>
      <c r="BB167" s="12"/>
      <c r="BC167" s="12"/>
      <c r="BD167" s="12"/>
      <c r="BE167" s="38"/>
    </row>
    <row r="168" spans="1:85" s="13" customFormat="1" ht="16.5" customHeight="1" x14ac:dyDescent="0.25">
      <c r="A168" s="24">
        <f t="shared" si="5"/>
        <v>36</v>
      </c>
      <c r="B168" s="25">
        <v>51000</v>
      </c>
      <c r="C168" s="24" t="s">
        <v>288</v>
      </c>
      <c r="D168" s="16"/>
      <c r="E168" s="16" t="s">
        <v>243</v>
      </c>
      <c r="F168" s="16" t="s">
        <v>243</v>
      </c>
      <c r="G168" s="16" t="s">
        <v>243</v>
      </c>
      <c r="H168" s="16" t="s">
        <v>243</v>
      </c>
      <c r="I168" s="16"/>
      <c r="J168" s="16"/>
      <c r="K168" s="16"/>
      <c r="L168" s="16"/>
      <c r="M168" s="16"/>
      <c r="N168" s="16"/>
      <c r="O168" s="16" t="s">
        <v>243</v>
      </c>
      <c r="P168" s="16" t="s">
        <v>243</v>
      </c>
      <c r="Q168" s="16" t="s">
        <v>243</v>
      </c>
      <c r="R168" s="16" t="s">
        <v>243</v>
      </c>
      <c r="S168" s="16" t="s">
        <v>243</v>
      </c>
      <c r="T168" s="16" t="s">
        <v>243</v>
      </c>
      <c r="U168" s="16" t="s">
        <v>243</v>
      </c>
      <c r="V168" s="16" t="s">
        <v>243</v>
      </c>
      <c r="W168" s="16" t="s">
        <v>243</v>
      </c>
      <c r="X168" s="16" t="s">
        <v>243</v>
      </c>
      <c r="Y168" s="16" t="s">
        <v>243</v>
      </c>
      <c r="Z168" s="16" t="s">
        <v>243</v>
      </c>
      <c r="AA168" s="16" t="s">
        <v>243</v>
      </c>
      <c r="AB168" s="16" t="s">
        <v>243</v>
      </c>
      <c r="AC168" s="16" t="s">
        <v>243</v>
      </c>
      <c r="AD168" s="16" t="s">
        <v>243</v>
      </c>
      <c r="AE168" s="16" t="s">
        <v>243</v>
      </c>
      <c r="AF168" s="16" t="s">
        <v>243</v>
      </c>
      <c r="AG168" s="16" t="s">
        <v>243</v>
      </c>
      <c r="AH168" s="16" t="s">
        <v>243</v>
      </c>
      <c r="AI168" s="16" t="s">
        <v>243</v>
      </c>
      <c r="AJ168" s="16"/>
      <c r="AK168" s="16" t="s">
        <v>243</v>
      </c>
      <c r="AL168" s="16"/>
      <c r="AM168" s="16"/>
      <c r="AN168" s="16" t="s">
        <v>243</v>
      </c>
      <c r="AO168" s="16" t="s">
        <v>243</v>
      </c>
      <c r="AP168" s="16"/>
      <c r="AQ168" s="17"/>
      <c r="AR168" s="16" t="s">
        <v>243</v>
      </c>
      <c r="AS168" s="16" t="s">
        <v>243</v>
      </c>
      <c r="AT168" s="16" t="s">
        <v>243</v>
      </c>
      <c r="AU168" s="16" t="s">
        <v>243</v>
      </c>
      <c r="AV168" s="16" t="s">
        <v>243</v>
      </c>
      <c r="AW168" s="16" t="s">
        <v>243</v>
      </c>
      <c r="AX168" s="16" t="s">
        <v>243</v>
      </c>
      <c r="AY168" s="16" t="s">
        <v>243</v>
      </c>
      <c r="AZ168" s="16"/>
      <c r="BA168" s="16"/>
      <c r="BB168" s="16"/>
      <c r="BC168" s="16"/>
      <c r="BD168" s="16"/>
      <c r="BE168" s="14"/>
      <c r="BF168" s="17"/>
      <c r="BG168" s="17"/>
      <c r="BH168" s="17"/>
      <c r="BI168" s="17"/>
      <c r="BJ168" s="17"/>
      <c r="BK168" s="17"/>
      <c r="BL168" s="17"/>
      <c r="BM168" s="17"/>
      <c r="BN168" s="17"/>
      <c r="BO168" s="17"/>
      <c r="BP168" s="17"/>
      <c r="BQ168" s="17"/>
      <c r="BR168" s="17"/>
      <c r="BS168" s="17"/>
      <c r="BT168" s="17"/>
      <c r="BU168" s="17"/>
      <c r="BV168" s="17"/>
      <c r="BW168" s="17"/>
      <c r="BX168" s="17"/>
      <c r="BY168" s="17"/>
      <c r="BZ168" s="17"/>
      <c r="CA168" s="17"/>
      <c r="CB168" s="17"/>
      <c r="CC168" s="17"/>
      <c r="CD168" s="17"/>
      <c r="CE168" s="17"/>
      <c r="CF168" s="17"/>
      <c r="CG168" s="17"/>
    </row>
    <row r="169" spans="1:85" ht="16.5" customHeight="1" x14ac:dyDescent="0.25">
      <c r="A169" s="24">
        <f t="shared" si="5"/>
        <v>36</v>
      </c>
      <c r="B169" s="27">
        <v>51100</v>
      </c>
      <c r="C169" s="28" t="s">
        <v>289</v>
      </c>
      <c r="D169" s="12"/>
      <c r="E169" s="12" t="s">
        <v>243</v>
      </c>
      <c r="F169" s="12" t="s">
        <v>243</v>
      </c>
      <c r="G169" s="12" t="s">
        <v>243</v>
      </c>
      <c r="H169" s="12" t="s">
        <v>243</v>
      </c>
      <c r="I169" s="12"/>
      <c r="J169" s="12"/>
      <c r="K169" s="12"/>
      <c r="L169" s="12"/>
      <c r="M169" s="12"/>
      <c r="N169" s="12"/>
      <c r="O169" s="12" t="s">
        <v>243</v>
      </c>
      <c r="P169" s="12" t="s">
        <v>243</v>
      </c>
      <c r="Q169" s="12" t="s">
        <v>243</v>
      </c>
      <c r="R169" s="12" t="s">
        <v>243</v>
      </c>
      <c r="S169" s="12" t="s">
        <v>243</v>
      </c>
      <c r="T169" s="12" t="s">
        <v>243</v>
      </c>
      <c r="U169" s="12" t="s">
        <v>243</v>
      </c>
      <c r="V169" s="12" t="s">
        <v>243</v>
      </c>
      <c r="W169" s="12" t="s">
        <v>243</v>
      </c>
      <c r="X169" s="12" t="s">
        <v>243</v>
      </c>
      <c r="Y169" s="12" t="s">
        <v>243</v>
      </c>
      <c r="Z169" s="12" t="s">
        <v>243</v>
      </c>
      <c r="AA169" s="12" t="s">
        <v>243</v>
      </c>
      <c r="AB169" s="12" t="s">
        <v>243</v>
      </c>
      <c r="AC169" s="12" t="s">
        <v>243</v>
      </c>
      <c r="AD169" s="12" t="s">
        <v>243</v>
      </c>
      <c r="AE169" s="12" t="s">
        <v>243</v>
      </c>
      <c r="AF169" s="12" t="s">
        <v>243</v>
      </c>
      <c r="AG169" s="12" t="s">
        <v>243</v>
      </c>
      <c r="AH169" s="12" t="s">
        <v>243</v>
      </c>
      <c r="AI169" s="12" t="s">
        <v>243</v>
      </c>
      <c r="AJ169" s="12"/>
      <c r="AK169" s="12" t="s">
        <v>243</v>
      </c>
      <c r="AL169" s="12"/>
      <c r="AM169" s="12"/>
      <c r="AN169" s="12" t="s">
        <v>243</v>
      </c>
      <c r="AO169" s="12" t="s">
        <v>243</v>
      </c>
      <c r="AP169" s="12"/>
      <c r="AQ169" s="13"/>
      <c r="AR169" s="12" t="s">
        <v>243</v>
      </c>
      <c r="AS169" s="12" t="s">
        <v>243</v>
      </c>
      <c r="AT169" s="12" t="s">
        <v>243</v>
      </c>
      <c r="AU169" s="12" t="s">
        <v>243</v>
      </c>
      <c r="AV169" s="12" t="s">
        <v>243</v>
      </c>
      <c r="AW169" s="12" t="s">
        <v>243</v>
      </c>
      <c r="AX169" s="12" t="s">
        <v>243</v>
      </c>
      <c r="AY169" s="12" t="s">
        <v>243</v>
      </c>
      <c r="AZ169" s="12"/>
      <c r="BA169" s="12"/>
      <c r="BB169" s="12"/>
      <c r="BC169" s="12"/>
      <c r="BD169" s="12"/>
      <c r="BE169" s="38"/>
    </row>
    <row r="170" spans="1:85" s="13" customFormat="1" ht="16.5" customHeight="1" x14ac:dyDescent="0.25">
      <c r="A170" s="24">
        <f t="shared" si="5"/>
        <v>36</v>
      </c>
      <c r="B170" s="25">
        <v>51200</v>
      </c>
      <c r="C170" s="24" t="s">
        <v>1527</v>
      </c>
      <c r="D170" s="16"/>
      <c r="E170" s="16" t="s">
        <v>243</v>
      </c>
      <c r="F170" s="16" t="s">
        <v>243</v>
      </c>
      <c r="G170" s="16" t="s">
        <v>243</v>
      </c>
      <c r="H170" s="16" t="s">
        <v>243</v>
      </c>
      <c r="I170" s="16"/>
      <c r="J170" s="16"/>
      <c r="K170" s="16"/>
      <c r="L170" s="16"/>
      <c r="M170" s="16"/>
      <c r="N170" s="16"/>
      <c r="O170" s="16" t="s">
        <v>243</v>
      </c>
      <c r="P170" s="16" t="s">
        <v>243</v>
      </c>
      <c r="Q170" s="16" t="s">
        <v>243</v>
      </c>
      <c r="R170" s="16" t="s">
        <v>243</v>
      </c>
      <c r="S170" s="16" t="s">
        <v>243</v>
      </c>
      <c r="T170" s="16" t="s">
        <v>243</v>
      </c>
      <c r="U170" s="16" t="s">
        <v>243</v>
      </c>
      <c r="V170" s="16" t="s">
        <v>243</v>
      </c>
      <c r="W170" s="16" t="s">
        <v>243</v>
      </c>
      <c r="X170" s="16" t="s">
        <v>243</v>
      </c>
      <c r="Y170" s="16" t="s">
        <v>243</v>
      </c>
      <c r="Z170" s="16" t="s">
        <v>243</v>
      </c>
      <c r="AA170" s="16" t="s">
        <v>243</v>
      </c>
      <c r="AB170" s="16" t="s">
        <v>243</v>
      </c>
      <c r="AC170" s="16" t="s">
        <v>243</v>
      </c>
      <c r="AD170" s="16" t="s">
        <v>243</v>
      </c>
      <c r="AE170" s="16" t="s">
        <v>243</v>
      </c>
      <c r="AF170" s="16" t="s">
        <v>243</v>
      </c>
      <c r="AG170" s="16" t="s">
        <v>243</v>
      </c>
      <c r="AH170" s="16" t="s">
        <v>243</v>
      </c>
      <c r="AI170" s="16" t="s">
        <v>243</v>
      </c>
      <c r="AJ170" s="16"/>
      <c r="AK170" s="16" t="s">
        <v>243</v>
      </c>
      <c r="AL170" s="16"/>
      <c r="AM170" s="16"/>
      <c r="AN170" s="16" t="s">
        <v>243</v>
      </c>
      <c r="AO170" s="16" t="s">
        <v>243</v>
      </c>
      <c r="AP170" s="16"/>
      <c r="AQ170" s="17"/>
      <c r="AR170" s="16" t="s">
        <v>243</v>
      </c>
      <c r="AS170" s="16" t="s">
        <v>243</v>
      </c>
      <c r="AT170" s="16" t="s">
        <v>243</v>
      </c>
      <c r="AU170" s="16" t="s">
        <v>243</v>
      </c>
      <c r="AV170" s="16" t="s">
        <v>243</v>
      </c>
      <c r="AW170" s="16" t="s">
        <v>243</v>
      </c>
      <c r="AX170" s="16" t="s">
        <v>243</v>
      </c>
      <c r="AY170" s="16" t="s">
        <v>243</v>
      </c>
      <c r="AZ170" s="16"/>
      <c r="BA170" s="16"/>
      <c r="BB170" s="16"/>
      <c r="BC170" s="16"/>
      <c r="BD170" s="16"/>
      <c r="BE170" s="14"/>
      <c r="BF170" s="17"/>
      <c r="BG170" s="17"/>
      <c r="BH170" s="17"/>
      <c r="BI170" s="17"/>
      <c r="BJ170" s="17"/>
      <c r="BK170" s="17"/>
      <c r="BL170" s="17"/>
      <c r="BM170" s="17"/>
      <c r="BN170" s="17"/>
      <c r="BO170" s="17"/>
      <c r="BP170" s="17"/>
      <c r="BQ170" s="17"/>
      <c r="BR170" s="17"/>
      <c r="BS170" s="17"/>
      <c r="BT170" s="17"/>
      <c r="BU170" s="17"/>
      <c r="BV170" s="17"/>
      <c r="BW170" s="17"/>
      <c r="BX170" s="17"/>
      <c r="BY170" s="17"/>
      <c r="BZ170" s="17"/>
      <c r="CA170" s="17"/>
      <c r="CB170" s="17"/>
      <c r="CC170" s="17"/>
      <c r="CD170" s="17"/>
      <c r="CE170" s="17"/>
      <c r="CF170" s="17"/>
      <c r="CG170" s="17"/>
    </row>
    <row r="171" spans="1:85" ht="16.5" customHeight="1" x14ac:dyDescent="0.25">
      <c r="A171" s="24">
        <f t="shared" si="5"/>
        <v>36</v>
      </c>
      <c r="B171" s="27">
        <v>51201</v>
      </c>
      <c r="C171" s="28" t="s">
        <v>290</v>
      </c>
      <c r="D171" s="12"/>
      <c r="E171" s="12" t="s">
        <v>243</v>
      </c>
      <c r="F171" s="12" t="s">
        <v>243</v>
      </c>
      <c r="G171" s="12" t="s">
        <v>243</v>
      </c>
      <c r="H171" s="12" t="s">
        <v>243</v>
      </c>
      <c r="I171" s="12"/>
      <c r="J171" s="12"/>
      <c r="K171" s="12"/>
      <c r="L171" s="12"/>
      <c r="M171" s="12"/>
      <c r="N171" s="12"/>
      <c r="O171" s="12" t="s">
        <v>243</v>
      </c>
      <c r="P171" s="12" t="s">
        <v>243</v>
      </c>
      <c r="Q171" s="12" t="s">
        <v>243</v>
      </c>
      <c r="R171" s="12" t="s">
        <v>243</v>
      </c>
      <c r="S171" s="12" t="s">
        <v>243</v>
      </c>
      <c r="T171" s="12" t="s">
        <v>243</v>
      </c>
      <c r="U171" s="12" t="s">
        <v>243</v>
      </c>
      <c r="V171" s="12" t="s">
        <v>243</v>
      </c>
      <c r="W171" s="12" t="s">
        <v>243</v>
      </c>
      <c r="X171" s="12" t="s">
        <v>243</v>
      </c>
      <c r="Y171" s="12" t="s">
        <v>243</v>
      </c>
      <c r="Z171" s="12" t="s">
        <v>243</v>
      </c>
      <c r="AA171" s="12" t="s">
        <v>243</v>
      </c>
      <c r="AB171" s="12" t="s">
        <v>243</v>
      </c>
      <c r="AC171" s="12" t="s">
        <v>243</v>
      </c>
      <c r="AD171" s="12" t="s">
        <v>243</v>
      </c>
      <c r="AE171" s="12" t="s">
        <v>243</v>
      </c>
      <c r="AF171" s="12" t="s">
        <v>243</v>
      </c>
      <c r="AG171" s="12" t="s">
        <v>243</v>
      </c>
      <c r="AH171" s="12" t="s">
        <v>243</v>
      </c>
      <c r="AI171" s="12" t="s">
        <v>243</v>
      </c>
      <c r="AJ171" s="12"/>
      <c r="AK171" s="12" t="s">
        <v>243</v>
      </c>
      <c r="AL171" s="12"/>
      <c r="AM171" s="12"/>
      <c r="AN171" s="12" t="s">
        <v>243</v>
      </c>
      <c r="AO171" s="12" t="s">
        <v>243</v>
      </c>
      <c r="AP171" s="12"/>
      <c r="AQ171" s="13"/>
      <c r="AR171" s="12" t="s">
        <v>243</v>
      </c>
      <c r="AS171" s="12" t="s">
        <v>243</v>
      </c>
      <c r="AT171" s="12" t="s">
        <v>243</v>
      </c>
      <c r="AU171" s="12" t="s">
        <v>243</v>
      </c>
      <c r="AV171" s="12" t="s">
        <v>243</v>
      </c>
      <c r="AW171" s="12" t="s">
        <v>243</v>
      </c>
      <c r="AX171" s="12" t="s">
        <v>243</v>
      </c>
      <c r="AY171" s="12" t="s">
        <v>243</v>
      </c>
      <c r="AZ171" s="12"/>
      <c r="BA171" s="12"/>
      <c r="BB171" s="12"/>
      <c r="BC171" s="12"/>
      <c r="BD171" s="12"/>
      <c r="BE171" s="38"/>
    </row>
    <row r="172" spans="1:85" s="13" customFormat="1" ht="16.5" customHeight="1" x14ac:dyDescent="0.25">
      <c r="A172" s="24">
        <f t="shared" si="5"/>
        <v>36</v>
      </c>
      <c r="B172" s="25">
        <v>51300</v>
      </c>
      <c r="C172" s="24" t="s">
        <v>225</v>
      </c>
      <c r="D172" s="16"/>
      <c r="E172" s="16" t="s">
        <v>243</v>
      </c>
      <c r="F172" s="16" t="s">
        <v>243</v>
      </c>
      <c r="G172" s="16" t="s">
        <v>243</v>
      </c>
      <c r="H172" s="16" t="s">
        <v>243</v>
      </c>
      <c r="I172" s="16"/>
      <c r="J172" s="16"/>
      <c r="K172" s="16"/>
      <c r="L172" s="16"/>
      <c r="M172" s="16"/>
      <c r="N172" s="16"/>
      <c r="O172" s="16" t="s">
        <v>243</v>
      </c>
      <c r="P172" s="16" t="s">
        <v>243</v>
      </c>
      <c r="Q172" s="16" t="s">
        <v>243</v>
      </c>
      <c r="R172" s="16" t="s">
        <v>243</v>
      </c>
      <c r="S172" s="16" t="s">
        <v>243</v>
      </c>
      <c r="T172" s="16" t="s">
        <v>243</v>
      </c>
      <c r="U172" s="16" t="s">
        <v>243</v>
      </c>
      <c r="V172" s="16" t="s">
        <v>243</v>
      </c>
      <c r="W172" s="16" t="s">
        <v>243</v>
      </c>
      <c r="X172" s="16" t="s">
        <v>243</v>
      </c>
      <c r="Y172" s="16" t="s">
        <v>243</v>
      </c>
      <c r="Z172" s="16" t="s">
        <v>243</v>
      </c>
      <c r="AA172" s="16" t="s">
        <v>243</v>
      </c>
      <c r="AB172" s="16" t="s">
        <v>243</v>
      </c>
      <c r="AC172" s="16" t="s">
        <v>243</v>
      </c>
      <c r="AD172" s="16" t="s">
        <v>243</v>
      </c>
      <c r="AE172" s="16" t="s">
        <v>243</v>
      </c>
      <c r="AF172" s="16" t="s">
        <v>243</v>
      </c>
      <c r="AG172" s="16" t="s">
        <v>243</v>
      </c>
      <c r="AH172" s="16" t="s">
        <v>243</v>
      </c>
      <c r="AI172" s="16" t="s">
        <v>243</v>
      </c>
      <c r="AJ172" s="16"/>
      <c r="AK172" s="16" t="s">
        <v>243</v>
      </c>
      <c r="AL172" s="16"/>
      <c r="AM172" s="16"/>
      <c r="AN172" s="16" t="s">
        <v>243</v>
      </c>
      <c r="AO172" s="16" t="s">
        <v>243</v>
      </c>
      <c r="AP172" s="16"/>
      <c r="AQ172" s="17"/>
      <c r="AR172" s="16" t="s">
        <v>243</v>
      </c>
      <c r="AS172" s="16" t="s">
        <v>243</v>
      </c>
      <c r="AT172" s="16" t="s">
        <v>243</v>
      </c>
      <c r="AU172" s="16" t="s">
        <v>243</v>
      </c>
      <c r="AV172" s="16" t="s">
        <v>243</v>
      </c>
      <c r="AW172" s="16" t="s">
        <v>243</v>
      </c>
      <c r="AX172" s="16" t="s">
        <v>243</v>
      </c>
      <c r="AY172" s="16" t="s">
        <v>243</v>
      </c>
      <c r="AZ172" s="16"/>
      <c r="BA172" s="16"/>
      <c r="BB172" s="16"/>
      <c r="BC172" s="16"/>
      <c r="BD172" s="16"/>
      <c r="BE172" s="14"/>
      <c r="BF172" s="17"/>
      <c r="BG172" s="17"/>
      <c r="BH172" s="17"/>
      <c r="BI172" s="17"/>
      <c r="BJ172" s="17"/>
      <c r="BK172" s="17"/>
      <c r="BL172" s="17"/>
      <c r="BM172" s="17"/>
      <c r="BN172" s="17"/>
      <c r="BO172" s="17"/>
      <c r="BP172" s="17"/>
      <c r="BQ172" s="17"/>
      <c r="BR172" s="17"/>
      <c r="BS172" s="17"/>
      <c r="BT172" s="17"/>
      <c r="BU172" s="17"/>
      <c r="BV172" s="17"/>
      <c r="BW172" s="17"/>
      <c r="BX172" s="17"/>
      <c r="BY172" s="17"/>
      <c r="BZ172" s="17"/>
      <c r="CA172" s="17"/>
      <c r="CB172" s="17"/>
      <c r="CC172" s="17"/>
      <c r="CD172" s="17"/>
      <c r="CE172" s="17"/>
      <c r="CF172" s="17"/>
      <c r="CG172" s="17"/>
    </row>
    <row r="173" spans="1:85" ht="16.5" customHeight="1" x14ac:dyDescent="0.25">
      <c r="A173" s="24">
        <f t="shared" si="5"/>
        <v>36</v>
      </c>
      <c r="B173" s="27">
        <v>51301</v>
      </c>
      <c r="C173" s="28" t="s">
        <v>291</v>
      </c>
      <c r="D173" s="12"/>
      <c r="E173" s="12" t="s">
        <v>243</v>
      </c>
      <c r="F173" s="12" t="s">
        <v>243</v>
      </c>
      <c r="G173" s="12" t="s">
        <v>243</v>
      </c>
      <c r="H173" s="12" t="s">
        <v>243</v>
      </c>
      <c r="I173" s="12"/>
      <c r="J173" s="12"/>
      <c r="K173" s="12"/>
      <c r="L173" s="12"/>
      <c r="M173" s="12"/>
      <c r="N173" s="12"/>
      <c r="O173" s="12" t="s">
        <v>243</v>
      </c>
      <c r="P173" s="12" t="s">
        <v>243</v>
      </c>
      <c r="Q173" s="12" t="s">
        <v>243</v>
      </c>
      <c r="R173" s="12" t="s">
        <v>243</v>
      </c>
      <c r="S173" s="12" t="s">
        <v>243</v>
      </c>
      <c r="T173" s="12" t="s">
        <v>243</v>
      </c>
      <c r="U173" s="12" t="s">
        <v>243</v>
      </c>
      <c r="V173" s="12" t="s">
        <v>243</v>
      </c>
      <c r="W173" s="12" t="s">
        <v>243</v>
      </c>
      <c r="X173" s="12" t="s">
        <v>243</v>
      </c>
      <c r="Y173" s="12" t="s">
        <v>243</v>
      </c>
      <c r="Z173" s="12" t="s">
        <v>243</v>
      </c>
      <c r="AA173" s="12" t="s">
        <v>243</v>
      </c>
      <c r="AB173" s="12" t="s">
        <v>243</v>
      </c>
      <c r="AC173" s="12" t="s">
        <v>243</v>
      </c>
      <c r="AD173" s="12" t="s">
        <v>243</v>
      </c>
      <c r="AE173" s="12" t="s">
        <v>243</v>
      </c>
      <c r="AF173" s="12" t="s">
        <v>243</v>
      </c>
      <c r="AG173" s="12" t="s">
        <v>243</v>
      </c>
      <c r="AH173" s="12" t="s">
        <v>243</v>
      </c>
      <c r="AI173" s="12" t="s">
        <v>243</v>
      </c>
      <c r="AJ173" s="12"/>
      <c r="AK173" s="12" t="s">
        <v>243</v>
      </c>
      <c r="AL173" s="12"/>
      <c r="AM173" s="12"/>
      <c r="AN173" s="12" t="s">
        <v>243</v>
      </c>
      <c r="AO173" s="12" t="s">
        <v>243</v>
      </c>
      <c r="AP173" s="12"/>
      <c r="AQ173" s="13"/>
      <c r="AR173" s="12" t="s">
        <v>243</v>
      </c>
      <c r="AS173" s="12" t="s">
        <v>243</v>
      </c>
      <c r="AT173" s="12" t="s">
        <v>243</v>
      </c>
      <c r="AU173" s="12" t="s">
        <v>243</v>
      </c>
      <c r="AV173" s="12" t="s">
        <v>243</v>
      </c>
      <c r="AW173" s="12" t="s">
        <v>243</v>
      </c>
      <c r="AX173" s="12" t="s">
        <v>243</v>
      </c>
      <c r="AY173" s="12" t="s">
        <v>243</v>
      </c>
      <c r="AZ173" s="12"/>
      <c r="BA173" s="12"/>
      <c r="BB173" s="12"/>
      <c r="BC173" s="12"/>
      <c r="BD173" s="12"/>
      <c r="BE173" s="38"/>
    </row>
    <row r="174" spans="1:85" s="13" customFormat="1" ht="16.5" customHeight="1" x14ac:dyDescent="0.25">
      <c r="A174" s="24">
        <f t="shared" si="5"/>
        <v>36</v>
      </c>
      <c r="B174" s="25">
        <v>52000</v>
      </c>
      <c r="C174" s="24" t="s">
        <v>567</v>
      </c>
      <c r="D174" s="16"/>
      <c r="E174" s="16" t="s">
        <v>243</v>
      </c>
      <c r="F174" s="16" t="s">
        <v>243</v>
      </c>
      <c r="G174" s="16" t="s">
        <v>243</v>
      </c>
      <c r="H174" s="16" t="s">
        <v>243</v>
      </c>
      <c r="I174" s="16"/>
      <c r="J174" s="16"/>
      <c r="K174" s="16"/>
      <c r="L174" s="16"/>
      <c r="M174" s="16"/>
      <c r="N174" s="16"/>
      <c r="O174" s="16" t="s">
        <v>243</v>
      </c>
      <c r="P174" s="16" t="s">
        <v>243</v>
      </c>
      <c r="Q174" s="16" t="s">
        <v>243</v>
      </c>
      <c r="R174" s="16" t="s">
        <v>243</v>
      </c>
      <c r="S174" s="16" t="s">
        <v>243</v>
      </c>
      <c r="T174" s="16" t="s">
        <v>243</v>
      </c>
      <c r="U174" s="16" t="s">
        <v>243</v>
      </c>
      <c r="V174" s="16" t="s">
        <v>243</v>
      </c>
      <c r="W174" s="16" t="s">
        <v>243</v>
      </c>
      <c r="X174" s="16" t="s">
        <v>243</v>
      </c>
      <c r="Y174" s="16" t="s">
        <v>243</v>
      </c>
      <c r="Z174" s="16" t="s">
        <v>243</v>
      </c>
      <c r="AA174" s="16" t="s">
        <v>243</v>
      </c>
      <c r="AB174" s="16" t="s">
        <v>243</v>
      </c>
      <c r="AC174" s="16" t="s">
        <v>243</v>
      </c>
      <c r="AD174" s="16" t="s">
        <v>243</v>
      </c>
      <c r="AE174" s="16" t="s">
        <v>243</v>
      </c>
      <c r="AF174" s="16" t="s">
        <v>243</v>
      </c>
      <c r="AG174" s="16" t="s">
        <v>243</v>
      </c>
      <c r="AH174" s="16" t="s">
        <v>243</v>
      </c>
      <c r="AI174" s="16" t="s">
        <v>243</v>
      </c>
      <c r="AJ174" s="16"/>
      <c r="AK174" s="16" t="s">
        <v>243</v>
      </c>
      <c r="AL174" s="16"/>
      <c r="AM174" s="16"/>
      <c r="AN174" s="16" t="s">
        <v>243</v>
      </c>
      <c r="AO174" s="16" t="s">
        <v>243</v>
      </c>
      <c r="AP174" s="16"/>
      <c r="AQ174" s="17"/>
      <c r="AR174" s="16" t="s">
        <v>243</v>
      </c>
      <c r="AS174" s="16" t="s">
        <v>243</v>
      </c>
      <c r="AT174" s="16" t="s">
        <v>243</v>
      </c>
      <c r="AU174" s="16" t="s">
        <v>243</v>
      </c>
      <c r="AV174" s="16" t="s">
        <v>243</v>
      </c>
      <c r="AW174" s="16" t="s">
        <v>243</v>
      </c>
      <c r="AX174" s="16" t="s">
        <v>243</v>
      </c>
      <c r="AY174" s="16" t="s">
        <v>243</v>
      </c>
      <c r="AZ174" s="16"/>
      <c r="BA174" s="16"/>
      <c r="BB174" s="16"/>
      <c r="BC174" s="16"/>
      <c r="BD174" s="16"/>
      <c r="BE174" s="14"/>
      <c r="BF174" s="17"/>
      <c r="BG174" s="17"/>
      <c r="BH174" s="17"/>
      <c r="BI174" s="17"/>
      <c r="BJ174" s="17"/>
      <c r="BK174" s="17"/>
      <c r="BL174" s="17"/>
      <c r="BM174" s="17"/>
      <c r="BN174" s="17"/>
      <c r="BO174" s="17"/>
      <c r="BP174" s="17"/>
      <c r="BQ174" s="17"/>
      <c r="BR174" s="17"/>
      <c r="BS174" s="17"/>
      <c r="BT174" s="17"/>
      <c r="BU174" s="17"/>
      <c r="BV174" s="17"/>
      <c r="BW174" s="17"/>
      <c r="BX174" s="17"/>
      <c r="BY174" s="17"/>
      <c r="BZ174" s="17"/>
      <c r="CA174" s="17"/>
      <c r="CB174" s="17"/>
      <c r="CC174" s="17"/>
      <c r="CD174" s="17"/>
      <c r="CE174" s="17"/>
      <c r="CF174" s="17"/>
      <c r="CG174" s="17"/>
    </row>
    <row r="175" spans="1:85" ht="16.5" customHeight="1" x14ac:dyDescent="0.25">
      <c r="A175" s="24">
        <f t="shared" si="5"/>
        <v>36</v>
      </c>
      <c r="B175" s="27">
        <v>52100</v>
      </c>
      <c r="C175" s="28" t="s">
        <v>569</v>
      </c>
      <c r="D175" s="12"/>
      <c r="E175" s="12" t="s">
        <v>243</v>
      </c>
      <c r="F175" s="12" t="s">
        <v>243</v>
      </c>
      <c r="G175" s="12" t="s">
        <v>243</v>
      </c>
      <c r="H175" s="12" t="s">
        <v>243</v>
      </c>
      <c r="I175" s="12"/>
      <c r="J175" s="12"/>
      <c r="K175" s="12"/>
      <c r="L175" s="12"/>
      <c r="M175" s="12"/>
      <c r="N175" s="12"/>
      <c r="O175" s="12" t="s">
        <v>243</v>
      </c>
      <c r="P175" s="12" t="s">
        <v>243</v>
      </c>
      <c r="Q175" s="12" t="s">
        <v>243</v>
      </c>
      <c r="R175" s="12" t="s">
        <v>243</v>
      </c>
      <c r="S175" s="12" t="s">
        <v>243</v>
      </c>
      <c r="T175" s="12" t="s">
        <v>243</v>
      </c>
      <c r="U175" s="12" t="s">
        <v>243</v>
      </c>
      <c r="V175" s="12" t="s">
        <v>243</v>
      </c>
      <c r="W175" s="12" t="s">
        <v>243</v>
      </c>
      <c r="X175" s="12" t="s">
        <v>243</v>
      </c>
      <c r="Y175" s="12" t="s">
        <v>243</v>
      </c>
      <c r="Z175" s="12" t="s">
        <v>243</v>
      </c>
      <c r="AA175" s="12" t="s">
        <v>243</v>
      </c>
      <c r="AB175" s="12" t="s">
        <v>243</v>
      </c>
      <c r="AC175" s="12" t="s">
        <v>243</v>
      </c>
      <c r="AD175" s="12" t="s">
        <v>243</v>
      </c>
      <c r="AE175" s="12" t="s">
        <v>243</v>
      </c>
      <c r="AF175" s="12" t="s">
        <v>243</v>
      </c>
      <c r="AG175" s="12" t="s">
        <v>243</v>
      </c>
      <c r="AH175" s="12" t="s">
        <v>243</v>
      </c>
      <c r="AI175" s="12" t="s">
        <v>243</v>
      </c>
      <c r="AJ175" s="12"/>
      <c r="AK175" s="12" t="s">
        <v>243</v>
      </c>
      <c r="AL175" s="12"/>
      <c r="AM175" s="12"/>
      <c r="AN175" s="12" t="s">
        <v>243</v>
      </c>
      <c r="AO175" s="12" t="s">
        <v>243</v>
      </c>
      <c r="AP175" s="12"/>
      <c r="AQ175" s="13"/>
      <c r="AR175" s="12" t="s">
        <v>243</v>
      </c>
      <c r="AS175" s="12" t="s">
        <v>243</v>
      </c>
      <c r="AT175" s="12" t="s">
        <v>243</v>
      </c>
      <c r="AU175" s="12" t="s">
        <v>243</v>
      </c>
      <c r="AV175" s="12" t="s">
        <v>243</v>
      </c>
      <c r="AW175" s="12" t="s">
        <v>243</v>
      </c>
      <c r="AX175" s="12" t="s">
        <v>243</v>
      </c>
      <c r="AY175" s="12" t="s">
        <v>243</v>
      </c>
      <c r="AZ175" s="12"/>
      <c r="BA175" s="12"/>
      <c r="BB175" s="12"/>
      <c r="BC175" s="12"/>
      <c r="BD175" s="12"/>
      <c r="BE175" s="38"/>
    </row>
    <row r="176" spans="1:85" s="13" customFormat="1" ht="16.5" customHeight="1" x14ac:dyDescent="0.25">
      <c r="A176" s="24">
        <f t="shared" si="5"/>
        <v>36</v>
      </c>
      <c r="B176" s="25">
        <v>52101</v>
      </c>
      <c r="C176" s="24" t="s">
        <v>571</v>
      </c>
      <c r="D176" s="16"/>
      <c r="E176" s="16" t="s">
        <v>243</v>
      </c>
      <c r="F176" s="16" t="s">
        <v>243</v>
      </c>
      <c r="G176" s="16" t="s">
        <v>243</v>
      </c>
      <c r="H176" s="16" t="s">
        <v>243</v>
      </c>
      <c r="I176" s="16"/>
      <c r="J176" s="16"/>
      <c r="K176" s="16"/>
      <c r="L176" s="16"/>
      <c r="M176" s="16"/>
      <c r="N176" s="16"/>
      <c r="O176" s="16" t="s">
        <v>243</v>
      </c>
      <c r="P176" s="16" t="s">
        <v>243</v>
      </c>
      <c r="Q176" s="16" t="s">
        <v>243</v>
      </c>
      <c r="R176" s="16" t="s">
        <v>243</v>
      </c>
      <c r="S176" s="16" t="s">
        <v>243</v>
      </c>
      <c r="T176" s="16" t="s">
        <v>243</v>
      </c>
      <c r="U176" s="16" t="s">
        <v>243</v>
      </c>
      <c r="V176" s="16" t="s">
        <v>243</v>
      </c>
      <c r="W176" s="16" t="s">
        <v>243</v>
      </c>
      <c r="X176" s="16" t="s">
        <v>243</v>
      </c>
      <c r="Y176" s="16" t="s">
        <v>243</v>
      </c>
      <c r="Z176" s="16" t="s">
        <v>243</v>
      </c>
      <c r="AA176" s="16" t="s">
        <v>243</v>
      </c>
      <c r="AB176" s="16" t="s">
        <v>243</v>
      </c>
      <c r="AC176" s="16" t="s">
        <v>243</v>
      </c>
      <c r="AD176" s="16" t="s">
        <v>243</v>
      </c>
      <c r="AE176" s="16" t="s">
        <v>243</v>
      </c>
      <c r="AF176" s="16" t="s">
        <v>243</v>
      </c>
      <c r="AG176" s="16" t="s">
        <v>243</v>
      </c>
      <c r="AH176" s="16" t="s">
        <v>243</v>
      </c>
      <c r="AI176" s="16" t="s">
        <v>243</v>
      </c>
      <c r="AJ176" s="16"/>
      <c r="AK176" s="16" t="s">
        <v>243</v>
      </c>
      <c r="AL176" s="16"/>
      <c r="AM176" s="16"/>
      <c r="AN176" s="16" t="s">
        <v>243</v>
      </c>
      <c r="AO176" s="16" t="s">
        <v>243</v>
      </c>
      <c r="AP176" s="16"/>
      <c r="AQ176" s="17"/>
      <c r="AR176" s="16" t="s">
        <v>243</v>
      </c>
      <c r="AS176" s="16" t="s">
        <v>243</v>
      </c>
      <c r="AT176" s="16" t="s">
        <v>243</v>
      </c>
      <c r="AU176" s="16" t="s">
        <v>243</v>
      </c>
      <c r="AV176" s="16" t="s">
        <v>243</v>
      </c>
      <c r="AW176" s="16" t="s">
        <v>243</v>
      </c>
      <c r="AX176" s="16" t="s">
        <v>243</v>
      </c>
      <c r="AY176" s="16" t="s">
        <v>243</v>
      </c>
      <c r="AZ176" s="16"/>
      <c r="BA176" s="16"/>
      <c r="BB176" s="16"/>
      <c r="BC176" s="16"/>
      <c r="BD176" s="16"/>
      <c r="BE176" s="14"/>
      <c r="BF176" s="17"/>
      <c r="BG176" s="17"/>
      <c r="BH176" s="17"/>
      <c r="BI176" s="17"/>
      <c r="BJ176" s="17"/>
      <c r="BK176" s="17"/>
      <c r="BL176" s="17"/>
      <c r="BM176" s="17"/>
      <c r="BN176" s="17"/>
      <c r="BO176" s="17"/>
      <c r="BP176" s="17"/>
      <c r="BQ176" s="17"/>
      <c r="BR176" s="17"/>
      <c r="BS176" s="17"/>
      <c r="BT176" s="17"/>
      <c r="BU176" s="17"/>
      <c r="BV176" s="17"/>
      <c r="BW176" s="17"/>
      <c r="BX176" s="17"/>
      <c r="BY176" s="17"/>
      <c r="BZ176" s="17"/>
      <c r="CA176" s="17"/>
      <c r="CB176" s="17"/>
      <c r="CC176" s="17"/>
      <c r="CD176" s="17"/>
      <c r="CE176" s="17"/>
      <c r="CF176" s="17"/>
      <c r="CG176" s="17"/>
    </row>
    <row r="177" spans="1:85" ht="16.5" customHeight="1" x14ac:dyDescent="0.25">
      <c r="A177" s="24">
        <f t="shared" si="5"/>
        <v>36</v>
      </c>
      <c r="B177" s="27">
        <v>52102</v>
      </c>
      <c r="C177" s="28" t="s">
        <v>1528</v>
      </c>
      <c r="D177" s="12"/>
      <c r="E177" s="12" t="s">
        <v>243</v>
      </c>
      <c r="F177" s="12" t="s">
        <v>243</v>
      </c>
      <c r="G177" s="12" t="s">
        <v>243</v>
      </c>
      <c r="H177" s="12" t="s">
        <v>243</v>
      </c>
      <c r="I177" s="12"/>
      <c r="J177" s="12"/>
      <c r="K177" s="12"/>
      <c r="L177" s="12"/>
      <c r="M177" s="12"/>
      <c r="N177" s="12"/>
      <c r="O177" s="12" t="s">
        <v>243</v>
      </c>
      <c r="P177" s="12" t="s">
        <v>243</v>
      </c>
      <c r="Q177" s="12" t="s">
        <v>243</v>
      </c>
      <c r="R177" s="12" t="s">
        <v>243</v>
      </c>
      <c r="S177" s="12" t="s">
        <v>243</v>
      </c>
      <c r="T177" s="12" t="s">
        <v>243</v>
      </c>
      <c r="U177" s="12" t="s">
        <v>243</v>
      </c>
      <c r="V177" s="12" t="s">
        <v>243</v>
      </c>
      <c r="W177" s="12" t="s">
        <v>243</v>
      </c>
      <c r="X177" s="12" t="s">
        <v>243</v>
      </c>
      <c r="Y177" s="12" t="s">
        <v>243</v>
      </c>
      <c r="Z177" s="12" t="s">
        <v>243</v>
      </c>
      <c r="AA177" s="12" t="s">
        <v>243</v>
      </c>
      <c r="AB177" s="12" t="s">
        <v>243</v>
      </c>
      <c r="AC177" s="12" t="s">
        <v>243</v>
      </c>
      <c r="AD177" s="12" t="s">
        <v>243</v>
      </c>
      <c r="AE177" s="12" t="s">
        <v>243</v>
      </c>
      <c r="AF177" s="12" t="s">
        <v>243</v>
      </c>
      <c r="AG177" s="12" t="s">
        <v>243</v>
      </c>
      <c r="AH177" s="12" t="s">
        <v>243</v>
      </c>
      <c r="AI177" s="12" t="s">
        <v>243</v>
      </c>
      <c r="AJ177" s="12"/>
      <c r="AK177" s="12" t="s">
        <v>243</v>
      </c>
      <c r="AL177" s="12"/>
      <c r="AM177" s="12"/>
      <c r="AN177" s="12" t="s">
        <v>243</v>
      </c>
      <c r="AO177" s="12" t="s">
        <v>243</v>
      </c>
      <c r="AP177" s="12"/>
      <c r="AQ177" s="13"/>
      <c r="AR177" s="12" t="s">
        <v>243</v>
      </c>
      <c r="AS177" s="12" t="s">
        <v>243</v>
      </c>
      <c r="AT177" s="12" t="s">
        <v>243</v>
      </c>
      <c r="AU177" s="12" t="s">
        <v>243</v>
      </c>
      <c r="AV177" s="12" t="s">
        <v>243</v>
      </c>
      <c r="AW177" s="12" t="s">
        <v>243</v>
      </c>
      <c r="AX177" s="12" t="s">
        <v>243</v>
      </c>
      <c r="AY177" s="12" t="s">
        <v>243</v>
      </c>
      <c r="AZ177" s="12"/>
      <c r="BA177" s="12"/>
      <c r="BB177" s="12"/>
      <c r="BC177" s="12"/>
      <c r="BD177" s="12"/>
      <c r="BE177" s="38"/>
    </row>
    <row r="178" spans="1:85" s="13" customFormat="1" ht="16.5" customHeight="1" x14ac:dyDescent="0.25">
      <c r="A178" s="24">
        <f t="shared" si="5"/>
        <v>36</v>
      </c>
      <c r="B178" s="25">
        <v>52103</v>
      </c>
      <c r="C178" s="24" t="s">
        <v>1529</v>
      </c>
      <c r="D178" s="16"/>
      <c r="E178" s="16" t="s">
        <v>243</v>
      </c>
      <c r="F178" s="16" t="s">
        <v>243</v>
      </c>
      <c r="G178" s="16" t="s">
        <v>243</v>
      </c>
      <c r="H178" s="16" t="s">
        <v>243</v>
      </c>
      <c r="I178" s="16"/>
      <c r="J178" s="16"/>
      <c r="K178" s="16"/>
      <c r="L178" s="16"/>
      <c r="M178" s="16"/>
      <c r="N178" s="16"/>
      <c r="O178" s="16" t="s">
        <v>243</v>
      </c>
      <c r="P178" s="16" t="s">
        <v>243</v>
      </c>
      <c r="Q178" s="16" t="s">
        <v>243</v>
      </c>
      <c r="R178" s="16" t="s">
        <v>243</v>
      </c>
      <c r="S178" s="16" t="s">
        <v>243</v>
      </c>
      <c r="T178" s="16" t="s">
        <v>243</v>
      </c>
      <c r="U178" s="16" t="s">
        <v>243</v>
      </c>
      <c r="V178" s="16" t="s">
        <v>243</v>
      </c>
      <c r="W178" s="16" t="s">
        <v>243</v>
      </c>
      <c r="X178" s="16" t="s">
        <v>243</v>
      </c>
      <c r="Y178" s="16" t="s">
        <v>243</v>
      </c>
      <c r="Z178" s="16" t="s">
        <v>243</v>
      </c>
      <c r="AA178" s="16" t="s">
        <v>243</v>
      </c>
      <c r="AB178" s="16" t="s">
        <v>243</v>
      </c>
      <c r="AC178" s="16" t="s">
        <v>243</v>
      </c>
      <c r="AD178" s="16" t="s">
        <v>243</v>
      </c>
      <c r="AE178" s="16" t="s">
        <v>243</v>
      </c>
      <c r="AF178" s="16" t="s">
        <v>243</v>
      </c>
      <c r="AG178" s="16" t="s">
        <v>243</v>
      </c>
      <c r="AH178" s="16" t="s">
        <v>243</v>
      </c>
      <c r="AI178" s="16" t="s">
        <v>243</v>
      </c>
      <c r="AJ178" s="16"/>
      <c r="AK178" s="16" t="s">
        <v>243</v>
      </c>
      <c r="AL178" s="16"/>
      <c r="AM178" s="16"/>
      <c r="AN178" s="16" t="s">
        <v>243</v>
      </c>
      <c r="AO178" s="16" t="s">
        <v>243</v>
      </c>
      <c r="AP178" s="16"/>
      <c r="AQ178" s="17"/>
      <c r="AR178" s="16" t="s">
        <v>243</v>
      </c>
      <c r="AS178" s="16" t="s">
        <v>243</v>
      </c>
      <c r="AT178" s="16" t="s">
        <v>243</v>
      </c>
      <c r="AU178" s="16" t="s">
        <v>243</v>
      </c>
      <c r="AV178" s="16" t="s">
        <v>243</v>
      </c>
      <c r="AW178" s="16" t="s">
        <v>243</v>
      </c>
      <c r="AX178" s="16" t="s">
        <v>243</v>
      </c>
      <c r="AY178" s="16" t="s">
        <v>243</v>
      </c>
      <c r="AZ178" s="16"/>
      <c r="BA178" s="16"/>
      <c r="BB178" s="16"/>
      <c r="BC178" s="16"/>
      <c r="BD178" s="16"/>
      <c r="BE178" s="14"/>
      <c r="BF178" s="17"/>
      <c r="BG178" s="17"/>
      <c r="BH178" s="17"/>
      <c r="BI178" s="17"/>
      <c r="BJ178" s="17"/>
      <c r="BK178" s="17"/>
      <c r="BL178" s="17"/>
      <c r="BM178" s="17"/>
      <c r="BN178" s="17"/>
      <c r="BO178" s="17"/>
      <c r="BP178" s="17"/>
      <c r="BQ178" s="17"/>
      <c r="BR178" s="17"/>
      <c r="BS178" s="17"/>
      <c r="BT178" s="17"/>
      <c r="BU178" s="17"/>
      <c r="BV178" s="17"/>
      <c r="BW178" s="17"/>
      <c r="BX178" s="17"/>
      <c r="BY178" s="17"/>
      <c r="BZ178" s="17"/>
      <c r="CA178" s="17"/>
      <c r="CB178" s="17"/>
      <c r="CC178" s="17"/>
      <c r="CD178" s="17"/>
      <c r="CE178" s="17"/>
      <c r="CF178" s="17"/>
      <c r="CG178" s="17"/>
    </row>
    <row r="179" spans="1:85" ht="16.5" customHeight="1" x14ac:dyDescent="0.25">
      <c r="A179" s="24">
        <f t="shared" si="5"/>
        <v>36</v>
      </c>
      <c r="B179" s="27">
        <v>52104</v>
      </c>
      <c r="C179" s="28" t="s">
        <v>1530</v>
      </c>
      <c r="D179" s="12"/>
      <c r="E179" s="12" t="s">
        <v>243</v>
      </c>
      <c r="F179" s="12" t="s">
        <v>243</v>
      </c>
      <c r="G179" s="12" t="s">
        <v>243</v>
      </c>
      <c r="H179" s="12" t="s">
        <v>243</v>
      </c>
      <c r="I179" s="12"/>
      <c r="J179" s="12"/>
      <c r="K179" s="12"/>
      <c r="L179" s="12"/>
      <c r="M179" s="12"/>
      <c r="N179" s="12"/>
      <c r="O179" s="12" t="s">
        <v>243</v>
      </c>
      <c r="P179" s="12" t="s">
        <v>243</v>
      </c>
      <c r="Q179" s="12" t="s">
        <v>243</v>
      </c>
      <c r="R179" s="12" t="s">
        <v>243</v>
      </c>
      <c r="S179" s="12" t="s">
        <v>243</v>
      </c>
      <c r="T179" s="12" t="s">
        <v>243</v>
      </c>
      <c r="U179" s="12" t="s">
        <v>243</v>
      </c>
      <c r="V179" s="12" t="s">
        <v>243</v>
      </c>
      <c r="W179" s="12" t="s">
        <v>243</v>
      </c>
      <c r="X179" s="12" t="s">
        <v>243</v>
      </c>
      <c r="Y179" s="12" t="s">
        <v>243</v>
      </c>
      <c r="Z179" s="12" t="s">
        <v>243</v>
      </c>
      <c r="AA179" s="12" t="s">
        <v>243</v>
      </c>
      <c r="AB179" s="12" t="s">
        <v>243</v>
      </c>
      <c r="AC179" s="12" t="s">
        <v>243</v>
      </c>
      <c r="AD179" s="12" t="s">
        <v>243</v>
      </c>
      <c r="AE179" s="12" t="s">
        <v>243</v>
      </c>
      <c r="AF179" s="12" t="s">
        <v>243</v>
      </c>
      <c r="AG179" s="12" t="s">
        <v>243</v>
      </c>
      <c r="AH179" s="12" t="s">
        <v>243</v>
      </c>
      <c r="AI179" s="12" t="s">
        <v>243</v>
      </c>
      <c r="AJ179" s="12"/>
      <c r="AK179" s="12" t="s">
        <v>243</v>
      </c>
      <c r="AL179" s="12"/>
      <c r="AM179" s="12"/>
      <c r="AN179" s="12" t="s">
        <v>243</v>
      </c>
      <c r="AO179" s="12" t="s">
        <v>243</v>
      </c>
      <c r="AP179" s="12"/>
      <c r="AQ179" s="13"/>
      <c r="AR179" s="12" t="s">
        <v>243</v>
      </c>
      <c r="AS179" s="12" t="s">
        <v>243</v>
      </c>
      <c r="AT179" s="12" t="s">
        <v>243</v>
      </c>
      <c r="AU179" s="12" t="s">
        <v>243</v>
      </c>
      <c r="AV179" s="12" t="s">
        <v>243</v>
      </c>
      <c r="AW179" s="12" t="s">
        <v>243</v>
      </c>
      <c r="AX179" s="12" t="s">
        <v>243</v>
      </c>
      <c r="AY179" s="12" t="s">
        <v>243</v>
      </c>
      <c r="AZ179" s="12"/>
      <c r="BA179" s="12"/>
      <c r="BB179" s="12"/>
      <c r="BC179" s="12"/>
      <c r="BD179" s="12"/>
      <c r="BE179" s="38"/>
    </row>
    <row r="180" spans="1:85" s="13" customFormat="1" ht="16.5" customHeight="1" x14ac:dyDescent="0.25">
      <c r="A180" s="24">
        <f t="shared" si="5"/>
        <v>36</v>
      </c>
      <c r="B180" s="25">
        <v>52105</v>
      </c>
      <c r="C180" s="24" t="s">
        <v>1531</v>
      </c>
      <c r="D180" s="16"/>
      <c r="E180" s="16" t="s">
        <v>243</v>
      </c>
      <c r="F180" s="16" t="s">
        <v>243</v>
      </c>
      <c r="G180" s="16" t="s">
        <v>243</v>
      </c>
      <c r="H180" s="16" t="s">
        <v>243</v>
      </c>
      <c r="I180" s="16"/>
      <c r="J180" s="16"/>
      <c r="K180" s="16"/>
      <c r="L180" s="16"/>
      <c r="M180" s="16"/>
      <c r="N180" s="16"/>
      <c r="O180" s="16" t="s">
        <v>243</v>
      </c>
      <c r="P180" s="16" t="s">
        <v>243</v>
      </c>
      <c r="Q180" s="16" t="s">
        <v>243</v>
      </c>
      <c r="R180" s="16" t="s">
        <v>243</v>
      </c>
      <c r="S180" s="16" t="s">
        <v>243</v>
      </c>
      <c r="T180" s="16" t="s">
        <v>243</v>
      </c>
      <c r="U180" s="16" t="s">
        <v>243</v>
      </c>
      <c r="V180" s="16" t="s">
        <v>243</v>
      </c>
      <c r="W180" s="16" t="s">
        <v>243</v>
      </c>
      <c r="X180" s="16" t="s">
        <v>243</v>
      </c>
      <c r="Y180" s="16" t="s">
        <v>243</v>
      </c>
      <c r="Z180" s="16" t="s">
        <v>243</v>
      </c>
      <c r="AA180" s="16" t="s">
        <v>243</v>
      </c>
      <c r="AB180" s="16" t="s">
        <v>243</v>
      </c>
      <c r="AC180" s="16" t="s">
        <v>243</v>
      </c>
      <c r="AD180" s="16" t="s">
        <v>243</v>
      </c>
      <c r="AE180" s="16" t="s">
        <v>243</v>
      </c>
      <c r="AF180" s="16" t="s">
        <v>243</v>
      </c>
      <c r="AG180" s="16" t="s">
        <v>243</v>
      </c>
      <c r="AH180" s="16" t="s">
        <v>243</v>
      </c>
      <c r="AI180" s="16" t="s">
        <v>243</v>
      </c>
      <c r="AJ180" s="16"/>
      <c r="AK180" s="16" t="s">
        <v>243</v>
      </c>
      <c r="AL180" s="16"/>
      <c r="AM180" s="16"/>
      <c r="AN180" s="16" t="s">
        <v>243</v>
      </c>
      <c r="AO180" s="16" t="s">
        <v>243</v>
      </c>
      <c r="AP180" s="16"/>
      <c r="AQ180" s="17"/>
      <c r="AR180" s="16" t="s">
        <v>243</v>
      </c>
      <c r="AS180" s="16" t="s">
        <v>243</v>
      </c>
      <c r="AT180" s="16" t="s">
        <v>243</v>
      </c>
      <c r="AU180" s="16" t="s">
        <v>243</v>
      </c>
      <c r="AV180" s="16" t="s">
        <v>243</v>
      </c>
      <c r="AW180" s="16" t="s">
        <v>243</v>
      </c>
      <c r="AX180" s="16" t="s">
        <v>243</v>
      </c>
      <c r="AY180" s="16" t="s">
        <v>243</v>
      </c>
      <c r="AZ180" s="16"/>
      <c r="BA180" s="16"/>
      <c r="BB180" s="16"/>
      <c r="BC180" s="16"/>
      <c r="BD180" s="16"/>
      <c r="BE180" s="14"/>
      <c r="BF180" s="17"/>
      <c r="BG180" s="17"/>
      <c r="BH180" s="17"/>
      <c r="BI180" s="17"/>
      <c r="BJ180" s="17"/>
      <c r="BK180" s="17"/>
      <c r="BL180" s="17"/>
      <c r="BM180" s="17"/>
      <c r="BN180" s="17"/>
      <c r="BO180" s="17"/>
      <c r="BP180" s="17"/>
      <c r="BQ180" s="17"/>
      <c r="BR180" s="17"/>
      <c r="BS180" s="17"/>
      <c r="BT180" s="17"/>
      <c r="BU180" s="17"/>
      <c r="BV180" s="17"/>
      <c r="BW180" s="17"/>
      <c r="BX180" s="17"/>
      <c r="BY180" s="17"/>
      <c r="BZ180" s="17"/>
      <c r="CA180" s="17"/>
      <c r="CB180" s="17"/>
      <c r="CC180" s="17"/>
      <c r="CD180" s="17"/>
      <c r="CE180" s="17"/>
      <c r="CF180" s="17"/>
      <c r="CG180" s="17"/>
    </row>
    <row r="181" spans="1:85" ht="16.5" customHeight="1" x14ac:dyDescent="0.25">
      <c r="A181" s="24">
        <f t="shared" si="5"/>
        <v>36</v>
      </c>
      <c r="B181" s="27">
        <v>52106</v>
      </c>
      <c r="C181" s="28" t="s">
        <v>1532</v>
      </c>
      <c r="D181" s="12"/>
      <c r="E181" s="12" t="s">
        <v>243</v>
      </c>
      <c r="F181" s="12" t="s">
        <v>243</v>
      </c>
      <c r="G181" s="12" t="s">
        <v>243</v>
      </c>
      <c r="H181" s="12" t="s">
        <v>243</v>
      </c>
      <c r="I181" s="12"/>
      <c r="J181" s="12"/>
      <c r="K181" s="12"/>
      <c r="L181" s="12"/>
      <c r="M181" s="12"/>
      <c r="N181" s="12"/>
      <c r="O181" s="12" t="s">
        <v>243</v>
      </c>
      <c r="P181" s="12" t="s">
        <v>243</v>
      </c>
      <c r="Q181" s="12" t="s">
        <v>243</v>
      </c>
      <c r="R181" s="12" t="s">
        <v>243</v>
      </c>
      <c r="S181" s="12" t="s">
        <v>243</v>
      </c>
      <c r="T181" s="12" t="s">
        <v>243</v>
      </c>
      <c r="U181" s="12" t="s">
        <v>243</v>
      </c>
      <c r="V181" s="12" t="s">
        <v>243</v>
      </c>
      <c r="W181" s="12" t="s">
        <v>243</v>
      </c>
      <c r="X181" s="12" t="s">
        <v>243</v>
      </c>
      <c r="Y181" s="12" t="s">
        <v>243</v>
      </c>
      <c r="Z181" s="12" t="s">
        <v>243</v>
      </c>
      <c r="AA181" s="12" t="s">
        <v>243</v>
      </c>
      <c r="AB181" s="12" t="s">
        <v>243</v>
      </c>
      <c r="AC181" s="12" t="s">
        <v>243</v>
      </c>
      <c r="AD181" s="12" t="s">
        <v>243</v>
      </c>
      <c r="AE181" s="12" t="s">
        <v>243</v>
      </c>
      <c r="AF181" s="12" t="s">
        <v>243</v>
      </c>
      <c r="AG181" s="12" t="s">
        <v>243</v>
      </c>
      <c r="AH181" s="12" t="s">
        <v>243</v>
      </c>
      <c r="AI181" s="12" t="s">
        <v>243</v>
      </c>
      <c r="AJ181" s="12"/>
      <c r="AK181" s="12" t="s">
        <v>243</v>
      </c>
      <c r="AL181" s="12"/>
      <c r="AM181" s="12"/>
      <c r="AN181" s="12" t="s">
        <v>243</v>
      </c>
      <c r="AO181" s="12" t="s">
        <v>243</v>
      </c>
      <c r="AP181" s="12"/>
      <c r="AQ181" s="13"/>
      <c r="AR181" s="12" t="s">
        <v>243</v>
      </c>
      <c r="AS181" s="12" t="s">
        <v>243</v>
      </c>
      <c r="AT181" s="12" t="s">
        <v>243</v>
      </c>
      <c r="AU181" s="12" t="s">
        <v>243</v>
      </c>
      <c r="AV181" s="12" t="s">
        <v>243</v>
      </c>
      <c r="AW181" s="12" t="s">
        <v>243</v>
      </c>
      <c r="AX181" s="12" t="s">
        <v>243</v>
      </c>
      <c r="AY181" s="12" t="s">
        <v>243</v>
      </c>
      <c r="AZ181" s="12"/>
      <c r="BA181" s="12"/>
      <c r="BB181" s="12"/>
      <c r="BC181" s="12"/>
      <c r="BD181" s="12"/>
      <c r="BE181" s="38"/>
    </row>
    <row r="182" spans="1:85" s="13" customFormat="1" ht="16.5" customHeight="1" x14ac:dyDescent="0.25">
      <c r="A182" s="24">
        <f t="shared" si="5"/>
        <v>36</v>
      </c>
      <c r="B182" s="25">
        <v>52107</v>
      </c>
      <c r="C182" s="24" t="s">
        <v>1533</v>
      </c>
      <c r="D182" s="16"/>
      <c r="E182" s="16" t="s">
        <v>243</v>
      </c>
      <c r="F182" s="16" t="s">
        <v>243</v>
      </c>
      <c r="G182" s="16" t="s">
        <v>243</v>
      </c>
      <c r="H182" s="16" t="s">
        <v>243</v>
      </c>
      <c r="I182" s="16"/>
      <c r="J182" s="16"/>
      <c r="K182" s="16"/>
      <c r="L182" s="16"/>
      <c r="M182" s="16"/>
      <c r="N182" s="16"/>
      <c r="O182" s="16" t="s">
        <v>243</v>
      </c>
      <c r="P182" s="16" t="s">
        <v>243</v>
      </c>
      <c r="Q182" s="16" t="s">
        <v>243</v>
      </c>
      <c r="R182" s="16" t="s">
        <v>243</v>
      </c>
      <c r="S182" s="16" t="s">
        <v>243</v>
      </c>
      <c r="T182" s="16" t="s">
        <v>243</v>
      </c>
      <c r="U182" s="16" t="s">
        <v>243</v>
      </c>
      <c r="V182" s="16" t="s">
        <v>243</v>
      </c>
      <c r="W182" s="16" t="s">
        <v>243</v>
      </c>
      <c r="X182" s="16" t="s">
        <v>243</v>
      </c>
      <c r="Y182" s="16" t="s">
        <v>243</v>
      </c>
      <c r="Z182" s="16" t="s">
        <v>243</v>
      </c>
      <c r="AA182" s="16" t="s">
        <v>243</v>
      </c>
      <c r="AB182" s="16" t="s">
        <v>243</v>
      </c>
      <c r="AC182" s="16" t="s">
        <v>243</v>
      </c>
      <c r="AD182" s="16" t="s">
        <v>243</v>
      </c>
      <c r="AE182" s="16" t="s">
        <v>243</v>
      </c>
      <c r="AF182" s="16" t="s">
        <v>243</v>
      </c>
      <c r="AG182" s="16" t="s">
        <v>243</v>
      </c>
      <c r="AH182" s="16" t="s">
        <v>243</v>
      </c>
      <c r="AI182" s="16" t="s">
        <v>243</v>
      </c>
      <c r="AJ182" s="16"/>
      <c r="AK182" s="16" t="s">
        <v>243</v>
      </c>
      <c r="AL182" s="16"/>
      <c r="AM182" s="16"/>
      <c r="AN182" s="16" t="s">
        <v>243</v>
      </c>
      <c r="AO182" s="16" t="s">
        <v>243</v>
      </c>
      <c r="AP182" s="16"/>
      <c r="AQ182" s="17"/>
      <c r="AR182" s="16" t="s">
        <v>243</v>
      </c>
      <c r="AS182" s="16" t="s">
        <v>243</v>
      </c>
      <c r="AT182" s="16" t="s">
        <v>243</v>
      </c>
      <c r="AU182" s="16" t="s">
        <v>243</v>
      </c>
      <c r="AV182" s="16" t="s">
        <v>243</v>
      </c>
      <c r="AW182" s="16" t="s">
        <v>243</v>
      </c>
      <c r="AX182" s="16" t="s">
        <v>243</v>
      </c>
      <c r="AY182" s="16" t="s">
        <v>243</v>
      </c>
      <c r="AZ182" s="16"/>
      <c r="BA182" s="16"/>
      <c r="BB182" s="16"/>
      <c r="BC182" s="16"/>
      <c r="BD182" s="16"/>
      <c r="BE182" s="14"/>
      <c r="BF182" s="17"/>
      <c r="BG182" s="17"/>
      <c r="BH182" s="17"/>
      <c r="BI182" s="17"/>
      <c r="BJ182" s="17"/>
      <c r="BK182" s="17"/>
      <c r="BL182" s="17"/>
      <c r="BM182" s="17"/>
      <c r="BN182" s="17"/>
      <c r="BO182" s="17"/>
      <c r="BP182" s="17"/>
      <c r="BQ182" s="17"/>
      <c r="BR182" s="17"/>
      <c r="BS182" s="17"/>
      <c r="BT182" s="17"/>
      <c r="BU182" s="17"/>
      <c r="BV182" s="17"/>
      <c r="BW182" s="17"/>
      <c r="BX182" s="17"/>
      <c r="BY182" s="17"/>
      <c r="BZ182" s="17"/>
      <c r="CA182" s="17"/>
      <c r="CB182" s="17"/>
      <c r="CC182" s="17"/>
      <c r="CD182" s="17"/>
      <c r="CE182" s="17"/>
      <c r="CF182" s="17"/>
      <c r="CG182" s="17"/>
    </row>
    <row r="183" spans="1:85" s="31" customFormat="1" ht="16.5" customHeight="1" thickBot="1" x14ac:dyDescent="0.3">
      <c r="A183" s="24">
        <f t="shared" si="5"/>
        <v>36</v>
      </c>
      <c r="B183" s="27">
        <v>52200</v>
      </c>
      <c r="C183" s="28" t="s">
        <v>583</v>
      </c>
      <c r="D183" s="12"/>
      <c r="E183" s="12" t="s">
        <v>243</v>
      </c>
      <c r="F183" s="12" t="s">
        <v>243</v>
      </c>
      <c r="G183" s="12" t="s">
        <v>243</v>
      </c>
      <c r="H183" s="12" t="s">
        <v>243</v>
      </c>
      <c r="I183" s="12"/>
      <c r="J183" s="12"/>
      <c r="K183" s="12"/>
      <c r="L183" s="12"/>
      <c r="M183" s="12"/>
      <c r="N183" s="12"/>
      <c r="O183" s="12" t="s">
        <v>243</v>
      </c>
      <c r="P183" s="12" t="s">
        <v>243</v>
      </c>
      <c r="Q183" s="12" t="s">
        <v>243</v>
      </c>
      <c r="R183" s="12" t="s">
        <v>243</v>
      </c>
      <c r="S183" s="12" t="s">
        <v>243</v>
      </c>
      <c r="T183" s="12" t="s">
        <v>243</v>
      </c>
      <c r="U183" s="12" t="s">
        <v>243</v>
      </c>
      <c r="V183" s="12" t="s">
        <v>243</v>
      </c>
      <c r="W183" s="12" t="s">
        <v>243</v>
      </c>
      <c r="X183" s="12" t="s">
        <v>243</v>
      </c>
      <c r="Y183" s="12" t="s">
        <v>243</v>
      </c>
      <c r="Z183" s="12" t="s">
        <v>243</v>
      </c>
      <c r="AA183" s="12" t="s">
        <v>243</v>
      </c>
      <c r="AB183" s="12" t="s">
        <v>243</v>
      </c>
      <c r="AC183" s="12" t="s">
        <v>243</v>
      </c>
      <c r="AD183" s="12" t="s">
        <v>243</v>
      </c>
      <c r="AE183" s="12" t="s">
        <v>243</v>
      </c>
      <c r="AF183" s="12" t="s">
        <v>243</v>
      </c>
      <c r="AG183" s="12" t="s">
        <v>243</v>
      </c>
      <c r="AH183" s="12" t="s">
        <v>243</v>
      </c>
      <c r="AI183" s="12" t="s">
        <v>243</v>
      </c>
      <c r="AJ183" s="12"/>
      <c r="AK183" s="12" t="s">
        <v>243</v>
      </c>
      <c r="AL183" s="12"/>
      <c r="AM183" s="12"/>
      <c r="AN183" s="12" t="s">
        <v>243</v>
      </c>
      <c r="AO183" s="12" t="s">
        <v>243</v>
      </c>
      <c r="AP183" s="12"/>
      <c r="AQ183" s="58"/>
      <c r="AR183" s="12" t="s">
        <v>243</v>
      </c>
      <c r="AS183" s="12" t="s">
        <v>243</v>
      </c>
      <c r="AT183" s="12" t="s">
        <v>243</v>
      </c>
      <c r="AU183" s="12" t="s">
        <v>243</v>
      </c>
      <c r="AV183" s="12" t="s">
        <v>243</v>
      </c>
      <c r="AW183" s="12" t="s">
        <v>243</v>
      </c>
      <c r="AX183" s="12" t="s">
        <v>243</v>
      </c>
      <c r="AY183" s="12" t="s">
        <v>243</v>
      </c>
      <c r="AZ183" s="12"/>
      <c r="BA183" s="12"/>
      <c r="BB183" s="12"/>
      <c r="BC183" s="12"/>
      <c r="BD183" s="12"/>
      <c r="BE183" s="38"/>
      <c r="BF183" s="17"/>
      <c r="BG183" s="17"/>
      <c r="BH183" s="17"/>
    </row>
    <row r="184" spans="1:85" s="13" customFormat="1" ht="16.5" customHeight="1" x14ac:dyDescent="0.25">
      <c r="A184" s="24">
        <f t="shared" si="5"/>
        <v>36</v>
      </c>
      <c r="B184" s="25">
        <v>52201</v>
      </c>
      <c r="C184" s="24" t="s">
        <v>585</v>
      </c>
      <c r="D184" s="16"/>
      <c r="E184" s="16" t="s">
        <v>243</v>
      </c>
      <c r="F184" s="16" t="s">
        <v>243</v>
      </c>
      <c r="G184" s="16" t="s">
        <v>243</v>
      </c>
      <c r="H184" s="16" t="s">
        <v>243</v>
      </c>
      <c r="I184" s="16"/>
      <c r="J184" s="16"/>
      <c r="K184" s="16"/>
      <c r="L184" s="16"/>
      <c r="M184" s="16"/>
      <c r="N184" s="16"/>
      <c r="O184" s="16" t="s">
        <v>243</v>
      </c>
      <c r="P184" s="16" t="s">
        <v>243</v>
      </c>
      <c r="Q184" s="16" t="s">
        <v>243</v>
      </c>
      <c r="R184" s="16" t="s">
        <v>243</v>
      </c>
      <c r="S184" s="16" t="s">
        <v>243</v>
      </c>
      <c r="T184" s="16" t="s">
        <v>243</v>
      </c>
      <c r="U184" s="16" t="s">
        <v>243</v>
      </c>
      <c r="V184" s="16" t="s">
        <v>243</v>
      </c>
      <c r="W184" s="16" t="s">
        <v>243</v>
      </c>
      <c r="X184" s="16" t="s">
        <v>243</v>
      </c>
      <c r="Y184" s="16" t="s">
        <v>243</v>
      </c>
      <c r="Z184" s="16" t="s">
        <v>243</v>
      </c>
      <c r="AA184" s="16" t="s">
        <v>243</v>
      </c>
      <c r="AB184" s="16" t="s">
        <v>243</v>
      </c>
      <c r="AC184" s="16" t="s">
        <v>243</v>
      </c>
      <c r="AD184" s="16" t="s">
        <v>243</v>
      </c>
      <c r="AE184" s="16" t="s">
        <v>243</v>
      </c>
      <c r="AF184" s="16" t="s">
        <v>243</v>
      </c>
      <c r="AG184" s="16" t="s">
        <v>243</v>
      </c>
      <c r="AH184" s="16" t="s">
        <v>243</v>
      </c>
      <c r="AI184" s="16" t="s">
        <v>243</v>
      </c>
      <c r="AJ184" s="16"/>
      <c r="AK184" s="16" t="s">
        <v>243</v>
      </c>
      <c r="AL184" s="16"/>
      <c r="AM184" s="16"/>
      <c r="AN184" s="16" t="s">
        <v>243</v>
      </c>
      <c r="AO184" s="16" t="s">
        <v>243</v>
      </c>
      <c r="AP184" s="16"/>
      <c r="AQ184" s="17"/>
      <c r="AR184" s="16" t="s">
        <v>243</v>
      </c>
      <c r="AS184" s="16" t="s">
        <v>243</v>
      </c>
      <c r="AT184" s="16" t="s">
        <v>243</v>
      </c>
      <c r="AU184" s="16" t="s">
        <v>243</v>
      </c>
      <c r="AV184" s="16" t="s">
        <v>243</v>
      </c>
      <c r="AW184" s="16" t="s">
        <v>243</v>
      </c>
      <c r="AX184" s="16" t="s">
        <v>243</v>
      </c>
      <c r="AY184" s="16" t="s">
        <v>243</v>
      </c>
      <c r="AZ184" s="16"/>
      <c r="BA184" s="16"/>
      <c r="BB184" s="16"/>
      <c r="BC184" s="16"/>
      <c r="BD184" s="16"/>
      <c r="BE184" s="14"/>
      <c r="BF184" s="17"/>
      <c r="BG184" s="17"/>
      <c r="BH184" s="17"/>
      <c r="BI184" s="17"/>
      <c r="BJ184" s="17"/>
      <c r="BK184" s="17"/>
      <c r="BL184" s="17"/>
      <c r="BM184" s="17"/>
      <c r="BN184" s="17"/>
      <c r="BO184" s="17"/>
      <c r="BP184" s="17"/>
      <c r="BQ184" s="17"/>
      <c r="BR184" s="17"/>
      <c r="BS184" s="17"/>
      <c r="BT184" s="17"/>
      <c r="BU184" s="17"/>
      <c r="BV184" s="17"/>
      <c r="BW184" s="17"/>
      <c r="BX184" s="17"/>
      <c r="BY184" s="17"/>
      <c r="BZ184" s="17"/>
      <c r="CA184" s="17"/>
      <c r="CB184" s="17"/>
      <c r="CC184" s="17"/>
      <c r="CD184" s="17"/>
      <c r="CE184" s="17"/>
      <c r="CF184" s="17"/>
      <c r="CG184" s="17"/>
    </row>
    <row r="185" spans="1:85" ht="16.5" customHeight="1" x14ac:dyDescent="0.25">
      <c r="A185" s="24">
        <f t="shared" si="5"/>
        <v>36</v>
      </c>
      <c r="B185" s="27">
        <v>52300</v>
      </c>
      <c r="C185" s="28" t="s">
        <v>1534</v>
      </c>
      <c r="D185" s="12"/>
      <c r="E185" s="12" t="s">
        <v>243</v>
      </c>
      <c r="F185" s="12" t="s">
        <v>243</v>
      </c>
      <c r="G185" s="12" t="s">
        <v>243</v>
      </c>
      <c r="H185" s="12" t="s">
        <v>243</v>
      </c>
      <c r="I185" s="12"/>
      <c r="J185" s="12"/>
      <c r="K185" s="12"/>
      <c r="L185" s="12"/>
      <c r="M185" s="12"/>
      <c r="N185" s="12"/>
      <c r="O185" s="12" t="s">
        <v>243</v>
      </c>
      <c r="P185" s="12" t="s">
        <v>243</v>
      </c>
      <c r="Q185" s="12" t="s">
        <v>243</v>
      </c>
      <c r="R185" s="12" t="s">
        <v>243</v>
      </c>
      <c r="S185" s="12" t="s">
        <v>243</v>
      </c>
      <c r="T185" s="12" t="s">
        <v>243</v>
      </c>
      <c r="U185" s="12" t="s">
        <v>243</v>
      </c>
      <c r="V185" s="12" t="s">
        <v>243</v>
      </c>
      <c r="W185" s="12" t="s">
        <v>243</v>
      </c>
      <c r="X185" s="12" t="s">
        <v>243</v>
      </c>
      <c r="Y185" s="12" t="s">
        <v>243</v>
      </c>
      <c r="Z185" s="12" t="s">
        <v>243</v>
      </c>
      <c r="AA185" s="12" t="s">
        <v>243</v>
      </c>
      <c r="AB185" s="12" t="s">
        <v>243</v>
      </c>
      <c r="AC185" s="12" t="s">
        <v>243</v>
      </c>
      <c r="AD185" s="12" t="s">
        <v>243</v>
      </c>
      <c r="AE185" s="12" t="s">
        <v>243</v>
      </c>
      <c r="AF185" s="12" t="s">
        <v>243</v>
      </c>
      <c r="AG185" s="12" t="s">
        <v>243</v>
      </c>
      <c r="AH185" s="12" t="s">
        <v>243</v>
      </c>
      <c r="AI185" s="12" t="s">
        <v>243</v>
      </c>
      <c r="AJ185" s="12"/>
      <c r="AK185" s="12" t="s">
        <v>243</v>
      </c>
      <c r="AL185" s="12"/>
      <c r="AM185" s="12"/>
      <c r="AN185" s="12" t="s">
        <v>243</v>
      </c>
      <c r="AO185" s="12" t="s">
        <v>243</v>
      </c>
      <c r="AP185" s="12"/>
      <c r="AQ185" s="13"/>
      <c r="AR185" s="12" t="s">
        <v>243</v>
      </c>
      <c r="AS185" s="12" t="s">
        <v>243</v>
      </c>
      <c r="AT185" s="12" t="s">
        <v>243</v>
      </c>
      <c r="AU185" s="12" t="s">
        <v>243</v>
      </c>
      <c r="AV185" s="12" t="s">
        <v>243</v>
      </c>
      <c r="AW185" s="12" t="s">
        <v>243</v>
      </c>
      <c r="AX185" s="12" t="s">
        <v>243</v>
      </c>
      <c r="AY185" s="12" t="s">
        <v>243</v>
      </c>
      <c r="AZ185" s="12"/>
      <c r="BA185" s="12"/>
      <c r="BB185" s="12"/>
      <c r="BC185" s="12"/>
      <c r="BD185" s="12"/>
      <c r="BE185" s="38"/>
    </row>
    <row r="186" spans="1:85" s="13" customFormat="1" ht="16.5" customHeight="1" x14ac:dyDescent="0.25">
      <c r="A186" s="24">
        <f t="shared" si="5"/>
        <v>36</v>
      </c>
      <c r="B186" s="25">
        <v>52301</v>
      </c>
      <c r="C186" s="24" t="s">
        <v>1535</v>
      </c>
      <c r="D186" s="16"/>
      <c r="E186" s="16" t="s">
        <v>243</v>
      </c>
      <c r="F186" s="16" t="s">
        <v>243</v>
      </c>
      <c r="G186" s="16" t="s">
        <v>243</v>
      </c>
      <c r="H186" s="16" t="s">
        <v>243</v>
      </c>
      <c r="I186" s="16"/>
      <c r="J186" s="16"/>
      <c r="K186" s="16"/>
      <c r="L186" s="16"/>
      <c r="M186" s="16"/>
      <c r="N186" s="16"/>
      <c r="O186" s="16" t="s">
        <v>243</v>
      </c>
      <c r="P186" s="16" t="s">
        <v>243</v>
      </c>
      <c r="Q186" s="16" t="s">
        <v>243</v>
      </c>
      <c r="R186" s="16" t="s">
        <v>243</v>
      </c>
      <c r="S186" s="16" t="s">
        <v>243</v>
      </c>
      <c r="T186" s="16" t="s">
        <v>243</v>
      </c>
      <c r="U186" s="16" t="s">
        <v>243</v>
      </c>
      <c r="V186" s="16" t="s">
        <v>243</v>
      </c>
      <c r="W186" s="16" t="s">
        <v>243</v>
      </c>
      <c r="X186" s="16" t="s">
        <v>243</v>
      </c>
      <c r="Y186" s="16" t="s">
        <v>243</v>
      </c>
      <c r="Z186" s="16" t="s">
        <v>243</v>
      </c>
      <c r="AA186" s="16" t="s">
        <v>243</v>
      </c>
      <c r="AB186" s="16" t="s">
        <v>243</v>
      </c>
      <c r="AC186" s="16" t="s">
        <v>243</v>
      </c>
      <c r="AD186" s="16" t="s">
        <v>243</v>
      </c>
      <c r="AE186" s="16" t="s">
        <v>243</v>
      </c>
      <c r="AF186" s="16" t="s">
        <v>243</v>
      </c>
      <c r="AG186" s="16" t="s">
        <v>243</v>
      </c>
      <c r="AH186" s="16" t="s">
        <v>243</v>
      </c>
      <c r="AI186" s="16" t="s">
        <v>243</v>
      </c>
      <c r="AJ186" s="16"/>
      <c r="AK186" s="16" t="s">
        <v>243</v>
      </c>
      <c r="AL186" s="16"/>
      <c r="AM186" s="16"/>
      <c r="AN186" s="16" t="s">
        <v>243</v>
      </c>
      <c r="AO186" s="16" t="s">
        <v>243</v>
      </c>
      <c r="AP186" s="16"/>
      <c r="AQ186" s="17"/>
      <c r="AR186" s="16" t="s">
        <v>243</v>
      </c>
      <c r="AS186" s="16" t="s">
        <v>243</v>
      </c>
      <c r="AT186" s="16" t="s">
        <v>243</v>
      </c>
      <c r="AU186" s="16" t="s">
        <v>243</v>
      </c>
      <c r="AV186" s="16" t="s">
        <v>243</v>
      </c>
      <c r="AW186" s="16" t="s">
        <v>243</v>
      </c>
      <c r="AX186" s="16" t="s">
        <v>243</v>
      </c>
      <c r="AY186" s="16" t="s">
        <v>243</v>
      </c>
      <c r="AZ186" s="16"/>
      <c r="BA186" s="16"/>
      <c r="BB186" s="16"/>
      <c r="BC186" s="16"/>
      <c r="BD186" s="16"/>
      <c r="BE186" s="14"/>
      <c r="BF186" s="17"/>
      <c r="BG186" s="17"/>
      <c r="BH186" s="17"/>
      <c r="BI186" s="17"/>
      <c r="BJ186" s="17"/>
      <c r="BK186" s="17"/>
      <c r="BL186" s="17"/>
      <c r="BM186" s="17"/>
      <c r="BN186" s="17"/>
      <c r="BO186" s="17"/>
      <c r="BP186" s="17"/>
      <c r="BQ186" s="17"/>
      <c r="BR186" s="17"/>
      <c r="BS186" s="17"/>
      <c r="BT186" s="17"/>
      <c r="BU186" s="17"/>
      <c r="BV186" s="17"/>
      <c r="BW186" s="17"/>
      <c r="BX186" s="17"/>
      <c r="BY186" s="17"/>
      <c r="BZ186" s="17"/>
      <c r="CA186" s="17"/>
      <c r="CB186" s="17"/>
      <c r="CC186" s="17"/>
      <c r="CD186" s="17"/>
      <c r="CE186" s="17"/>
      <c r="CF186" s="17"/>
      <c r="CG186" s="17"/>
    </row>
    <row r="187" spans="1:85" ht="16.5" customHeight="1" x14ac:dyDescent="0.25">
      <c r="A187" s="24">
        <f t="shared" si="5"/>
        <v>36</v>
      </c>
      <c r="B187" s="27">
        <v>52400</v>
      </c>
      <c r="C187" s="28" t="s">
        <v>591</v>
      </c>
      <c r="D187" s="12"/>
      <c r="E187" s="12" t="s">
        <v>243</v>
      </c>
      <c r="F187" s="12" t="s">
        <v>243</v>
      </c>
      <c r="G187" s="12" t="s">
        <v>243</v>
      </c>
      <c r="H187" s="12" t="s">
        <v>243</v>
      </c>
      <c r="I187" s="12"/>
      <c r="J187" s="12"/>
      <c r="K187" s="12"/>
      <c r="L187" s="12"/>
      <c r="M187" s="12"/>
      <c r="N187" s="12"/>
      <c r="O187" s="12" t="s">
        <v>243</v>
      </c>
      <c r="P187" s="12" t="s">
        <v>243</v>
      </c>
      <c r="Q187" s="12" t="s">
        <v>243</v>
      </c>
      <c r="R187" s="12" t="s">
        <v>243</v>
      </c>
      <c r="S187" s="12" t="s">
        <v>243</v>
      </c>
      <c r="T187" s="12" t="s">
        <v>243</v>
      </c>
      <c r="U187" s="12" t="s">
        <v>243</v>
      </c>
      <c r="V187" s="12" t="s">
        <v>243</v>
      </c>
      <c r="W187" s="12" t="s">
        <v>243</v>
      </c>
      <c r="X187" s="12" t="s">
        <v>243</v>
      </c>
      <c r="Y187" s="12" t="s">
        <v>243</v>
      </c>
      <c r="Z187" s="12" t="s">
        <v>243</v>
      </c>
      <c r="AA187" s="12" t="s">
        <v>243</v>
      </c>
      <c r="AB187" s="12" t="s">
        <v>243</v>
      </c>
      <c r="AC187" s="12" t="s">
        <v>243</v>
      </c>
      <c r="AD187" s="12" t="s">
        <v>243</v>
      </c>
      <c r="AE187" s="12" t="s">
        <v>243</v>
      </c>
      <c r="AF187" s="12" t="s">
        <v>243</v>
      </c>
      <c r="AG187" s="12" t="s">
        <v>243</v>
      </c>
      <c r="AH187" s="12" t="s">
        <v>243</v>
      </c>
      <c r="AI187" s="12" t="s">
        <v>243</v>
      </c>
      <c r="AJ187" s="12"/>
      <c r="AK187" s="12" t="s">
        <v>243</v>
      </c>
      <c r="AL187" s="12"/>
      <c r="AM187" s="12"/>
      <c r="AN187" s="12" t="s">
        <v>243</v>
      </c>
      <c r="AO187" s="12" t="s">
        <v>243</v>
      </c>
      <c r="AP187" s="12"/>
      <c r="AQ187" s="13"/>
      <c r="AR187" s="12" t="s">
        <v>243</v>
      </c>
      <c r="AS187" s="12" t="s">
        <v>243</v>
      </c>
      <c r="AT187" s="12" t="s">
        <v>243</v>
      </c>
      <c r="AU187" s="12" t="s">
        <v>243</v>
      </c>
      <c r="AV187" s="12" t="s">
        <v>243</v>
      </c>
      <c r="AW187" s="12" t="s">
        <v>243</v>
      </c>
      <c r="AX187" s="12" t="s">
        <v>243</v>
      </c>
      <c r="AY187" s="12" t="s">
        <v>243</v>
      </c>
      <c r="AZ187" s="12"/>
      <c r="BA187" s="12"/>
      <c r="BB187" s="12"/>
      <c r="BC187" s="12"/>
      <c r="BD187" s="12"/>
      <c r="BE187" s="38"/>
    </row>
    <row r="188" spans="1:85" s="13" customFormat="1" ht="16.5" customHeight="1" x14ac:dyDescent="0.25">
      <c r="A188" s="24">
        <f t="shared" si="5"/>
        <v>36</v>
      </c>
      <c r="B188" s="25">
        <v>52401</v>
      </c>
      <c r="C188" s="24" t="s">
        <v>146</v>
      </c>
      <c r="D188" s="16"/>
      <c r="E188" s="16" t="s">
        <v>243</v>
      </c>
      <c r="F188" s="16" t="s">
        <v>243</v>
      </c>
      <c r="G188" s="16" t="s">
        <v>243</v>
      </c>
      <c r="H188" s="16" t="s">
        <v>243</v>
      </c>
      <c r="I188" s="16"/>
      <c r="J188" s="16"/>
      <c r="K188" s="16"/>
      <c r="L188" s="16"/>
      <c r="M188" s="16"/>
      <c r="N188" s="16"/>
      <c r="O188" s="16" t="s">
        <v>243</v>
      </c>
      <c r="P188" s="16" t="s">
        <v>243</v>
      </c>
      <c r="Q188" s="16" t="s">
        <v>243</v>
      </c>
      <c r="R188" s="16" t="s">
        <v>243</v>
      </c>
      <c r="S188" s="16" t="s">
        <v>243</v>
      </c>
      <c r="T188" s="16" t="s">
        <v>243</v>
      </c>
      <c r="U188" s="16" t="s">
        <v>243</v>
      </c>
      <c r="V188" s="16" t="s">
        <v>243</v>
      </c>
      <c r="W188" s="16" t="s">
        <v>243</v>
      </c>
      <c r="X188" s="16" t="s">
        <v>243</v>
      </c>
      <c r="Y188" s="16" t="s">
        <v>243</v>
      </c>
      <c r="Z188" s="16" t="s">
        <v>243</v>
      </c>
      <c r="AA188" s="16" t="s">
        <v>243</v>
      </c>
      <c r="AB188" s="16" t="s">
        <v>243</v>
      </c>
      <c r="AC188" s="16" t="s">
        <v>243</v>
      </c>
      <c r="AD188" s="16" t="s">
        <v>243</v>
      </c>
      <c r="AE188" s="16" t="s">
        <v>243</v>
      </c>
      <c r="AF188" s="16" t="s">
        <v>243</v>
      </c>
      <c r="AG188" s="16" t="s">
        <v>243</v>
      </c>
      <c r="AH188" s="16" t="s">
        <v>243</v>
      </c>
      <c r="AI188" s="16" t="s">
        <v>243</v>
      </c>
      <c r="AJ188" s="16"/>
      <c r="AK188" s="16" t="s">
        <v>243</v>
      </c>
      <c r="AL188" s="16"/>
      <c r="AM188" s="16"/>
      <c r="AN188" s="16" t="s">
        <v>243</v>
      </c>
      <c r="AO188" s="16" t="s">
        <v>243</v>
      </c>
      <c r="AP188" s="16"/>
      <c r="AQ188" s="17"/>
      <c r="AR188" s="16" t="s">
        <v>243</v>
      </c>
      <c r="AS188" s="16" t="s">
        <v>243</v>
      </c>
      <c r="AT188" s="16" t="s">
        <v>243</v>
      </c>
      <c r="AU188" s="16" t="s">
        <v>243</v>
      </c>
      <c r="AV188" s="16" t="s">
        <v>243</v>
      </c>
      <c r="AW188" s="16" t="s">
        <v>243</v>
      </c>
      <c r="AX188" s="16" t="s">
        <v>243</v>
      </c>
      <c r="AY188" s="16" t="s">
        <v>243</v>
      </c>
      <c r="AZ188" s="16"/>
      <c r="BA188" s="16"/>
      <c r="BB188" s="16"/>
      <c r="BC188" s="16"/>
      <c r="BD188" s="16"/>
      <c r="BE188" s="14"/>
      <c r="BF188" s="17"/>
      <c r="BG188" s="17"/>
      <c r="BH188" s="17"/>
      <c r="BI188" s="17"/>
      <c r="BJ188" s="17"/>
      <c r="BK188" s="17"/>
      <c r="BL188" s="17"/>
      <c r="BM188" s="17"/>
      <c r="BN188" s="17"/>
      <c r="BO188" s="17"/>
      <c r="BP188" s="17"/>
      <c r="BQ188" s="17"/>
      <c r="BR188" s="17"/>
      <c r="BS188" s="17"/>
      <c r="BT188" s="17"/>
      <c r="BU188" s="17"/>
      <c r="BV188" s="17"/>
      <c r="BW188" s="17"/>
      <c r="BX188" s="17"/>
      <c r="BY188" s="17"/>
      <c r="BZ188" s="17"/>
      <c r="CA188" s="17"/>
      <c r="CB188" s="17"/>
      <c r="CC188" s="17"/>
      <c r="CD188" s="17"/>
      <c r="CE188" s="17"/>
      <c r="CF188" s="17"/>
      <c r="CG188" s="17"/>
    </row>
    <row r="189" spans="1:85" ht="16.5" customHeight="1" thickBot="1" x14ac:dyDescent="0.3">
      <c r="A189" s="24">
        <f t="shared" si="5"/>
        <v>36</v>
      </c>
      <c r="B189" s="27">
        <v>52500</v>
      </c>
      <c r="C189" s="28" t="s">
        <v>594</v>
      </c>
      <c r="D189" s="12"/>
      <c r="E189" s="12" t="s">
        <v>243</v>
      </c>
      <c r="F189" s="12" t="s">
        <v>243</v>
      </c>
      <c r="G189" s="12" t="s">
        <v>243</v>
      </c>
      <c r="H189" s="12" t="s">
        <v>243</v>
      </c>
      <c r="I189" s="12"/>
      <c r="J189" s="12"/>
      <c r="K189" s="12"/>
      <c r="L189" s="12"/>
      <c r="M189" s="12"/>
      <c r="N189" s="12"/>
      <c r="O189" s="12" t="s">
        <v>243</v>
      </c>
      <c r="P189" s="12" t="s">
        <v>243</v>
      </c>
      <c r="Q189" s="12" t="s">
        <v>243</v>
      </c>
      <c r="R189" s="12" t="s">
        <v>243</v>
      </c>
      <c r="S189" s="12" t="s">
        <v>243</v>
      </c>
      <c r="T189" s="12" t="s">
        <v>243</v>
      </c>
      <c r="U189" s="12" t="s">
        <v>243</v>
      </c>
      <c r="V189" s="12" t="s">
        <v>243</v>
      </c>
      <c r="W189" s="12" t="s">
        <v>243</v>
      </c>
      <c r="X189" s="12" t="s">
        <v>243</v>
      </c>
      <c r="Y189" s="12" t="s">
        <v>243</v>
      </c>
      <c r="Z189" s="12" t="s">
        <v>243</v>
      </c>
      <c r="AA189" s="12" t="s">
        <v>243</v>
      </c>
      <c r="AB189" s="12" t="s">
        <v>243</v>
      </c>
      <c r="AC189" s="12" t="s">
        <v>243</v>
      </c>
      <c r="AD189" s="12" t="s">
        <v>243</v>
      </c>
      <c r="AE189" s="12" t="s">
        <v>243</v>
      </c>
      <c r="AF189" s="12" t="s">
        <v>243</v>
      </c>
      <c r="AG189" s="12" t="s">
        <v>243</v>
      </c>
      <c r="AH189" s="12" t="s">
        <v>243</v>
      </c>
      <c r="AI189" s="12" t="s">
        <v>243</v>
      </c>
      <c r="AJ189" s="12"/>
      <c r="AK189" s="12" t="s">
        <v>243</v>
      </c>
      <c r="AL189" s="12"/>
      <c r="AM189" s="12"/>
      <c r="AN189" s="12" t="s">
        <v>243</v>
      </c>
      <c r="AO189" s="12" t="s">
        <v>243</v>
      </c>
      <c r="AP189" s="12"/>
      <c r="AQ189" s="13"/>
      <c r="AR189" s="12" t="s">
        <v>243</v>
      </c>
      <c r="AS189" s="12" t="s">
        <v>243</v>
      </c>
      <c r="AT189" s="12" t="s">
        <v>243</v>
      </c>
      <c r="AU189" s="12" t="s">
        <v>243</v>
      </c>
      <c r="AV189" s="12" t="s">
        <v>243</v>
      </c>
      <c r="AW189" s="12" t="s">
        <v>243</v>
      </c>
      <c r="AX189" s="12" t="s">
        <v>243</v>
      </c>
      <c r="AY189" s="12" t="s">
        <v>243</v>
      </c>
      <c r="AZ189" s="12"/>
      <c r="BA189" s="12"/>
      <c r="BB189" s="12"/>
      <c r="BC189" s="12"/>
      <c r="BD189" s="12"/>
      <c r="BE189" s="38"/>
      <c r="BF189" s="31"/>
      <c r="BG189" s="31"/>
      <c r="BH189" s="31"/>
    </row>
    <row r="190" spans="1:85" s="13" customFormat="1" ht="16.5" customHeight="1" x14ac:dyDescent="0.25">
      <c r="A190" s="24">
        <f t="shared" si="5"/>
        <v>36</v>
      </c>
      <c r="B190" s="25">
        <v>52501</v>
      </c>
      <c r="C190" s="24" t="s">
        <v>596</v>
      </c>
      <c r="D190" s="16"/>
      <c r="E190" s="16" t="s">
        <v>243</v>
      </c>
      <c r="F190" s="16" t="s">
        <v>243</v>
      </c>
      <c r="G190" s="16" t="s">
        <v>243</v>
      </c>
      <c r="H190" s="16" t="s">
        <v>243</v>
      </c>
      <c r="I190" s="16"/>
      <c r="J190" s="16"/>
      <c r="K190" s="16"/>
      <c r="L190" s="16"/>
      <c r="M190" s="16"/>
      <c r="N190" s="16"/>
      <c r="O190" s="16" t="s">
        <v>243</v>
      </c>
      <c r="P190" s="16" t="s">
        <v>243</v>
      </c>
      <c r="Q190" s="16" t="s">
        <v>243</v>
      </c>
      <c r="R190" s="16" t="s">
        <v>243</v>
      </c>
      <c r="S190" s="16" t="s">
        <v>243</v>
      </c>
      <c r="T190" s="16" t="s">
        <v>243</v>
      </c>
      <c r="U190" s="16" t="s">
        <v>243</v>
      </c>
      <c r="V190" s="16" t="s">
        <v>243</v>
      </c>
      <c r="W190" s="16" t="s">
        <v>243</v>
      </c>
      <c r="X190" s="16" t="s">
        <v>243</v>
      </c>
      <c r="Y190" s="16" t="s">
        <v>243</v>
      </c>
      <c r="Z190" s="16" t="s">
        <v>243</v>
      </c>
      <c r="AA190" s="16" t="s">
        <v>243</v>
      </c>
      <c r="AB190" s="16" t="s">
        <v>243</v>
      </c>
      <c r="AC190" s="16" t="s">
        <v>243</v>
      </c>
      <c r="AD190" s="16" t="s">
        <v>243</v>
      </c>
      <c r="AE190" s="16" t="s">
        <v>243</v>
      </c>
      <c r="AF190" s="16" t="s">
        <v>243</v>
      </c>
      <c r="AG190" s="16" t="s">
        <v>243</v>
      </c>
      <c r="AH190" s="16" t="s">
        <v>243</v>
      </c>
      <c r="AI190" s="16" t="s">
        <v>243</v>
      </c>
      <c r="AJ190" s="16"/>
      <c r="AK190" s="16" t="s">
        <v>243</v>
      </c>
      <c r="AL190" s="16"/>
      <c r="AM190" s="16"/>
      <c r="AN190" s="16" t="s">
        <v>243</v>
      </c>
      <c r="AO190" s="16" t="s">
        <v>243</v>
      </c>
      <c r="AP190" s="16"/>
      <c r="AQ190" s="17"/>
      <c r="AR190" s="16" t="s">
        <v>243</v>
      </c>
      <c r="AS190" s="16" t="s">
        <v>243</v>
      </c>
      <c r="AT190" s="16" t="s">
        <v>243</v>
      </c>
      <c r="AU190" s="16" t="s">
        <v>243</v>
      </c>
      <c r="AV190" s="16" t="s">
        <v>243</v>
      </c>
      <c r="AW190" s="16" t="s">
        <v>243</v>
      </c>
      <c r="AX190" s="16" t="s">
        <v>243</v>
      </c>
      <c r="AY190" s="16" t="s">
        <v>243</v>
      </c>
      <c r="AZ190" s="16"/>
      <c r="BA190" s="16"/>
      <c r="BB190" s="16"/>
      <c r="BC190" s="16"/>
      <c r="BD190" s="16"/>
      <c r="BE190" s="14"/>
      <c r="BF190" s="17"/>
      <c r="BG190" s="17"/>
      <c r="BH190" s="17"/>
      <c r="BI190" s="17"/>
      <c r="BJ190" s="17"/>
      <c r="BK190" s="17"/>
      <c r="BL190" s="17"/>
      <c r="BM190" s="17"/>
      <c r="BN190" s="17"/>
      <c r="BO190" s="17"/>
      <c r="BP190" s="17"/>
      <c r="BQ190" s="17"/>
      <c r="BR190" s="17"/>
      <c r="BS190" s="17"/>
      <c r="BT190" s="17"/>
      <c r="BU190" s="17"/>
      <c r="BV190" s="17"/>
      <c r="BW190" s="17"/>
      <c r="BX190" s="17"/>
      <c r="BY190" s="17"/>
      <c r="BZ190" s="17"/>
      <c r="CA190" s="17"/>
      <c r="CB190" s="17"/>
      <c r="CC190" s="17"/>
      <c r="CD190" s="17"/>
      <c r="CE190" s="17"/>
      <c r="CF190" s="17"/>
      <c r="CG190" s="17"/>
    </row>
    <row r="191" spans="1:85" ht="16.5" customHeight="1" x14ac:dyDescent="0.25">
      <c r="A191" s="24">
        <f t="shared" si="5"/>
        <v>36</v>
      </c>
      <c r="B191" s="27">
        <v>52502</v>
      </c>
      <c r="C191" s="28" t="s">
        <v>293</v>
      </c>
      <c r="D191" s="12"/>
      <c r="E191" s="12" t="s">
        <v>243</v>
      </c>
      <c r="F191" s="12" t="s">
        <v>243</v>
      </c>
      <c r="G191" s="12" t="s">
        <v>243</v>
      </c>
      <c r="H191" s="12" t="s">
        <v>243</v>
      </c>
      <c r="I191" s="12"/>
      <c r="J191" s="12"/>
      <c r="K191" s="12"/>
      <c r="L191" s="12"/>
      <c r="M191" s="12"/>
      <c r="N191" s="12"/>
      <c r="O191" s="12" t="s">
        <v>243</v>
      </c>
      <c r="P191" s="12" t="s">
        <v>243</v>
      </c>
      <c r="Q191" s="12" t="s">
        <v>243</v>
      </c>
      <c r="R191" s="12" t="s">
        <v>243</v>
      </c>
      <c r="S191" s="12" t="s">
        <v>243</v>
      </c>
      <c r="T191" s="12" t="s">
        <v>243</v>
      </c>
      <c r="U191" s="12" t="s">
        <v>243</v>
      </c>
      <c r="V191" s="12" t="s">
        <v>243</v>
      </c>
      <c r="W191" s="12" t="s">
        <v>243</v>
      </c>
      <c r="X191" s="12" t="s">
        <v>243</v>
      </c>
      <c r="Y191" s="12" t="s">
        <v>243</v>
      </c>
      <c r="Z191" s="12" t="s">
        <v>243</v>
      </c>
      <c r="AA191" s="12" t="s">
        <v>243</v>
      </c>
      <c r="AB191" s="12" t="s">
        <v>243</v>
      </c>
      <c r="AC191" s="12" t="s">
        <v>243</v>
      </c>
      <c r="AD191" s="12" t="s">
        <v>243</v>
      </c>
      <c r="AE191" s="12" t="s">
        <v>243</v>
      </c>
      <c r="AF191" s="12" t="s">
        <v>243</v>
      </c>
      <c r="AG191" s="12" t="s">
        <v>243</v>
      </c>
      <c r="AH191" s="12" t="s">
        <v>243</v>
      </c>
      <c r="AI191" s="12" t="s">
        <v>243</v>
      </c>
      <c r="AJ191" s="12"/>
      <c r="AK191" s="12" t="s">
        <v>243</v>
      </c>
      <c r="AL191" s="12"/>
      <c r="AM191" s="12"/>
      <c r="AN191" s="12" t="s">
        <v>243</v>
      </c>
      <c r="AO191" s="12" t="s">
        <v>243</v>
      </c>
      <c r="AP191" s="12"/>
      <c r="AQ191" s="13"/>
      <c r="AR191" s="12" t="s">
        <v>243</v>
      </c>
      <c r="AS191" s="12" t="s">
        <v>243</v>
      </c>
      <c r="AT191" s="12" t="s">
        <v>243</v>
      </c>
      <c r="AU191" s="12" t="s">
        <v>243</v>
      </c>
      <c r="AV191" s="12" t="s">
        <v>243</v>
      </c>
      <c r="AW191" s="12" t="s">
        <v>243</v>
      </c>
      <c r="AX191" s="12" t="s">
        <v>243</v>
      </c>
      <c r="AY191" s="12" t="s">
        <v>243</v>
      </c>
      <c r="AZ191" s="12"/>
      <c r="BA191" s="12"/>
      <c r="BB191" s="12"/>
      <c r="BC191" s="12"/>
      <c r="BD191" s="12"/>
      <c r="BE191" s="38"/>
    </row>
    <row r="192" spans="1:85" s="13" customFormat="1" ht="16.5" customHeight="1" x14ac:dyDescent="0.25">
      <c r="A192" s="24">
        <f t="shared" si="5"/>
        <v>36</v>
      </c>
      <c r="B192" s="25">
        <v>52503</v>
      </c>
      <c r="C192" s="24" t="s">
        <v>599</v>
      </c>
      <c r="D192" s="16"/>
      <c r="E192" s="16" t="s">
        <v>243</v>
      </c>
      <c r="F192" s="16" t="s">
        <v>243</v>
      </c>
      <c r="G192" s="16" t="s">
        <v>243</v>
      </c>
      <c r="H192" s="16" t="s">
        <v>243</v>
      </c>
      <c r="I192" s="16"/>
      <c r="J192" s="16"/>
      <c r="K192" s="16"/>
      <c r="L192" s="16"/>
      <c r="M192" s="16"/>
      <c r="N192" s="16"/>
      <c r="O192" s="16" t="s">
        <v>243</v>
      </c>
      <c r="P192" s="16" t="s">
        <v>243</v>
      </c>
      <c r="Q192" s="16" t="s">
        <v>243</v>
      </c>
      <c r="R192" s="16" t="s">
        <v>243</v>
      </c>
      <c r="S192" s="16" t="s">
        <v>243</v>
      </c>
      <c r="T192" s="16" t="s">
        <v>243</v>
      </c>
      <c r="U192" s="16" t="s">
        <v>243</v>
      </c>
      <c r="V192" s="16" t="s">
        <v>243</v>
      </c>
      <c r="W192" s="16" t="s">
        <v>243</v>
      </c>
      <c r="X192" s="16" t="s">
        <v>243</v>
      </c>
      <c r="Y192" s="16" t="s">
        <v>243</v>
      </c>
      <c r="Z192" s="16" t="s">
        <v>243</v>
      </c>
      <c r="AA192" s="16" t="s">
        <v>243</v>
      </c>
      <c r="AB192" s="16" t="s">
        <v>243</v>
      </c>
      <c r="AC192" s="16" t="s">
        <v>243</v>
      </c>
      <c r="AD192" s="16" t="s">
        <v>243</v>
      </c>
      <c r="AE192" s="16" t="s">
        <v>243</v>
      </c>
      <c r="AF192" s="16" t="s">
        <v>243</v>
      </c>
      <c r="AG192" s="16" t="s">
        <v>243</v>
      </c>
      <c r="AH192" s="16" t="s">
        <v>243</v>
      </c>
      <c r="AI192" s="16" t="s">
        <v>243</v>
      </c>
      <c r="AJ192" s="16"/>
      <c r="AK192" s="16" t="s">
        <v>243</v>
      </c>
      <c r="AL192" s="16"/>
      <c r="AM192" s="16"/>
      <c r="AN192" s="16" t="s">
        <v>243</v>
      </c>
      <c r="AO192" s="16" t="s">
        <v>243</v>
      </c>
      <c r="AP192" s="16"/>
      <c r="AQ192" s="17"/>
      <c r="AR192" s="16" t="s">
        <v>243</v>
      </c>
      <c r="AS192" s="16" t="s">
        <v>243</v>
      </c>
      <c r="AT192" s="16" t="s">
        <v>243</v>
      </c>
      <c r="AU192" s="16" t="s">
        <v>243</v>
      </c>
      <c r="AV192" s="16" t="s">
        <v>243</v>
      </c>
      <c r="AW192" s="16" t="s">
        <v>243</v>
      </c>
      <c r="AX192" s="16" t="s">
        <v>243</v>
      </c>
      <c r="AY192" s="16" t="s">
        <v>243</v>
      </c>
      <c r="AZ192" s="16"/>
      <c r="BA192" s="16"/>
      <c r="BB192" s="16"/>
      <c r="BC192" s="16"/>
      <c r="BD192" s="16"/>
      <c r="BE192" s="14"/>
      <c r="BF192" s="17"/>
      <c r="BG192" s="17"/>
      <c r="BH192" s="17"/>
      <c r="BI192" s="17"/>
      <c r="BJ192" s="17"/>
      <c r="BK192" s="17"/>
      <c r="BL192" s="17"/>
      <c r="BM192" s="17"/>
      <c r="BN192" s="17"/>
      <c r="BO192" s="17"/>
      <c r="BP192" s="17"/>
      <c r="BQ192" s="17"/>
      <c r="BR192" s="17"/>
      <c r="BS192" s="17"/>
      <c r="BT192" s="17"/>
      <c r="BU192" s="17"/>
      <c r="BV192" s="17"/>
      <c r="BW192" s="17"/>
      <c r="BX192" s="17"/>
      <c r="BY192" s="17"/>
      <c r="BZ192" s="17"/>
      <c r="CA192" s="17"/>
      <c r="CB192" s="17"/>
      <c r="CC192" s="17"/>
      <c r="CD192" s="17"/>
      <c r="CE192" s="17"/>
      <c r="CF192" s="17"/>
      <c r="CG192" s="17"/>
    </row>
    <row r="193" spans="1:85" ht="16.5" customHeight="1" x14ac:dyDescent="0.25">
      <c r="A193" s="24" t="e">
        <f>COUNTIF(#REF!,"Y")</f>
        <v>#REF!</v>
      </c>
      <c r="B193" s="27">
        <v>52504</v>
      </c>
      <c r="C193" s="28" t="s">
        <v>601</v>
      </c>
      <c r="D193" s="12"/>
      <c r="E193" s="12" t="s">
        <v>243</v>
      </c>
      <c r="F193" s="12" t="s">
        <v>243</v>
      </c>
      <c r="G193" s="12" t="s">
        <v>243</v>
      </c>
      <c r="H193" s="12" t="s">
        <v>243</v>
      </c>
      <c r="I193" s="12"/>
      <c r="J193" s="12"/>
      <c r="K193" s="12"/>
      <c r="L193" s="12"/>
      <c r="M193" s="12"/>
      <c r="N193" s="12"/>
      <c r="O193" s="12" t="s">
        <v>243</v>
      </c>
      <c r="P193" s="12" t="s">
        <v>243</v>
      </c>
      <c r="Q193" s="12" t="s">
        <v>243</v>
      </c>
      <c r="R193" s="12" t="s">
        <v>243</v>
      </c>
      <c r="S193" s="12" t="s">
        <v>243</v>
      </c>
      <c r="T193" s="12" t="s">
        <v>243</v>
      </c>
      <c r="U193" s="12" t="s">
        <v>243</v>
      </c>
      <c r="V193" s="12" t="s">
        <v>243</v>
      </c>
      <c r="W193" s="12" t="s">
        <v>243</v>
      </c>
      <c r="X193" s="12" t="s">
        <v>243</v>
      </c>
      <c r="Y193" s="12" t="s">
        <v>243</v>
      </c>
      <c r="Z193" s="12" t="s">
        <v>243</v>
      </c>
      <c r="AA193" s="12" t="s">
        <v>243</v>
      </c>
      <c r="AB193" s="12" t="s">
        <v>243</v>
      </c>
      <c r="AC193" s="12" t="s">
        <v>243</v>
      </c>
      <c r="AD193" s="12" t="s">
        <v>243</v>
      </c>
      <c r="AE193" s="12" t="s">
        <v>243</v>
      </c>
      <c r="AF193" s="12" t="s">
        <v>243</v>
      </c>
      <c r="AG193" s="12" t="s">
        <v>243</v>
      </c>
      <c r="AH193" s="12" t="s">
        <v>243</v>
      </c>
      <c r="AI193" s="12" t="s">
        <v>243</v>
      </c>
      <c r="AJ193" s="12"/>
      <c r="AK193" s="12" t="s">
        <v>243</v>
      </c>
      <c r="AL193" s="12"/>
      <c r="AM193" s="12"/>
      <c r="AN193" s="12" t="s">
        <v>243</v>
      </c>
      <c r="AO193" s="12" t="s">
        <v>243</v>
      </c>
      <c r="AP193" s="12"/>
      <c r="AQ193" s="13"/>
      <c r="AR193" s="12" t="s">
        <v>243</v>
      </c>
      <c r="AS193" s="12" t="s">
        <v>243</v>
      </c>
      <c r="AT193" s="12" t="s">
        <v>243</v>
      </c>
      <c r="AU193" s="12" t="s">
        <v>243</v>
      </c>
      <c r="AV193" s="12" t="s">
        <v>243</v>
      </c>
      <c r="AW193" s="12" t="s">
        <v>243</v>
      </c>
      <c r="AX193" s="12" t="s">
        <v>243</v>
      </c>
      <c r="AY193" s="12" t="s">
        <v>243</v>
      </c>
      <c r="AZ193" s="12"/>
      <c r="BA193" s="12"/>
      <c r="BB193" s="12"/>
      <c r="BC193" s="12"/>
      <c r="BD193" s="12"/>
      <c r="BE193" s="38"/>
    </row>
    <row r="194" spans="1:85" s="13" customFormat="1" ht="13.5" customHeight="1" x14ac:dyDescent="0.25">
      <c r="A194" s="24" t="e">
        <f>COUNTIF(#REF!,"Y")</f>
        <v>#REF!</v>
      </c>
      <c r="B194" s="25">
        <v>52505</v>
      </c>
      <c r="C194" s="24" t="s">
        <v>230</v>
      </c>
      <c r="D194" s="16"/>
      <c r="E194" s="16" t="s">
        <v>243</v>
      </c>
      <c r="F194" s="16" t="s">
        <v>243</v>
      </c>
      <c r="G194" s="16" t="s">
        <v>243</v>
      </c>
      <c r="H194" s="16" t="s">
        <v>243</v>
      </c>
      <c r="I194" s="16"/>
      <c r="J194" s="16"/>
      <c r="K194" s="16"/>
      <c r="L194" s="16"/>
      <c r="M194" s="16"/>
      <c r="N194" s="16"/>
      <c r="O194" s="16" t="s">
        <v>243</v>
      </c>
      <c r="P194" s="16" t="s">
        <v>243</v>
      </c>
      <c r="Q194" s="16" t="s">
        <v>243</v>
      </c>
      <c r="R194" s="16" t="s">
        <v>243</v>
      </c>
      <c r="S194" s="16" t="s">
        <v>243</v>
      </c>
      <c r="T194" s="16" t="s">
        <v>243</v>
      </c>
      <c r="U194" s="16" t="s">
        <v>243</v>
      </c>
      <c r="V194" s="16" t="s">
        <v>243</v>
      </c>
      <c r="W194" s="16" t="s">
        <v>243</v>
      </c>
      <c r="X194" s="16" t="s">
        <v>243</v>
      </c>
      <c r="Y194" s="16" t="s">
        <v>243</v>
      </c>
      <c r="Z194" s="16" t="s">
        <v>243</v>
      </c>
      <c r="AA194" s="16" t="s">
        <v>243</v>
      </c>
      <c r="AB194" s="16" t="s">
        <v>243</v>
      </c>
      <c r="AC194" s="16" t="s">
        <v>243</v>
      </c>
      <c r="AD194" s="16" t="s">
        <v>243</v>
      </c>
      <c r="AE194" s="16" t="s">
        <v>243</v>
      </c>
      <c r="AF194" s="16" t="s">
        <v>243</v>
      </c>
      <c r="AG194" s="16" t="s">
        <v>243</v>
      </c>
      <c r="AH194" s="16" t="s">
        <v>243</v>
      </c>
      <c r="AI194" s="16" t="s">
        <v>243</v>
      </c>
      <c r="AJ194" s="16"/>
      <c r="AK194" s="16" t="s">
        <v>243</v>
      </c>
      <c r="AL194" s="16"/>
      <c r="AM194" s="16"/>
      <c r="AN194" s="16" t="s">
        <v>243</v>
      </c>
      <c r="AO194" s="16" t="s">
        <v>243</v>
      </c>
      <c r="AP194" s="16"/>
      <c r="AQ194" s="17"/>
      <c r="AR194" s="16" t="s">
        <v>243</v>
      </c>
      <c r="AS194" s="16" t="s">
        <v>243</v>
      </c>
      <c r="AT194" s="16" t="s">
        <v>243</v>
      </c>
      <c r="AU194" s="16" t="s">
        <v>243</v>
      </c>
      <c r="AV194" s="16" t="s">
        <v>243</v>
      </c>
      <c r="AW194" s="16" t="s">
        <v>243</v>
      </c>
      <c r="AX194" s="16" t="s">
        <v>243</v>
      </c>
      <c r="AY194" s="16" t="s">
        <v>243</v>
      </c>
      <c r="AZ194" s="16"/>
      <c r="BA194" s="16"/>
      <c r="BB194" s="16"/>
      <c r="BC194" s="16"/>
      <c r="BD194" s="16"/>
      <c r="BE194" s="14"/>
      <c r="BF194" s="17"/>
      <c r="BG194" s="17"/>
      <c r="BH194" s="17"/>
      <c r="BI194" s="17"/>
      <c r="BJ194" s="17"/>
      <c r="BK194" s="17"/>
      <c r="BL194" s="17"/>
      <c r="BM194" s="17"/>
      <c r="BN194" s="17"/>
      <c r="BO194" s="17"/>
      <c r="BP194" s="17"/>
      <c r="BQ194" s="17"/>
      <c r="BR194" s="17"/>
      <c r="BS194" s="17"/>
      <c r="BT194" s="17"/>
      <c r="BU194" s="17"/>
      <c r="BV194" s="17"/>
      <c r="BW194" s="17"/>
      <c r="BX194" s="17"/>
      <c r="BY194" s="17"/>
      <c r="BZ194" s="17"/>
      <c r="CA194" s="17"/>
      <c r="CB194" s="17"/>
      <c r="CC194" s="17"/>
      <c r="CD194" s="17"/>
      <c r="CE194" s="17"/>
      <c r="CF194" s="17"/>
      <c r="CG194" s="17"/>
    </row>
    <row r="195" spans="1:85" s="13" customFormat="1" ht="16.5" customHeight="1" x14ac:dyDescent="0.25">
      <c r="A195" s="24" t="e">
        <f>COUNTIF(#REF!,"Y")</f>
        <v>#REF!</v>
      </c>
      <c r="B195" s="27">
        <v>52510</v>
      </c>
      <c r="C195" s="28" t="s">
        <v>229</v>
      </c>
      <c r="D195" s="12"/>
      <c r="E195" s="12" t="s">
        <v>243</v>
      </c>
      <c r="F195" s="12" t="s">
        <v>243</v>
      </c>
      <c r="G195" s="12" t="s">
        <v>243</v>
      </c>
      <c r="H195" s="12" t="s">
        <v>243</v>
      </c>
      <c r="I195" s="12"/>
      <c r="J195" s="12"/>
      <c r="K195" s="12"/>
      <c r="L195" s="12"/>
      <c r="M195" s="12"/>
      <c r="N195" s="12"/>
      <c r="O195" s="12" t="s">
        <v>243</v>
      </c>
      <c r="P195" s="12" t="s">
        <v>243</v>
      </c>
      <c r="Q195" s="12" t="s">
        <v>243</v>
      </c>
      <c r="R195" s="12" t="s">
        <v>243</v>
      </c>
      <c r="S195" s="12" t="s">
        <v>243</v>
      </c>
      <c r="T195" s="12" t="s">
        <v>243</v>
      </c>
      <c r="U195" s="12" t="s">
        <v>243</v>
      </c>
      <c r="V195" s="12" t="s">
        <v>243</v>
      </c>
      <c r="W195" s="12" t="s">
        <v>243</v>
      </c>
      <c r="X195" s="12" t="s">
        <v>243</v>
      </c>
      <c r="Y195" s="12" t="s">
        <v>243</v>
      </c>
      <c r="Z195" s="12" t="s">
        <v>243</v>
      </c>
      <c r="AA195" s="12" t="s">
        <v>243</v>
      </c>
      <c r="AB195" s="12" t="s">
        <v>243</v>
      </c>
      <c r="AC195" s="12" t="s">
        <v>243</v>
      </c>
      <c r="AD195" s="12" t="s">
        <v>243</v>
      </c>
      <c r="AE195" s="12" t="s">
        <v>243</v>
      </c>
      <c r="AF195" s="12" t="s">
        <v>243</v>
      </c>
      <c r="AG195" s="12" t="s">
        <v>243</v>
      </c>
      <c r="AH195" s="12" t="s">
        <v>243</v>
      </c>
      <c r="AI195" s="12" t="s">
        <v>243</v>
      </c>
      <c r="AJ195" s="12"/>
      <c r="AK195" s="12" t="s">
        <v>243</v>
      </c>
      <c r="AL195" s="12"/>
      <c r="AM195" s="12"/>
      <c r="AN195" s="12" t="s">
        <v>243</v>
      </c>
      <c r="AO195" s="12" t="s">
        <v>243</v>
      </c>
      <c r="AP195" s="12"/>
      <c r="AR195" s="12" t="s">
        <v>243</v>
      </c>
      <c r="AS195" s="12" t="s">
        <v>243</v>
      </c>
      <c r="AT195" s="12" t="s">
        <v>243</v>
      </c>
      <c r="AU195" s="12" t="s">
        <v>243</v>
      </c>
      <c r="AV195" s="12" t="s">
        <v>243</v>
      </c>
      <c r="AW195" s="12" t="s">
        <v>243</v>
      </c>
      <c r="AX195" s="12" t="s">
        <v>243</v>
      </c>
      <c r="AY195" s="12" t="s">
        <v>243</v>
      </c>
      <c r="AZ195" s="12"/>
      <c r="BA195" s="12"/>
      <c r="BB195" s="12"/>
      <c r="BC195" s="12"/>
      <c r="BD195" s="12"/>
      <c r="BE195" s="14"/>
      <c r="BF195" s="17"/>
      <c r="BG195" s="17"/>
      <c r="BH195" s="17"/>
      <c r="BI195" s="17"/>
      <c r="BJ195" s="17"/>
      <c r="BK195" s="17"/>
      <c r="BL195" s="17"/>
      <c r="BM195" s="17"/>
      <c r="BN195" s="17"/>
      <c r="BO195" s="17"/>
      <c r="BP195" s="17"/>
      <c r="BQ195" s="17"/>
      <c r="BR195" s="17"/>
      <c r="BS195" s="17"/>
      <c r="BT195" s="17"/>
      <c r="BU195" s="17"/>
      <c r="BV195" s="17"/>
      <c r="BW195" s="17"/>
      <c r="BX195" s="17"/>
      <c r="BY195" s="17"/>
      <c r="BZ195" s="17"/>
      <c r="CA195" s="17"/>
      <c r="CB195" s="17"/>
      <c r="CC195" s="17"/>
      <c r="CD195" s="17"/>
      <c r="CE195" s="17"/>
      <c r="CF195" s="17"/>
      <c r="CG195" s="17"/>
    </row>
    <row r="196" spans="1:85" ht="16.5" customHeight="1" x14ac:dyDescent="0.25">
      <c r="A196" s="24" t="e">
        <f>COUNTIF(#REF!,"Y")</f>
        <v>#REF!</v>
      </c>
      <c r="B196" s="25">
        <v>52520</v>
      </c>
      <c r="C196" s="24" t="s">
        <v>1536</v>
      </c>
      <c r="E196" s="16" t="s">
        <v>243</v>
      </c>
      <c r="F196" s="16" t="s">
        <v>243</v>
      </c>
      <c r="G196" s="16" t="s">
        <v>243</v>
      </c>
      <c r="H196" s="16" t="s">
        <v>243</v>
      </c>
      <c r="O196" s="16" t="s">
        <v>243</v>
      </c>
      <c r="P196" s="16" t="s">
        <v>243</v>
      </c>
      <c r="Q196" s="16" t="s">
        <v>243</v>
      </c>
      <c r="R196" s="16" t="s">
        <v>243</v>
      </c>
      <c r="S196" s="16" t="s">
        <v>243</v>
      </c>
      <c r="T196" s="16" t="s">
        <v>243</v>
      </c>
      <c r="U196" s="16" t="s">
        <v>243</v>
      </c>
      <c r="V196" s="16" t="s">
        <v>243</v>
      </c>
      <c r="W196" s="16" t="s">
        <v>243</v>
      </c>
      <c r="X196" s="16" t="s">
        <v>243</v>
      </c>
      <c r="Y196" s="16" t="s">
        <v>243</v>
      </c>
      <c r="Z196" s="16" t="s">
        <v>243</v>
      </c>
      <c r="AA196" s="16" t="s">
        <v>243</v>
      </c>
      <c r="AB196" s="16" t="s">
        <v>243</v>
      </c>
      <c r="AC196" s="16" t="s">
        <v>243</v>
      </c>
      <c r="AD196" s="16" t="s">
        <v>243</v>
      </c>
      <c r="AE196" s="16" t="s">
        <v>243</v>
      </c>
      <c r="AF196" s="16" t="s">
        <v>243</v>
      </c>
      <c r="AG196" s="16" t="s">
        <v>243</v>
      </c>
      <c r="AH196" s="16" t="s">
        <v>243</v>
      </c>
      <c r="AI196" s="16" t="s">
        <v>243</v>
      </c>
      <c r="AK196" s="16" t="s">
        <v>243</v>
      </c>
      <c r="AN196" s="16" t="s">
        <v>243</v>
      </c>
      <c r="AO196" s="16" t="s">
        <v>243</v>
      </c>
      <c r="AQ196" s="17"/>
      <c r="AR196" s="16" t="s">
        <v>243</v>
      </c>
      <c r="AS196" s="16" t="s">
        <v>243</v>
      </c>
      <c r="AT196" s="16" t="s">
        <v>243</v>
      </c>
      <c r="AU196" s="16" t="s">
        <v>243</v>
      </c>
      <c r="AV196" s="16" t="s">
        <v>243</v>
      </c>
      <c r="AW196" s="16" t="s">
        <v>243</v>
      </c>
      <c r="AX196" s="16" t="s">
        <v>243</v>
      </c>
      <c r="AY196" s="16" t="s">
        <v>243</v>
      </c>
      <c r="BB196" s="16"/>
      <c r="BC196" s="16"/>
      <c r="BD196" s="16"/>
      <c r="BE196" s="38"/>
    </row>
    <row r="197" spans="1:85" s="13" customFormat="1" ht="16.5" customHeight="1" x14ac:dyDescent="0.25">
      <c r="A197" s="24" t="e">
        <f>COUNTIF(#REF!,"Y")</f>
        <v>#REF!</v>
      </c>
      <c r="B197" s="27">
        <v>55100</v>
      </c>
      <c r="C197" s="28" t="s">
        <v>1537</v>
      </c>
      <c r="D197" s="12"/>
      <c r="E197" s="12" t="s">
        <v>243</v>
      </c>
      <c r="F197" s="12" t="s">
        <v>243</v>
      </c>
      <c r="G197" s="12" t="s">
        <v>243</v>
      </c>
      <c r="H197" s="12" t="s">
        <v>243</v>
      </c>
      <c r="I197" s="12"/>
      <c r="J197" s="12"/>
      <c r="K197" s="12"/>
      <c r="L197" s="12"/>
      <c r="M197" s="12"/>
      <c r="N197" s="12"/>
      <c r="O197" s="12" t="s">
        <v>243</v>
      </c>
      <c r="P197" s="12" t="s">
        <v>243</v>
      </c>
      <c r="Q197" s="12" t="s">
        <v>243</v>
      </c>
      <c r="R197" s="12" t="s">
        <v>243</v>
      </c>
      <c r="S197" s="12" t="s">
        <v>243</v>
      </c>
      <c r="T197" s="12" t="s">
        <v>243</v>
      </c>
      <c r="U197" s="12" t="s">
        <v>243</v>
      </c>
      <c r="V197" s="12" t="s">
        <v>243</v>
      </c>
      <c r="W197" s="12" t="s">
        <v>243</v>
      </c>
      <c r="X197" s="12" t="s">
        <v>243</v>
      </c>
      <c r="Y197" s="12" t="s">
        <v>243</v>
      </c>
      <c r="Z197" s="12" t="s">
        <v>243</v>
      </c>
      <c r="AA197" s="12" t="s">
        <v>243</v>
      </c>
      <c r="AB197" s="12" t="s">
        <v>243</v>
      </c>
      <c r="AC197" s="12" t="s">
        <v>243</v>
      </c>
      <c r="AD197" s="12" t="s">
        <v>243</v>
      </c>
      <c r="AE197" s="12" t="s">
        <v>243</v>
      </c>
      <c r="AF197" s="12" t="s">
        <v>243</v>
      </c>
      <c r="AG197" s="12" t="s">
        <v>243</v>
      </c>
      <c r="AH197" s="12" t="s">
        <v>243</v>
      </c>
      <c r="AI197" s="12" t="s">
        <v>243</v>
      </c>
      <c r="AJ197" s="12"/>
      <c r="AK197" s="12" t="s">
        <v>243</v>
      </c>
      <c r="AL197" s="12"/>
      <c r="AM197" s="12"/>
      <c r="AN197" s="12" t="s">
        <v>243</v>
      </c>
      <c r="AO197" s="12" t="s">
        <v>243</v>
      </c>
      <c r="AP197" s="12"/>
      <c r="AR197" s="12" t="s">
        <v>243</v>
      </c>
      <c r="AS197" s="12" t="s">
        <v>243</v>
      </c>
      <c r="AT197" s="12" t="s">
        <v>243</v>
      </c>
      <c r="AU197" s="12" t="s">
        <v>243</v>
      </c>
      <c r="AV197" s="12" t="s">
        <v>243</v>
      </c>
      <c r="AW197" s="12" t="s">
        <v>243</v>
      </c>
      <c r="AX197" s="12" t="s">
        <v>243</v>
      </c>
      <c r="AY197" s="12" t="s">
        <v>243</v>
      </c>
      <c r="AZ197" s="12"/>
      <c r="BA197" s="12"/>
      <c r="BB197" s="12"/>
      <c r="BC197" s="12"/>
      <c r="BD197" s="12"/>
      <c r="BE197" s="14"/>
      <c r="BF197" s="17"/>
      <c r="BG197" s="17"/>
      <c r="BH197" s="17"/>
      <c r="BI197" s="17"/>
      <c r="BJ197" s="17"/>
      <c r="BK197" s="17"/>
      <c r="BL197" s="17"/>
      <c r="BM197" s="17"/>
      <c r="BN197" s="17"/>
      <c r="BO197" s="17"/>
      <c r="BP197" s="17"/>
      <c r="BQ197" s="17"/>
      <c r="BR197" s="17"/>
      <c r="BS197" s="17"/>
      <c r="BT197" s="17"/>
      <c r="BU197" s="17"/>
      <c r="BV197" s="17"/>
      <c r="BW197" s="17"/>
      <c r="BX197" s="17"/>
      <c r="BY197" s="17"/>
      <c r="BZ197" s="17"/>
      <c r="CA197" s="17"/>
      <c r="CB197" s="17"/>
      <c r="CC197" s="17"/>
      <c r="CD197" s="17"/>
      <c r="CE197" s="17"/>
      <c r="CF197" s="17"/>
      <c r="CG197" s="17"/>
    </row>
    <row r="198" spans="1:85" ht="16.5" customHeight="1" x14ac:dyDescent="0.25">
      <c r="A198" s="24">
        <f t="shared" ref="A198:A206" si="6">COUNTIF(D203:BE203,"Y")</f>
        <v>1</v>
      </c>
      <c r="B198" s="27">
        <v>60100</v>
      </c>
      <c r="C198" s="28" t="s">
        <v>148</v>
      </c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3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3"/>
      <c r="AR198" s="12"/>
      <c r="AS198" s="12"/>
      <c r="AT198" s="12"/>
      <c r="AU198" s="12"/>
      <c r="AV198" s="12"/>
      <c r="AW198" s="12"/>
      <c r="AX198" s="12" t="s">
        <v>243</v>
      </c>
      <c r="AY198" s="12"/>
      <c r="AZ198" s="12"/>
      <c r="BA198" s="12"/>
      <c r="BB198" s="12"/>
      <c r="BC198" s="12"/>
      <c r="BD198" s="12"/>
      <c r="BE198" s="38"/>
    </row>
    <row r="199" spans="1:85" s="13" customFormat="1" ht="16.5" customHeight="1" x14ac:dyDescent="0.25">
      <c r="A199" s="24">
        <f t="shared" si="6"/>
        <v>1</v>
      </c>
      <c r="B199" s="25">
        <v>60105</v>
      </c>
      <c r="C199" s="24" t="s">
        <v>613</v>
      </c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 t="s">
        <v>243</v>
      </c>
      <c r="AF199" s="17"/>
      <c r="AG199" s="16"/>
      <c r="AH199" s="16"/>
      <c r="AI199" s="16"/>
      <c r="AJ199" s="16"/>
      <c r="AK199" s="16"/>
      <c r="AL199" s="16"/>
      <c r="AM199" s="16"/>
      <c r="AN199" s="16"/>
      <c r="AO199" s="16"/>
      <c r="AP199" s="16"/>
      <c r="AQ199" s="17"/>
      <c r="AR199" s="16"/>
      <c r="AS199" s="16"/>
      <c r="AT199" s="16"/>
      <c r="AU199" s="16"/>
      <c r="AV199" s="16"/>
      <c r="AW199" s="16"/>
      <c r="AX199" s="16"/>
      <c r="AY199" s="16"/>
      <c r="AZ199" s="16"/>
      <c r="BA199" s="16"/>
      <c r="BB199" s="16"/>
      <c r="BC199" s="16"/>
      <c r="BD199" s="16"/>
      <c r="BE199" s="14"/>
      <c r="BF199" s="17"/>
      <c r="BG199" s="17"/>
      <c r="BH199" s="17"/>
      <c r="BI199" s="17"/>
      <c r="BJ199" s="17"/>
      <c r="BK199" s="17"/>
      <c r="BL199" s="17"/>
      <c r="BM199" s="17"/>
      <c r="BN199" s="17"/>
      <c r="BO199" s="17"/>
      <c r="BP199" s="17"/>
      <c r="BQ199" s="17"/>
      <c r="BR199" s="17"/>
      <c r="BS199" s="17"/>
      <c r="BT199" s="17"/>
      <c r="BU199" s="17"/>
      <c r="BV199" s="17"/>
      <c r="BW199" s="17"/>
      <c r="BX199" s="17"/>
      <c r="BY199" s="17"/>
      <c r="BZ199" s="17"/>
      <c r="CA199" s="17"/>
      <c r="CB199" s="17"/>
      <c r="CC199" s="17"/>
      <c r="CD199" s="17"/>
      <c r="CE199" s="17"/>
      <c r="CF199" s="17"/>
      <c r="CG199" s="17"/>
    </row>
    <row r="200" spans="1:85" ht="16.5" customHeight="1" x14ac:dyDescent="0.25">
      <c r="A200" s="24">
        <f t="shared" si="6"/>
        <v>1</v>
      </c>
      <c r="B200" s="27">
        <v>60110</v>
      </c>
      <c r="C200" s="28" t="s">
        <v>149</v>
      </c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 t="s">
        <v>243</v>
      </c>
      <c r="AF200" s="13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3"/>
      <c r="AR200" s="12"/>
      <c r="AS200" s="12"/>
      <c r="AT200" s="12"/>
      <c r="AU200" s="12"/>
      <c r="AV200" s="12"/>
      <c r="AW200" s="12"/>
      <c r="AX200" s="12"/>
      <c r="AY200" s="12"/>
      <c r="AZ200" s="12"/>
      <c r="BA200" s="12"/>
      <c r="BB200" s="12"/>
      <c r="BC200" s="12"/>
      <c r="BD200" s="12"/>
      <c r="BE200" s="38"/>
    </row>
    <row r="201" spans="1:85" s="13" customFormat="1" ht="16.5" customHeight="1" x14ac:dyDescent="0.25">
      <c r="A201" s="24">
        <f t="shared" si="6"/>
        <v>1</v>
      </c>
      <c r="B201" s="25">
        <v>60115</v>
      </c>
      <c r="C201" s="24" t="s">
        <v>150</v>
      </c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7"/>
      <c r="AG201" s="16"/>
      <c r="AH201" s="16"/>
      <c r="AI201" s="16"/>
      <c r="AJ201" s="16"/>
      <c r="AK201" s="16"/>
      <c r="AL201" s="16"/>
      <c r="AM201" s="16"/>
      <c r="AN201" s="16"/>
      <c r="AO201" s="16"/>
      <c r="AP201" s="16"/>
      <c r="AQ201" s="17"/>
      <c r="AR201" s="16"/>
      <c r="AS201" s="16" t="s">
        <v>243</v>
      </c>
      <c r="AT201" s="16"/>
      <c r="AU201" s="16"/>
      <c r="AV201" s="16"/>
      <c r="AW201" s="16"/>
      <c r="AX201" s="16"/>
      <c r="AY201" s="16"/>
      <c r="AZ201" s="16"/>
      <c r="BA201" s="16"/>
      <c r="BB201" s="16"/>
      <c r="BC201" s="16"/>
      <c r="BD201" s="16"/>
      <c r="BE201" s="14"/>
      <c r="BF201" s="17"/>
      <c r="BG201" s="17"/>
      <c r="BH201" s="17"/>
      <c r="BI201" s="17"/>
      <c r="BJ201" s="17"/>
      <c r="BK201" s="17"/>
      <c r="BL201" s="17"/>
      <c r="BM201" s="17"/>
      <c r="BN201" s="17"/>
      <c r="BO201" s="17"/>
      <c r="BP201" s="17"/>
      <c r="BQ201" s="17"/>
      <c r="BR201" s="17"/>
      <c r="BS201" s="17"/>
      <c r="BT201" s="17"/>
      <c r="BU201" s="17"/>
      <c r="BV201" s="17"/>
      <c r="BW201" s="17"/>
      <c r="BX201" s="17"/>
      <c r="BY201" s="17"/>
      <c r="BZ201" s="17"/>
      <c r="CA201" s="17"/>
      <c r="CB201" s="17"/>
      <c r="CC201" s="17"/>
      <c r="CD201" s="17"/>
      <c r="CE201" s="17"/>
      <c r="CF201" s="17"/>
      <c r="CG201" s="17"/>
    </row>
    <row r="202" spans="1:85" ht="16.5" customHeight="1" x14ac:dyDescent="0.25">
      <c r="A202" s="24">
        <f t="shared" si="6"/>
        <v>1</v>
      </c>
      <c r="B202" s="27">
        <v>60120</v>
      </c>
      <c r="C202" s="28" t="s">
        <v>151</v>
      </c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3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3"/>
      <c r="AR202" s="12"/>
      <c r="AS202" s="12" t="s">
        <v>243</v>
      </c>
      <c r="AT202" s="12"/>
      <c r="AU202" s="12"/>
      <c r="AV202" s="12"/>
      <c r="AW202" s="12"/>
      <c r="AX202" s="12"/>
      <c r="AY202" s="12"/>
      <c r="AZ202" s="12"/>
      <c r="BA202" s="12"/>
      <c r="BB202" s="12"/>
      <c r="BC202" s="12"/>
      <c r="BD202" s="12"/>
      <c r="BE202" s="38"/>
    </row>
    <row r="203" spans="1:85" s="13" customFormat="1" ht="16.5" customHeight="1" x14ac:dyDescent="0.25">
      <c r="A203" s="24">
        <f t="shared" si="6"/>
        <v>13</v>
      </c>
      <c r="B203" s="25">
        <v>60125</v>
      </c>
      <c r="C203" s="24" t="s">
        <v>152</v>
      </c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 t="s">
        <v>243</v>
      </c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7"/>
      <c r="AG203" s="16"/>
      <c r="AH203" s="16"/>
      <c r="AI203" s="16"/>
      <c r="AJ203" s="16"/>
      <c r="AK203" s="16"/>
      <c r="AL203" s="16"/>
      <c r="AM203" s="16"/>
      <c r="AN203" s="16"/>
      <c r="AO203" s="16"/>
      <c r="AP203" s="16"/>
      <c r="AQ203" s="17"/>
      <c r="AR203" s="16"/>
      <c r="AS203" s="16"/>
      <c r="AT203" s="16"/>
      <c r="AU203" s="16"/>
      <c r="AV203" s="16"/>
      <c r="AW203" s="16"/>
      <c r="AX203" s="16"/>
      <c r="AY203" s="16"/>
      <c r="AZ203" s="16"/>
      <c r="BA203" s="16"/>
      <c r="BB203" s="16"/>
      <c r="BC203" s="16"/>
      <c r="BD203" s="16"/>
      <c r="BE203" s="14"/>
      <c r="BF203" s="17"/>
      <c r="BG203" s="17"/>
      <c r="BH203" s="17"/>
      <c r="BI203" s="17"/>
      <c r="BJ203" s="17"/>
      <c r="BK203" s="17"/>
      <c r="BL203" s="17"/>
      <c r="BM203" s="17"/>
      <c r="BN203" s="17"/>
      <c r="BO203" s="17"/>
      <c r="BP203" s="17"/>
      <c r="BQ203" s="17"/>
      <c r="BR203" s="17"/>
      <c r="BS203" s="17"/>
      <c r="BT203" s="17"/>
      <c r="BU203" s="17"/>
      <c r="BV203" s="17"/>
      <c r="BW203" s="17"/>
      <c r="BX203" s="17"/>
      <c r="BY203" s="17"/>
      <c r="BZ203" s="17"/>
      <c r="CA203" s="17"/>
      <c r="CB203" s="17"/>
      <c r="CC203" s="17"/>
      <c r="CD203" s="17"/>
      <c r="CE203" s="17"/>
      <c r="CF203" s="17"/>
      <c r="CG203" s="17"/>
    </row>
    <row r="204" spans="1:85" ht="16.5" customHeight="1" x14ac:dyDescent="0.25">
      <c r="A204" s="24">
        <f t="shared" si="6"/>
        <v>8</v>
      </c>
      <c r="B204" s="27">
        <v>60130</v>
      </c>
      <c r="C204" s="28" t="s">
        <v>153</v>
      </c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3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3"/>
      <c r="AR204" s="12"/>
      <c r="AS204" s="12"/>
      <c r="AT204" s="12"/>
      <c r="AU204" s="12"/>
      <c r="AV204" s="12"/>
      <c r="AW204" s="12"/>
      <c r="AX204" s="12"/>
      <c r="AY204" s="12" t="s">
        <v>243</v>
      </c>
      <c r="AZ204" s="12"/>
      <c r="BA204" s="12"/>
      <c r="BB204" s="12"/>
      <c r="BC204" s="12"/>
      <c r="BD204" s="12"/>
      <c r="BE204" s="38"/>
    </row>
    <row r="205" spans="1:85" s="13" customFormat="1" ht="16.5" customHeight="1" x14ac:dyDescent="0.25">
      <c r="A205" s="24">
        <f t="shared" si="6"/>
        <v>0</v>
      </c>
      <c r="B205" s="25">
        <v>60135</v>
      </c>
      <c r="C205" s="24" t="s">
        <v>1538</v>
      </c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7"/>
      <c r="AG205" s="16"/>
      <c r="AH205" s="16"/>
      <c r="AI205" s="16"/>
      <c r="AJ205" s="16"/>
      <c r="AK205" s="16"/>
      <c r="AL205" s="16"/>
      <c r="AM205" s="16"/>
      <c r="AN205" s="16"/>
      <c r="AO205" s="16"/>
      <c r="AP205" s="16"/>
      <c r="AQ205" s="17"/>
      <c r="AR205" s="16"/>
      <c r="AS205" s="16" t="s">
        <v>243</v>
      </c>
      <c r="AT205" s="16"/>
      <c r="AU205" s="16"/>
      <c r="AV205" s="16"/>
      <c r="AW205" s="16"/>
      <c r="AX205" s="16"/>
      <c r="AY205" s="16"/>
      <c r="AZ205" s="16"/>
      <c r="BA205" s="16"/>
      <c r="BB205" s="16"/>
      <c r="BC205" s="16"/>
      <c r="BD205" s="16"/>
      <c r="BE205" s="14"/>
      <c r="BF205" s="17"/>
      <c r="BG205" s="17"/>
      <c r="BH205" s="17"/>
      <c r="BI205" s="17"/>
      <c r="BJ205" s="17"/>
      <c r="BK205" s="17"/>
      <c r="BL205" s="17"/>
      <c r="BM205" s="17"/>
      <c r="BN205" s="17"/>
      <c r="BO205" s="17"/>
      <c r="BP205" s="17"/>
      <c r="BQ205" s="17"/>
      <c r="BR205" s="17"/>
      <c r="BS205" s="17"/>
      <c r="BT205" s="17"/>
      <c r="BU205" s="17"/>
      <c r="BV205" s="17"/>
      <c r="BW205" s="17"/>
      <c r="BX205" s="17"/>
      <c r="BY205" s="17"/>
      <c r="BZ205" s="17"/>
      <c r="CA205" s="17"/>
      <c r="CB205" s="17"/>
      <c r="CC205" s="17"/>
      <c r="CD205" s="17"/>
      <c r="CE205" s="17"/>
      <c r="CF205" s="17"/>
      <c r="CG205" s="17"/>
    </row>
    <row r="206" spans="1:85" ht="16.5" customHeight="1" x14ac:dyDescent="0.25">
      <c r="A206" s="24">
        <f t="shared" si="6"/>
        <v>1</v>
      </c>
      <c r="B206" s="27">
        <v>60140</v>
      </c>
      <c r="C206" s="28" t="s">
        <v>20</v>
      </c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3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13"/>
      <c r="AR206" s="12"/>
      <c r="AS206" s="12" t="s">
        <v>243</v>
      </c>
      <c r="AT206" s="12"/>
      <c r="AU206" s="12"/>
      <c r="AV206" s="12"/>
      <c r="AW206" s="12"/>
      <c r="AX206" s="12"/>
      <c r="AY206" s="12"/>
      <c r="AZ206" s="12"/>
      <c r="BA206" s="12"/>
      <c r="BB206" s="12"/>
      <c r="BC206" s="12"/>
      <c r="BD206" s="12"/>
      <c r="BE206" s="38"/>
    </row>
    <row r="207" spans="1:85" s="13" customFormat="1" ht="16.5" customHeight="1" x14ac:dyDescent="0.25">
      <c r="A207" s="24" t="e">
        <f>COUNTIF(#REF!,"Y")</f>
        <v>#REF!</v>
      </c>
      <c r="B207" s="25">
        <v>60145</v>
      </c>
      <c r="C207" s="24" t="s">
        <v>623</v>
      </c>
      <c r="D207" s="43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 t="s">
        <v>243</v>
      </c>
      <c r="BA207" s="17"/>
      <c r="BB207" s="17"/>
      <c r="BC207" s="17"/>
      <c r="BD207" s="17"/>
      <c r="BE207" s="14"/>
      <c r="BF207" s="17"/>
      <c r="BG207" s="17"/>
      <c r="BH207" s="17"/>
      <c r="BI207" s="17"/>
      <c r="BJ207" s="17"/>
      <c r="BK207" s="17"/>
      <c r="BL207" s="17"/>
      <c r="BM207" s="17"/>
      <c r="BN207" s="17"/>
      <c r="BO207" s="17"/>
      <c r="BP207" s="17"/>
      <c r="BQ207" s="17"/>
      <c r="BR207" s="17"/>
      <c r="BS207" s="17"/>
      <c r="BT207" s="17"/>
      <c r="BU207" s="17"/>
      <c r="BV207" s="17"/>
      <c r="BW207" s="17"/>
      <c r="BX207" s="17"/>
      <c r="BY207" s="17"/>
      <c r="BZ207" s="17"/>
      <c r="CA207" s="17"/>
      <c r="CB207" s="17"/>
      <c r="CC207" s="17"/>
      <c r="CD207" s="17"/>
      <c r="CE207" s="17"/>
      <c r="CF207" s="17"/>
      <c r="CG207" s="17"/>
    </row>
    <row r="208" spans="1:85" ht="16.5" customHeight="1" x14ac:dyDescent="0.25">
      <c r="A208" s="24">
        <f>COUNTIF(D212:BE212,"Y")</f>
        <v>1</v>
      </c>
      <c r="B208" s="27">
        <v>60150</v>
      </c>
      <c r="C208" s="28" t="s">
        <v>155</v>
      </c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 t="s">
        <v>243</v>
      </c>
      <c r="S208" s="12" t="s">
        <v>243</v>
      </c>
      <c r="T208" s="12" t="s">
        <v>243</v>
      </c>
      <c r="U208" s="12" t="s">
        <v>243</v>
      </c>
      <c r="V208" s="12" t="s">
        <v>243</v>
      </c>
      <c r="W208" s="12" t="s">
        <v>243</v>
      </c>
      <c r="X208" s="12" t="s">
        <v>243</v>
      </c>
      <c r="Y208" s="12" t="s">
        <v>243</v>
      </c>
      <c r="Z208" s="12" t="s">
        <v>243</v>
      </c>
      <c r="AA208" s="12" t="s">
        <v>243</v>
      </c>
      <c r="AB208" s="12" t="s">
        <v>243</v>
      </c>
      <c r="AC208" s="12" t="s">
        <v>243</v>
      </c>
      <c r="AD208" s="12" t="s">
        <v>243</v>
      </c>
      <c r="AE208" s="12"/>
      <c r="AF208" s="13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3"/>
      <c r="AR208" s="12"/>
      <c r="AS208" s="12"/>
      <c r="AT208" s="12"/>
      <c r="AU208" s="12"/>
      <c r="AV208" s="12"/>
      <c r="AW208" s="12"/>
      <c r="AX208" s="12"/>
      <c r="AY208" s="12"/>
      <c r="AZ208" s="12"/>
      <c r="BA208" s="12"/>
      <c r="BB208" s="12"/>
      <c r="BC208" s="12"/>
      <c r="BD208" s="12"/>
      <c r="BE208" s="38"/>
    </row>
    <row r="209" spans="1:85" ht="16.5" customHeight="1" x14ac:dyDescent="0.25">
      <c r="A209" s="24">
        <f>COUNTIF(D213:BE213,"Y")</f>
        <v>1</v>
      </c>
      <c r="B209" s="25">
        <v>60155</v>
      </c>
      <c r="C209" s="24" t="s">
        <v>108</v>
      </c>
      <c r="D209" s="16" t="s">
        <v>243</v>
      </c>
      <c r="Q209" s="16" t="s">
        <v>243</v>
      </c>
      <c r="AE209" s="16" t="s">
        <v>243</v>
      </c>
      <c r="AF209" s="17"/>
      <c r="AH209" s="16" t="s">
        <v>243</v>
      </c>
      <c r="AI209" s="16" t="s">
        <v>243</v>
      </c>
      <c r="AK209" s="16" t="s">
        <v>243</v>
      </c>
      <c r="AN209" s="16" t="s">
        <v>243</v>
      </c>
      <c r="AO209" s="16" t="s">
        <v>243</v>
      </c>
      <c r="AQ209" s="17"/>
      <c r="BB209" s="16"/>
      <c r="BC209" s="16"/>
      <c r="BD209" s="16"/>
      <c r="BE209" s="38"/>
    </row>
    <row r="210" spans="1:85" s="13" customFormat="1" ht="16.5" customHeight="1" x14ac:dyDescent="0.25">
      <c r="A210" s="24">
        <f>COUNTIF(D214:BE214,"Y")</f>
        <v>1</v>
      </c>
      <c r="B210" s="27">
        <v>60160</v>
      </c>
      <c r="C210" s="28" t="s">
        <v>627</v>
      </c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R210" s="12"/>
      <c r="AS210" s="12"/>
      <c r="AT210" s="12"/>
      <c r="AU210" s="12"/>
      <c r="AV210" s="12"/>
      <c r="AW210" s="12"/>
      <c r="AX210" s="12"/>
      <c r="AY210" s="12"/>
      <c r="AZ210" s="12"/>
      <c r="BA210" s="12"/>
      <c r="BB210" s="12"/>
      <c r="BC210" s="12"/>
      <c r="BD210" s="12"/>
      <c r="BE210" s="14"/>
      <c r="BF210" s="17"/>
      <c r="BG210" s="17"/>
      <c r="BH210" s="17"/>
      <c r="BI210" s="17"/>
      <c r="BJ210" s="17"/>
      <c r="BK210" s="17"/>
      <c r="BL210" s="17"/>
      <c r="BM210" s="17"/>
      <c r="BN210" s="17"/>
      <c r="BO210" s="17"/>
      <c r="BP210" s="17"/>
      <c r="BQ210" s="17"/>
      <c r="BR210" s="17"/>
      <c r="BS210" s="17"/>
      <c r="BT210" s="17"/>
      <c r="BU210" s="17"/>
      <c r="BV210" s="17"/>
      <c r="BW210" s="17"/>
      <c r="BX210" s="17"/>
      <c r="BY210" s="17"/>
      <c r="BZ210" s="17"/>
      <c r="CA210" s="17"/>
      <c r="CB210" s="17"/>
      <c r="CC210" s="17"/>
      <c r="CD210" s="17"/>
      <c r="CE210" s="17"/>
      <c r="CF210" s="17"/>
      <c r="CG210" s="17"/>
    </row>
    <row r="211" spans="1:85" ht="16.5" customHeight="1" x14ac:dyDescent="0.25">
      <c r="A211" s="24">
        <f>COUNTIF(D215:BE215,"Y")</f>
        <v>11</v>
      </c>
      <c r="B211" s="25">
        <v>60165</v>
      </c>
      <c r="C211" s="24" t="s">
        <v>156</v>
      </c>
      <c r="AF211" s="17"/>
      <c r="AK211" s="16"/>
      <c r="AQ211" s="17"/>
      <c r="AX211" s="16" t="s">
        <v>243</v>
      </c>
      <c r="BB211" s="16"/>
      <c r="BC211" s="16"/>
      <c r="BD211" s="16"/>
      <c r="BE211" s="38"/>
    </row>
    <row r="212" spans="1:85" s="13" customFormat="1" ht="16.5" customHeight="1" x14ac:dyDescent="0.25">
      <c r="A212" s="24">
        <f t="shared" ref="A212:A232" si="7">COUNTIF(D217:BE217,"Y")</f>
        <v>16</v>
      </c>
      <c r="B212" s="25">
        <v>60170</v>
      </c>
      <c r="C212" s="24" t="s">
        <v>1539</v>
      </c>
      <c r="D212" s="16" t="s">
        <v>243</v>
      </c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7"/>
      <c r="AG212" s="16"/>
      <c r="AH212" s="16"/>
      <c r="AI212" s="16"/>
      <c r="AJ212" s="16"/>
      <c r="AK212" s="16"/>
      <c r="AL212" s="16"/>
      <c r="AM212" s="16"/>
      <c r="AN212" s="16"/>
      <c r="AO212" s="16"/>
      <c r="AP212" s="16"/>
      <c r="AQ212" s="17"/>
      <c r="AR212" s="16"/>
      <c r="AS212" s="16"/>
      <c r="AT212" s="16"/>
      <c r="AU212" s="16"/>
      <c r="AV212" s="16"/>
      <c r="AW212" s="16"/>
      <c r="AX212" s="16"/>
      <c r="AY212" s="16"/>
      <c r="AZ212" s="16"/>
      <c r="BA212" s="16"/>
      <c r="BB212" s="16"/>
      <c r="BC212" s="16"/>
      <c r="BD212" s="16"/>
      <c r="BE212" s="14"/>
      <c r="BF212" s="17"/>
      <c r="BG212" s="17"/>
      <c r="BH212" s="17"/>
      <c r="BI212" s="17"/>
      <c r="BJ212" s="17"/>
      <c r="BK212" s="17"/>
      <c r="BL212" s="17"/>
      <c r="BM212" s="17"/>
      <c r="BN212" s="17"/>
      <c r="BO212" s="17"/>
      <c r="BP212" s="17"/>
      <c r="BQ212" s="17"/>
      <c r="BR212" s="17"/>
      <c r="BS212" s="17"/>
      <c r="BT212" s="17"/>
      <c r="BU212" s="17"/>
      <c r="BV212" s="17"/>
      <c r="BW212" s="17"/>
      <c r="BX212" s="17"/>
      <c r="BY212" s="17"/>
      <c r="BZ212" s="17"/>
      <c r="CA212" s="17"/>
      <c r="CB212" s="17"/>
      <c r="CC212" s="17"/>
      <c r="CD212" s="17"/>
      <c r="CE212" s="17"/>
      <c r="CF212" s="17"/>
      <c r="CG212" s="17"/>
    </row>
    <row r="213" spans="1:85" ht="16.5" customHeight="1" x14ac:dyDescent="0.25">
      <c r="A213" s="24">
        <f t="shared" si="7"/>
        <v>1</v>
      </c>
      <c r="B213" s="27">
        <v>60175</v>
      </c>
      <c r="C213" s="28" t="s">
        <v>634</v>
      </c>
      <c r="D213" s="12" t="s">
        <v>243</v>
      </c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3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3"/>
      <c r="AR213" s="12"/>
      <c r="AS213" s="12"/>
      <c r="AT213" s="12"/>
      <c r="AU213" s="12"/>
      <c r="AV213" s="12"/>
      <c r="AW213" s="12"/>
      <c r="AX213" s="12"/>
      <c r="AY213" s="12"/>
      <c r="AZ213" s="12"/>
      <c r="BA213" s="12"/>
      <c r="BB213" s="12"/>
      <c r="BC213" s="12"/>
      <c r="BD213" s="12"/>
      <c r="BE213" s="38"/>
    </row>
    <row r="214" spans="1:85" s="13" customFormat="1" ht="16.5" customHeight="1" x14ac:dyDescent="0.25">
      <c r="A214" s="24">
        <f t="shared" si="7"/>
        <v>1</v>
      </c>
      <c r="B214" s="25">
        <v>60180</v>
      </c>
      <c r="C214" s="24" t="s">
        <v>636</v>
      </c>
      <c r="D214" s="16" t="s">
        <v>243</v>
      </c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7"/>
      <c r="AG214" s="16"/>
      <c r="AH214" s="16"/>
      <c r="AI214" s="16"/>
      <c r="AJ214" s="16"/>
      <c r="AK214" s="16"/>
      <c r="AL214" s="16"/>
      <c r="AM214" s="16"/>
      <c r="AN214" s="16"/>
      <c r="AO214" s="16"/>
      <c r="AP214" s="16"/>
      <c r="AQ214" s="17"/>
      <c r="AR214" s="16"/>
      <c r="AS214" s="16"/>
      <c r="AT214" s="16"/>
      <c r="AU214" s="16"/>
      <c r="AV214" s="16"/>
      <c r="AW214" s="16"/>
      <c r="AX214" s="16"/>
      <c r="AY214" s="16"/>
      <c r="AZ214" s="16"/>
      <c r="BA214" s="16"/>
      <c r="BB214" s="16"/>
      <c r="BC214" s="16"/>
      <c r="BD214" s="16"/>
      <c r="BE214" s="14"/>
      <c r="BF214" s="17"/>
      <c r="BG214" s="17"/>
      <c r="BH214" s="17"/>
      <c r="BI214" s="17"/>
      <c r="BJ214" s="17"/>
      <c r="BK214" s="17"/>
      <c r="BL214" s="17"/>
      <c r="BM214" s="17"/>
      <c r="BN214" s="17"/>
      <c r="BO214" s="17"/>
      <c r="BP214" s="17"/>
      <c r="BQ214" s="17"/>
      <c r="BR214" s="17"/>
      <c r="BS214" s="17"/>
      <c r="BT214" s="17"/>
      <c r="BU214" s="17"/>
      <c r="BV214" s="17"/>
      <c r="BW214" s="17"/>
      <c r="BX214" s="17"/>
      <c r="BY214" s="17"/>
      <c r="BZ214" s="17"/>
      <c r="CA214" s="17"/>
      <c r="CB214" s="17"/>
      <c r="CC214" s="17"/>
      <c r="CD214" s="17"/>
      <c r="CE214" s="17"/>
      <c r="CF214" s="17"/>
      <c r="CG214" s="17"/>
    </row>
    <row r="215" spans="1:85" ht="16.5" customHeight="1" x14ac:dyDescent="0.25">
      <c r="A215" s="24">
        <f t="shared" si="7"/>
        <v>33</v>
      </c>
      <c r="B215" s="27">
        <v>60185</v>
      </c>
      <c r="C215" s="28" t="s">
        <v>1540</v>
      </c>
      <c r="D215" s="12" t="s">
        <v>243</v>
      </c>
      <c r="E215" s="12"/>
      <c r="F215" s="12"/>
      <c r="G215" s="12"/>
      <c r="H215" s="12"/>
      <c r="I215" s="12"/>
      <c r="J215" s="12"/>
      <c r="K215" s="12"/>
      <c r="L215" s="12"/>
      <c r="M215" s="12"/>
      <c r="N215" s="12" t="s">
        <v>243</v>
      </c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 t="s">
        <v>243</v>
      </c>
      <c r="AF215" s="13"/>
      <c r="AG215" s="12"/>
      <c r="AH215" s="12" t="s">
        <v>243</v>
      </c>
      <c r="AI215" s="12" t="s">
        <v>243</v>
      </c>
      <c r="AJ215" s="12"/>
      <c r="AK215" s="12" t="s">
        <v>243</v>
      </c>
      <c r="AL215" s="12"/>
      <c r="AM215" s="12"/>
      <c r="AN215" s="12"/>
      <c r="AO215" s="12"/>
      <c r="AP215" s="12"/>
      <c r="AQ215" s="13"/>
      <c r="AR215" s="12" t="s">
        <v>243</v>
      </c>
      <c r="AS215" s="12" t="s">
        <v>243</v>
      </c>
      <c r="AT215" s="12"/>
      <c r="AU215" s="12" t="s">
        <v>243</v>
      </c>
      <c r="AV215" s="12" t="s">
        <v>243</v>
      </c>
      <c r="AW215" s="12"/>
      <c r="AX215" s="12" t="s">
        <v>243</v>
      </c>
      <c r="AY215" s="12"/>
      <c r="AZ215" s="12"/>
      <c r="BA215" s="12"/>
      <c r="BB215" s="12"/>
      <c r="BC215" s="12"/>
      <c r="BD215" s="12"/>
      <c r="BE215" s="38"/>
    </row>
    <row r="216" spans="1:85" s="13" customFormat="1" ht="16.5" customHeight="1" x14ac:dyDescent="0.25">
      <c r="A216" s="24">
        <f t="shared" si="7"/>
        <v>1</v>
      </c>
      <c r="B216" s="25">
        <v>60190</v>
      </c>
      <c r="C216" s="24" t="s">
        <v>640</v>
      </c>
      <c r="D216" s="16" t="s">
        <v>243</v>
      </c>
      <c r="E216" s="16"/>
      <c r="F216" s="16"/>
      <c r="G216" s="16"/>
      <c r="H216" s="16"/>
      <c r="I216" s="16"/>
      <c r="J216" s="16"/>
      <c r="K216" s="16"/>
      <c r="L216" s="16"/>
      <c r="M216" s="16"/>
      <c r="N216" s="16" t="s">
        <v>243</v>
      </c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 t="s">
        <v>243</v>
      </c>
      <c r="AF216" s="17"/>
      <c r="AG216" s="16"/>
      <c r="AH216" s="16" t="s">
        <v>243</v>
      </c>
      <c r="AI216" s="16" t="s">
        <v>243</v>
      </c>
      <c r="AJ216" s="16"/>
      <c r="AK216" s="16" t="s">
        <v>243</v>
      </c>
      <c r="AL216" s="16"/>
      <c r="AM216" s="16"/>
      <c r="AN216" s="16" t="s">
        <v>243</v>
      </c>
      <c r="AO216" s="16" t="s">
        <v>243</v>
      </c>
      <c r="AP216" s="16"/>
      <c r="AQ216" s="17"/>
      <c r="AR216" s="16" t="s">
        <v>243</v>
      </c>
      <c r="AS216" s="16" t="s">
        <v>243</v>
      </c>
      <c r="AT216" s="16" t="s">
        <v>243</v>
      </c>
      <c r="AU216" s="16" t="s">
        <v>243</v>
      </c>
      <c r="AV216" s="16" t="s">
        <v>243</v>
      </c>
      <c r="AW216" s="16" t="s">
        <v>243</v>
      </c>
      <c r="AX216" s="16" t="s">
        <v>243</v>
      </c>
      <c r="AY216" s="16" t="s">
        <v>243</v>
      </c>
      <c r="AZ216" s="16"/>
      <c r="BA216" s="16"/>
      <c r="BB216" s="16"/>
      <c r="BC216" s="16"/>
      <c r="BD216" s="16"/>
      <c r="BE216" s="14"/>
      <c r="BF216" s="17"/>
      <c r="BG216" s="17"/>
      <c r="BH216" s="17"/>
      <c r="BI216" s="17"/>
      <c r="BJ216" s="17"/>
      <c r="BK216" s="17"/>
      <c r="BL216" s="17"/>
      <c r="BM216" s="17"/>
      <c r="BN216" s="17"/>
      <c r="BO216" s="17"/>
      <c r="BP216" s="17"/>
      <c r="BQ216" s="17"/>
      <c r="BR216" s="17"/>
      <c r="BS216" s="17"/>
      <c r="BT216" s="17"/>
      <c r="BU216" s="17"/>
      <c r="BV216" s="17"/>
      <c r="BW216" s="17"/>
      <c r="BX216" s="17"/>
      <c r="BY216" s="17"/>
      <c r="BZ216" s="17"/>
      <c r="CA216" s="17"/>
      <c r="CB216" s="17"/>
      <c r="CC216" s="17"/>
      <c r="CD216" s="17"/>
      <c r="CE216" s="17"/>
      <c r="CF216" s="17"/>
      <c r="CG216" s="17"/>
    </row>
    <row r="217" spans="1:85" ht="16.5" customHeight="1" x14ac:dyDescent="0.25">
      <c r="A217" s="24">
        <f t="shared" si="7"/>
        <v>2</v>
      </c>
      <c r="B217" s="27">
        <v>60195</v>
      </c>
      <c r="C217" s="28" t="s">
        <v>642</v>
      </c>
      <c r="D217" s="12" t="s">
        <v>243</v>
      </c>
      <c r="E217" s="12"/>
      <c r="F217" s="12"/>
      <c r="G217" s="12"/>
      <c r="H217" s="12"/>
      <c r="I217" s="12"/>
      <c r="J217" s="12"/>
      <c r="K217" s="12"/>
      <c r="L217" s="12"/>
      <c r="M217" s="12"/>
      <c r="N217" s="12" t="s">
        <v>243</v>
      </c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 t="s">
        <v>243</v>
      </c>
      <c r="AF217" s="13"/>
      <c r="AG217" s="12"/>
      <c r="AH217" s="12" t="s">
        <v>243</v>
      </c>
      <c r="AI217" s="12" t="s">
        <v>243</v>
      </c>
      <c r="AJ217" s="12"/>
      <c r="AK217" s="12" t="s">
        <v>243</v>
      </c>
      <c r="AL217" s="12"/>
      <c r="AM217" s="12"/>
      <c r="AN217" s="12" t="s">
        <v>243</v>
      </c>
      <c r="AO217" s="12" t="s">
        <v>243</v>
      </c>
      <c r="AP217" s="12"/>
      <c r="AQ217" s="13"/>
      <c r="AR217" s="12" t="s">
        <v>243</v>
      </c>
      <c r="AS217" s="12" t="s">
        <v>243</v>
      </c>
      <c r="AT217" s="12" t="s">
        <v>243</v>
      </c>
      <c r="AU217" s="12" t="s">
        <v>243</v>
      </c>
      <c r="AV217" s="12" t="s">
        <v>243</v>
      </c>
      <c r="AW217" s="12" t="s">
        <v>243</v>
      </c>
      <c r="AX217" s="12" t="s">
        <v>243</v>
      </c>
      <c r="AY217" s="12" t="s">
        <v>243</v>
      </c>
      <c r="AZ217" s="12"/>
      <c r="BA217" s="12"/>
      <c r="BB217" s="12"/>
      <c r="BC217" s="12"/>
      <c r="BD217" s="12"/>
      <c r="BE217" s="38"/>
    </row>
    <row r="218" spans="1:85" s="13" customFormat="1" ht="16.5" customHeight="1" x14ac:dyDescent="0.25">
      <c r="A218" s="24">
        <f t="shared" si="7"/>
        <v>1</v>
      </c>
      <c r="B218" s="25">
        <v>60200</v>
      </c>
      <c r="C218" s="24" t="s">
        <v>644</v>
      </c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7"/>
      <c r="AG218" s="16"/>
      <c r="AH218" s="16"/>
      <c r="AI218" s="16"/>
      <c r="AJ218" s="16"/>
      <c r="AK218" s="16"/>
      <c r="AL218" s="16"/>
      <c r="AM218" s="16"/>
      <c r="AN218" s="16"/>
      <c r="AO218" s="16"/>
      <c r="AP218" s="16"/>
      <c r="AQ218" s="17"/>
      <c r="AR218" s="16"/>
      <c r="AS218" s="16" t="s">
        <v>243</v>
      </c>
      <c r="AT218" s="16"/>
      <c r="AU218" s="16"/>
      <c r="AV218" s="16"/>
      <c r="AW218" s="16"/>
      <c r="AX218" s="16"/>
      <c r="AY218" s="16"/>
      <c r="AZ218" s="16"/>
      <c r="BA218" s="16"/>
      <c r="BB218" s="16"/>
      <c r="BC218" s="16"/>
      <c r="BD218" s="16"/>
      <c r="BE218" s="14"/>
      <c r="BF218" s="17"/>
      <c r="BG218" s="17"/>
      <c r="BH218" s="17"/>
      <c r="BI218" s="17"/>
      <c r="BJ218" s="17"/>
      <c r="BK218" s="17"/>
      <c r="BL218" s="17"/>
      <c r="BM218" s="17"/>
      <c r="BN218" s="17"/>
      <c r="BO218" s="17"/>
      <c r="BP218" s="17"/>
      <c r="BQ218" s="17"/>
      <c r="BR218" s="17"/>
      <c r="BS218" s="17"/>
      <c r="BT218" s="17"/>
      <c r="BU218" s="17"/>
      <c r="BV218" s="17"/>
      <c r="BW218" s="17"/>
      <c r="BX218" s="17"/>
      <c r="BY218" s="17"/>
      <c r="BZ218" s="17"/>
      <c r="CA218" s="17"/>
      <c r="CB218" s="17"/>
      <c r="CC218" s="17"/>
      <c r="CD218" s="17"/>
      <c r="CE218" s="17"/>
      <c r="CF218" s="17"/>
      <c r="CG218" s="17"/>
    </row>
    <row r="219" spans="1:85" ht="16.5" customHeight="1" x14ac:dyDescent="0.25">
      <c r="A219" s="24">
        <f t="shared" si="7"/>
        <v>35</v>
      </c>
      <c r="B219" s="27">
        <v>60205</v>
      </c>
      <c r="C219" s="28" t="s">
        <v>646</v>
      </c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3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3"/>
      <c r="AR219" s="12"/>
      <c r="AS219" s="12" t="s">
        <v>243</v>
      </c>
      <c r="AT219" s="12"/>
      <c r="AU219" s="12"/>
      <c r="AV219" s="12"/>
      <c r="AW219" s="12"/>
      <c r="AX219" s="12"/>
      <c r="AY219" s="12"/>
      <c r="AZ219" s="12"/>
      <c r="BA219" s="12"/>
      <c r="BB219" s="12"/>
      <c r="BC219" s="12"/>
      <c r="BD219" s="12"/>
      <c r="BE219" s="38"/>
    </row>
    <row r="220" spans="1:85" s="13" customFormat="1" ht="16.5" customHeight="1" x14ac:dyDescent="0.25">
      <c r="A220" s="24">
        <f t="shared" si="7"/>
        <v>1</v>
      </c>
      <c r="B220" s="25">
        <v>60210</v>
      </c>
      <c r="C220" s="24" t="s">
        <v>157</v>
      </c>
      <c r="D220" s="16" t="s">
        <v>243</v>
      </c>
      <c r="E220" s="16" t="s">
        <v>243</v>
      </c>
      <c r="F220" s="16" t="s">
        <v>243</v>
      </c>
      <c r="G220" s="16" t="s">
        <v>243</v>
      </c>
      <c r="H220" s="16"/>
      <c r="I220" s="16"/>
      <c r="J220" s="16"/>
      <c r="K220" s="16"/>
      <c r="L220" s="16"/>
      <c r="M220" s="16"/>
      <c r="N220" s="16" t="s">
        <v>243</v>
      </c>
      <c r="O220" s="16"/>
      <c r="P220" s="16" t="s">
        <v>243</v>
      </c>
      <c r="Q220" s="16" t="s">
        <v>243</v>
      </c>
      <c r="R220" s="16" t="s">
        <v>243</v>
      </c>
      <c r="S220" s="16" t="s">
        <v>243</v>
      </c>
      <c r="T220" s="16" t="s">
        <v>243</v>
      </c>
      <c r="U220" s="16" t="s">
        <v>243</v>
      </c>
      <c r="V220" s="16" t="s">
        <v>243</v>
      </c>
      <c r="W220" s="16" t="s">
        <v>243</v>
      </c>
      <c r="X220" s="16" t="s">
        <v>243</v>
      </c>
      <c r="Y220" s="16" t="s">
        <v>243</v>
      </c>
      <c r="Z220" s="16" t="s">
        <v>243</v>
      </c>
      <c r="AA220" s="16" t="s">
        <v>243</v>
      </c>
      <c r="AB220" s="16" t="s">
        <v>243</v>
      </c>
      <c r="AC220" s="16" t="s">
        <v>243</v>
      </c>
      <c r="AD220" s="16" t="s">
        <v>243</v>
      </c>
      <c r="AE220" s="16" t="s">
        <v>243</v>
      </c>
      <c r="AF220" s="17"/>
      <c r="AG220" s="16"/>
      <c r="AH220" s="16" t="s">
        <v>243</v>
      </c>
      <c r="AI220" s="16" t="s">
        <v>243</v>
      </c>
      <c r="AJ220" s="16"/>
      <c r="AK220" s="16" t="s">
        <v>243</v>
      </c>
      <c r="AL220" s="16"/>
      <c r="AM220" s="16"/>
      <c r="AN220" s="16" t="s">
        <v>243</v>
      </c>
      <c r="AO220" s="16" t="s">
        <v>243</v>
      </c>
      <c r="AP220" s="16"/>
      <c r="AQ220" s="17"/>
      <c r="AR220" s="16" t="s">
        <v>243</v>
      </c>
      <c r="AS220" s="16" t="s">
        <v>243</v>
      </c>
      <c r="AT220" s="16" t="s">
        <v>243</v>
      </c>
      <c r="AU220" s="16" t="s">
        <v>243</v>
      </c>
      <c r="AV220" s="16" t="s">
        <v>243</v>
      </c>
      <c r="AW220" s="16" t="s">
        <v>243</v>
      </c>
      <c r="AX220" s="16" t="s">
        <v>243</v>
      </c>
      <c r="AY220" s="16"/>
      <c r="AZ220" s="16"/>
      <c r="BA220" s="16"/>
      <c r="BB220" s="16"/>
      <c r="BC220" s="16"/>
      <c r="BD220" s="16"/>
      <c r="BE220" s="14"/>
      <c r="BF220" s="17"/>
      <c r="BG220" s="17"/>
      <c r="BH220" s="17"/>
      <c r="BI220" s="17"/>
      <c r="BJ220" s="17"/>
      <c r="BK220" s="17"/>
      <c r="BL220" s="17"/>
      <c r="BM220" s="17"/>
      <c r="BN220" s="17"/>
      <c r="BO220" s="17"/>
      <c r="BP220" s="17"/>
      <c r="BQ220" s="17"/>
      <c r="BR220" s="17"/>
      <c r="BS220" s="17"/>
      <c r="BT220" s="17"/>
      <c r="BU220" s="17"/>
      <c r="BV220" s="17"/>
      <c r="BW220" s="17"/>
      <c r="BX220" s="17"/>
      <c r="BY220" s="17"/>
      <c r="BZ220" s="17"/>
      <c r="CA220" s="17"/>
      <c r="CB220" s="17"/>
      <c r="CC220" s="17"/>
      <c r="CD220" s="17"/>
      <c r="CE220" s="17"/>
      <c r="CF220" s="17"/>
      <c r="CG220" s="17"/>
    </row>
    <row r="221" spans="1:85" ht="16.5" customHeight="1" x14ac:dyDescent="0.25">
      <c r="A221" s="24">
        <f t="shared" si="7"/>
        <v>1</v>
      </c>
      <c r="B221" s="27">
        <v>60215</v>
      </c>
      <c r="C221" s="28" t="s">
        <v>9</v>
      </c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3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13"/>
      <c r="AR221" s="12"/>
      <c r="AS221" s="12"/>
      <c r="AT221" s="12"/>
      <c r="AU221" s="12"/>
      <c r="AV221" s="12"/>
      <c r="AW221" s="12"/>
      <c r="AX221" s="12" t="s">
        <v>243</v>
      </c>
      <c r="AY221" s="12"/>
      <c r="AZ221" s="12"/>
      <c r="BA221" s="12"/>
      <c r="BB221" s="12"/>
      <c r="BC221" s="12"/>
      <c r="BD221" s="12"/>
      <c r="BE221" s="38"/>
    </row>
    <row r="222" spans="1:85" s="13" customFormat="1" ht="16.5" customHeight="1" x14ac:dyDescent="0.25">
      <c r="A222" s="24">
        <f t="shared" si="7"/>
        <v>1</v>
      </c>
      <c r="B222" s="25">
        <v>60220</v>
      </c>
      <c r="C222" s="24" t="s">
        <v>21</v>
      </c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 t="s">
        <v>243</v>
      </c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7"/>
      <c r="AG222" s="16"/>
      <c r="AH222" s="16"/>
      <c r="AI222" s="16"/>
      <c r="AJ222" s="16"/>
      <c r="AK222" s="16"/>
      <c r="AL222" s="16"/>
      <c r="AM222" s="16"/>
      <c r="AN222" s="16" t="s">
        <v>243</v>
      </c>
      <c r="AO222" s="16"/>
      <c r="AP222" s="16"/>
      <c r="AQ222" s="17"/>
      <c r="AR222" s="16"/>
      <c r="AS222" s="16"/>
      <c r="AT222" s="16"/>
      <c r="AU222" s="16"/>
      <c r="AV222" s="16"/>
      <c r="AW222" s="16"/>
      <c r="AX222" s="16"/>
      <c r="AY222" s="16"/>
      <c r="AZ222" s="16"/>
      <c r="BA222" s="16"/>
      <c r="BB222" s="16"/>
      <c r="BC222" s="16"/>
      <c r="BD222" s="16"/>
      <c r="BE222" s="14"/>
      <c r="BF222" s="17"/>
      <c r="BG222" s="17"/>
      <c r="BH222" s="17"/>
      <c r="BI222" s="17"/>
      <c r="BJ222" s="17"/>
      <c r="BK222" s="17"/>
      <c r="BL222" s="17"/>
      <c r="BM222" s="17"/>
      <c r="BN222" s="17"/>
      <c r="BO222" s="17"/>
      <c r="BP222" s="17"/>
      <c r="BQ222" s="17"/>
      <c r="BR222" s="17"/>
      <c r="BS222" s="17"/>
      <c r="BT222" s="17"/>
      <c r="BU222" s="17"/>
      <c r="BV222" s="17"/>
      <c r="BW222" s="17"/>
      <c r="BX222" s="17"/>
      <c r="BY222" s="17"/>
      <c r="BZ222" s="17"/>
      <c r="CA222" s="17"/>
      <c r="CB222" s="17"/>
      <c r="CC222" s="17"/>
      <c r="CD222" s="17"/>
      <c r="CE222" s="17"/>
      <c r="CF222" s="17"/>
      <c r="CG222" s="17"/>
    </row>
    <row r="223" spans="1:85" ht="16.5" customHeight="1" x14ac:dyDescent="0.25">
      <c r="A223" s="24">
        <f t="shared" si="7"/>
        <v>1</v>
      </c>
      <c r="B223" s="27">
        <v>60225</v>
      </c>
      <c r="C223" s="28" t="s">
        <v>651</v>
      </c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3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3"/>
      <c r="AR223" s="12" t="s">
        <v>243</v>
      </c>
      <c r="AS223" s="12"/>
      <c r="AT223" s="12"/>
      <c r="AU223" s="12"/>
      <c r="AV223" s="12"/>
      <c r="AW223" s="12"/>
      <c r="AX223" s="12"/>
      <c r="AY223" s="12"/>
      <c r="AZ223" s="12"/>
      <c r="BA223" s="12"/>
      <c r="BB223" s="12"/>
      <c r="BC223" s="12"/>
      <c r="BD223" s="12"/>
      <c r="BE223" s="38"/>
    </row>
    <row r="224" spans="1:85" s="13" customFormat="1" ht="16.5" customHeight="1" x14ac:dyDescent="0.25">
      <c r="A224" s="24">
        <f t="shared" si="7"/>
        <v>35</v>
      </c>
      <c r="B224" s="25">
        <v>60230</v>
      </c>
      <c r="C224" s="24" t="s">
        <v>158</v>
      </c>
      <c r="D224" s="16" t="s">
        <v>243</v>
      </c>
      <c r="E224" s="16" t="s">
        <v>243</v>
      </c>
      <c r="F224" s="16" t="s">
        <v>243</v>
      </c>
      <c r="G224" s="16" t="s">
        <v>243</v>
      </c>
      <c r="H224" s="16"/>
      <c r="I224" s="16"/>
      <c r="J224" s="16"/>
      <c r="K224" s="16"/>
      <c r="L224" s="16"/>
      <c r="M224" s="16"/>
      <c r="N224" s="16" t="s">
        <v>243</v>
      </c>
      <c r="O224" s="16" t="s">
        <v>243</v>
      </c>
      <c r="P224" s="16" t="s">
        <v>243</v>
      </c>
      <c r="Q224" s="16" t="s">
        <v>243</v>
      </c>
      <c r="R224" s="16" t="s">
        <v>243</v>
      </c>
      <c r="S224" s="16" t="s">
        <v>243</v>
      </c>
      <c r="T224" s="16" t="s">
        <v>243</v>
      </c>
      <c r="U224" s="16" t="s">
        <v>243</v>
      </c>
      <c r="V224" s="16" t="s">
        <v>243</v>
      </c>
      <c r="W224" s="16" t="s">
        <v>243</v>
      </c>
      <c r="X224" s="16" t="s">
        <v>243</v>
      </c>
      <c r="Y224" s="16" t="s">
        <v>243</v>
      </c>
      <c r="Z224" s="16" t="s">
        <v>243</v>
      </c>
      <c r="AA224" s="16" t="s">
        <v>243</v>
      </c>
      <c r="AB224" s="16" t="s">
        <v>243</v>
      </c>
      <c r="AC224" s="16" t="s">
        <v>243</v>
      </c>
      <c r="AD224" s="16" t="s">
        <v>243</v>
      </c>
      <c r="AE224" s="16" t="s">
        <v>243</v>
      </c>
      <c r="AF224" s="17"/>
      <c r="AG224" s="16"/>
      <c r="AH224" s="16" t="s">
        <v>243</v>
      </c>
      <c r="AI224" s="16" t="s">
        <v>243</v>
      </c>
      <c r="AJ224" s="16"/>
      <c r="AK224" s="16" t="s">
        <v>243</v>
      </c>
      <c r="AL224" s="16"/>
      <c r="AM224" s="16"/>
      <c r="AN224" s="16" t="s">
        <v>243</v>
      </c>
      <c r="AO224" s="16" t="s">
        <v>243</v>
      </c>
      <c r="AP224" s="16"/>
      <c r="AQ224" s="17"/>
      <c r="AR224" s="16" t="s">
        <v>243</v>
      </c>
      <c r="AS224" s="16" t="s">
        <v>243</v>
      </c>
      <c r="AT224" s="16" t="s">
        <v>243</v>
      </c>
      <c r="AU224" s="16" t="s">
        <v>243</v>
      </c>
      <c r="AV224" s="16" t="s">
        <v>243</v>
      </c>
      <c r="AW224" s="16" t="s">
        <v>243</v>
      </c>
      <c r="AX224" s="16" t="s">
        <v>243</v>
      </c>
      <c r="AY224" s="16" t="s">
        <v>243</v>
      </c>
      <c r="AZ224" s="16"/>
      <c r="BA224" s="16"/>
      <c r="BB224" s="16"/>
      <c r="BC224" s="16"/>
      <c r="BD224" s="16"/>
      <c r="BE224" s="14"/>
      <c r="BF224" s="17"/>
      <c r="BG224" s="17"/>
      <c r="BH224" s="17"/>
      <c r="BI224" s="17"/>
      <c r="BJ224" s="17"/>
      <c r="BK224" s="17"/>
      <c r="BL224" s="17"/>
      <c r="BM224" s="17"/>
      <c r="BN224" s="17"/>
      <c r="BO224" s="17"/>
      <c r="BP224" s="17"/>
      <c r="BQ224" s="17"/>
      <c r="BR224" s="17"/>
      <c r="BS224" s="17"/>
      <c r="BT224" s="17"/>
      <c r="BU224" s="17"/>
      <c r="BV224" s="17"/>
      <c r="BW224" s="17"/>
      <c r="BX224" s="17"/>
      <c r="BY224" s="17"/>
      <c r="BZ224" s="17"/>
      <c r="CA224" s="17"/>
      <c r="CB224" s="17"/>
      <c r="CC224" s="17"/>
      <c r="CD224" s="17"/>
      <c r="CE224" s="17"/>
      <c r="CF224" s="17"/>
      <c r="CG224" s="17"/>
    </row>
    <row r="225" spans="1:85" ht="16.5" customHeight="1" x14ac:dyDescent="0.25">
      <c r="A225" s="24">
        <f t="shared" si="7"/>
        <v>34</v>
      </c>
      <c r="B225" s="27">
        <v>60235</v>
      </c>
      <c r="C225" s="28" t="s">
        <v>654</v>
      </c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3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3"/>
      <c r="AR225" s="12"/>
      <c r="AS225" s="12"/>
      <c r="AT225" s="12"/>
      <c r="AU225" s="12"/>
      <c r="AV225" s="12"/>
      <c r="AW225" s="12"/>
      <c r="AX225" s="12"/>
      <c r="AY225" s="12" t="s">
        <v>243</v>
      </c>
      <c r="AZ225" s="12"/>
      <c r="BA225" s="12"/>
      <c r="BB225" s="12"/>
      <c r="BC225" s="12"/>
      <c r="BD225" s="12"/>
      <c r="BE225" s="38"/>
    </row>
    <row r="226" spans="1:85" s="13" customFormat="1" ht="16.5" customHeight="1" x14ac:dyDescent="0.25">
      <c r="A226" s="24">
        <f t="shared" si="7"/>
        <v>1</v>
      </c>
      <c r="B226" s="25">
        <v>60240</v>
      </c>
      <c r="C226" s="24" t="s">
        <v>32</v>
      </c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7"/>
      <c r="AG226" s="16"/>
      <c r="AH226" s="16"/>
      <c r="AI226" s="16"/>
      <c r="AJ226" s="16"/>
      <c r="AK226" s="16"/>
      <c r="AL226" s="16"/>
      <c r="AM226" s="16"/>
      <c r="AN226" s="16"/>
      <c r="AO226" s="16"/>
      <c r="AP226" s="16"/>
      <c r="AQ226" s="17"/>
      <c r="AR226" s="16"/>
      <c r="AS226" s="16"/>
      <c r="AT226" s="16"/>
      <c r="AU226" s="16"/>
      <c r="AV226" s="16"/>
      <c r="AW226" s="16"/>
      <c r="AX226" s="16"/>
      <c r="AY226" s="16"/>
      <c r="AZ226" s="16" t="s">
        <v>243</v>
      </c>
      <c r="BA226" s="16"/>
      <c r="BB226" s="16"/>
      <c r="BC226" s="16"/>
      <c r="BD226" s="16"/>
      <c r="BE226" s="14"/>
      <c r="BF226" s="17"/>
      <c r="BG226" s="17"/>
      <c r="BH226" s="17"/>
      <c r="BI226" s="17"/>
      <c r="BJ226" s="17"/>
      <c r="BK226" s="17"/>
      <c r="BL226" s="17"/>
      <c r="BM226" s="17"/>
      <c r="BN226" s="17"/>
      <c r="BO226" s="17"/>
      <c r="BP226" s="17"/>
      <c r="BQ226" s="17"/>
      <c r="BR226" s="17"/>
      <c r="BS226" s="17"/>
      <c r="BT226" s="17"/>
      <c r="BU226" s="17"/>
      <c r="BV226" s="17"/>
      <c r="BW226" s="17"/>
      <c r="BX226" s="17"/>
      <c r="BY226" s="17"/>
      <c r="BZ226" s="17"/>
      <c r="CA226" s="17"/>
      <c r="CB226" s="17"/>
      <c r="CC226" s="17"/>
      <c r="CD226" s="17"/>
      <c r="CE226" s="17"/>
      <c r="CF226" s="17"/>
      <c r="CG226" s="17"/>
    </row>
    <row r="227" spans="1:85" ht="16.5" customHeight="1" x14ac:dyDescent="0.25">
      <c r="A227" s="24">
        <f t="shared" si="7"/>
        <v>15</v>
      </c>
      <c r="B227" s="27">
        <v>60245</v>
      </c>
      <c r="C227" s="28" t="s">
        <v>33</v>
      </c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3"/>
      <c r="AG227" s="12"/>
      <c r="AH227" s="12"/>
      <c r="AI227" s="12"/>
      <c r="AJ227" s="12"/>
      <c r="AK227" s="12"/>
      <c r="AL227" s="12"/>
      <c r="AM227" s="12"/>
      <c r="AN227" s="12"/>
      <c r="AO227" s="12"/>
      <c r="AP227" s="12"/>
      <c r="AQ227" s="13"/>
      <c r="AR227" s="12"/>
      <c r="AS227" s="12"/>
      <c r="AT227" s="12"/>
      <c r="AU227" s="12"/>
      <c r="AV227" s="12"/>
      <c r="AW227" s="12"/>
      <c r="AX227" s="12"/>
      <c r="AY227" s="12" t="s">
        <v>243</v>
      </c>
      <c r="AZ227" s="12"/>
      <c r="BA227" s="12"/>
      <c r="BB227" s="12"/>
      <c r="BC227" s="12"/>
      <c r="BD227" s="12"/>
      <c r="BE227" s="38"/>
    </row>
    <row r="228" spans="1:85" s="13" customFormat="1" ht="16.5" customHeight="1" x14ac:dyDescent="0.25">
      <c r="A228" s="24">
        <f t="shared" si="7"/>
        <v>1</v>
      </c>
      <c r="B228" s="25">
        <v>60250</v>
      </c>
      <c r="C228" s="24" t="s">
        <v>34</v>
      </c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7"/>
      <c r="AG228" s="16"/>
      <c r="AH228" s="16"/>
      <c r="AI228" s="16"/>
      <c r="AJ228" s="16"/>
      <c r="AK228" s="16"/>
      <c r="AL228" s="16"/>
      <c r="AM228" s="16"/>
      <c r="AN228" s="16"/>
      <c r="AO228" s="16"/>
      <c r="AP228" s="16"/>
      <c r="AQ228" s="17"/>
      <c r="AR228" s="16"/>
      <c r="AS228" s="16"/>
      <c r="AT228" s="16"/>
      <c r="AU228" s="16"/>
      <c r="AV228" s="16"/>
      <c r="AW228" s="16"/>
      <c r="AX228" s="16"/>
      <c r="AY228" s="16" t="s">
        <v>243</v>
      </c>
      <c r="AZ228" s="16"/>
      <c r="BA228" s="16"/>
      <c r="BB228" s="16"/>
      <c r="BC228" s="16"/>
      <c r="BD228" s="16"/>
      <c r="BE228" s="14"/>
      <c r="BF228" s="17"/>
      <c r="BG228" s="17"/>
      <c r="BH228" s="17"/>
      <c r="BI228" s="17"/>
      <c r="BJ228" s="17"/>
      <c r="BK228" s="17"/>
      <c r="BL228" s="17"/>
      <c r="BM228" s="17"/>
      <c r="BN228" s="17"/>
      <c r="BO228" s="17"/>
      <c r="BP228" s="17"/>
      <c r="BQ228" s="17"/>
      <c r="BR228" s="17"/>
      <c r="BS228" s="17"/>
      <c r="BT228" s="17"/>
      <c r="BU228" s="17"/>
      <c r="BV228" s="17"/>
      <c r="BW228" s="17"/>
      <c r="BX228" s="17"/>
      <c r="BY228" s="17"/>
      <c r="BZ228" s="17"/>
      <c r="CA228" s="17"/>
      <c r="CB228" s="17"/>
      <c r="CC228" s="17"/>
      <c r="CD228" s="17"/>
      <c r="CE228" s="17"/>
      <c r="CF228" s="17"/>
      <c r="CG228" s="17"/>
    </row>
    <row r="229" spans="1:85" ht="16.5" customHeight="1" x14ac:dyDescent="0.25">
      <c r="A229" s="24">
        <f t="shared" si="7"/>
        <v>1</v>
      </c>
      <c r="B229" s="27">
        <v>60255</v>
      </c>
      <c r="C229" s="28" t="s">
        <v>659</v>
      </c>
      <c r="D229" s="12" t="s">
        <v>243</v>
      </c>
      <c r="E229" s="12" t="s">
        <v>243</v>
      </c>
      <c r="F229" s="12" t="s">
        <v>243</v>
      </c>
      <c r="G229" s="12" t="s">
        <v>243</v>
      </c>
      <c r="H229" s="12"/>
      <c r="I229" s="12"/>
      <c r="J229" s="12"/>
      <c r="K229" s="12"/>
      <c r="L229" s="12"/>
      <c r="M229" s="12"/>
      <c r="N229" s="12" t="s">
        <v>243</v>
      </c>
      <c r="O229" s="12" t="s">
        <v>243</v>
      </c>
      <c r="P229" s="12" t="s">
        <v>243</v>
      </c>
      <c r="Q229" s="12" t="s">
        <v>243</v>
      </c>
      <c r="R229" s="12" t="s">
        <v>243</v>
      </c>
      <c r="S229" s="12" t="s">
        <v>243</v>
      </c>
      <c r="T229" s="12" t="s">
        <v>243</v>
      </c>
      <c r="U229" s="12" t="s">
        <v>243</v>
      </c>
      <c r="V229" s="12" t="s">
        <v>243</v>
      </c>
      <c r="W229" s="12" t="s">
        <v>243</v>
      </c>
      <c r="X229" s="12" t="s">
        <v>243</v>
      </c>
      <c r="Y229" s="12" t="s">
        <v>243</v>
      </c>
      <c r="Z229" s="12" t="s">
        <v>243</v>
      </c>
      <c r="AA229" s="12" t="s">
        <v>243</v>
      </c>
      <c r="AB229" s="12" t="s">
        <v>243</v>
      </c>
      <c r="AC229" s="12" t="s">
        <v>243</v>
      </c>
      <c r="AD229" s="12" t="s">
        <v>243</v>
      </c>
      <c r="AE229" s="12" t="s">
        <v>243</v>
      </c>
      <c r="AF229" s="13"/>
      <c r="AG229" s="12"/>
      <c r="AH229" s="12" t="s">
        <v>243</v>
      </c>
      <c r="AI229" s="12" t="s">
        <v>243</v>
      </c>
      <c r="AJ229" s="12"/>
      <c r="AK229" s="12" t="s">
        <v>243</v>
      </c>
      <c r="AL229" s="12"/>
      <c r="AM229" s="12"/>
      <c r="AN229" s="12" t="s">
        <v>243</v>
      </c>
      <c r="AO229" s="12" t="s">
        <v>243</v>
      </c>
      <c r="AP229" s="12"/>
      <c r="AQ229" s="13"/>
      <c r="AR229" s="12" t="s">
        <v>243</v>
      </c>
      <c r="AS229" s="12" t="s">
        <v>243</v>
      </c>
      <c r="AT229" s="12" t="s">
        <v>243</v>
      </c>
      <c r="AU229" s="12" t="s">
        <v>243</v>
      </c>
      <c r="AV229" s="12" t="s">
        <v>243</v>
      </c>
      <c r="AW229" s="12" t="s">
        <v>243</v>
      </c>
      <c r="AX229" s="12" t="s">
        <v>243</v>
      </c>
      <c r="AY229" s="12" t="s">
        <v>243</v>
      </c>
      <c r="AZ229" s="12"/>
      <c r="BA229" s="12"/>
      <c r="BB229" s="12"/>
      <c r="BC229" s="12"/>
      <c r="BD229" s="12"/>
      <c r="BE229" s="38"/>
    </row>
    <row r="230" spans="1:85" s="13" customFormat="1" ht="16.5" customHeight="1" x14ac:dyDescent="0.25">
      <c r="A230" s="24">
        <f t="shared" si="7"/>
        <v>1</v>
      </c>
      <c r="B230" s="25">
        <v>60260</v>
      </c>
      <c r="C230" s="24" t="s">
        <v>109</v>
      </c>
      <c r="D230" s="16" t="s">
        <v>243</v>
      </c>
      <c r="E230" s="16" t="s">
        <v>243</v>
      </c>
      <c r="F230" s="16" t="s">
        <v>243</v>
      </c>
      <c r="G230" s="16" t="s">
        <v>243</v>
      </c>
      <c r="H230" s="16"/>
      <c r="I230" s="16"/>
      <c r="J230" s="16"/>
      <c r="K230" s="16"/>
      <c r="L230" s="16"/>
      <c r="M230" s="16"/>
      <c r="N230" s="16" t="s">
        <v>243</v>
      </c>
      <c r="O230" s="16" t="s">
        <v>243</v>
      </c>
      <c r="P230" s="16" t="s">
        <v>243</v>
      </c>
      <c r="Q230" s="16" t="s">
        <v>243</v>
      </c>
      <c r="R230" s="16" t="s">
        <v>243</v>
      </c>
      <c r="S230" s="16" t="s">
        <v>243</v>
      </c>
      <c r="T230" s="16" t="s">
        <v>243</v>
      </c>
      <c r="U230" s="16" t="s">
        <v>243</v>
      </c>
      <c r="V230" s="16" t="s">
        <v>243</v>
      </c>
      <c r="W230" s="16" t="s">
        <v>243</v>
      </c>
      <c r="X230" s="16" t="s">
        <v>243</v>
      </c>
      <c r="Y230" s="16" t="s">
        <v>243</v>
      </c>
      <c r="Z230" s="16" t="s">
        <v>243</v>
      </c>
      <c r="AA230" s="16" t="s">
        <v>243</v>
      </c>
      <c r="AB230" s="16" t="s">
        <v>243</v>
      </c>
      <c r="AC230" s="16" t="s">
        <v>243</v>
      </c>
      <c r="AD230" s="16" t="s">
        <v>243</v>
      </c>
      <c r="AE230" s="16" t="s">
        <v>243</v>
      </c>
      <c r="AF230" s="17"/>
      <c r="AG230" s="16"/>
      <c r="AH230" s="16" t="s">
        <v>243</v>
      </c>
      <c r="AI230" s="16"/>
      <c r="AJ230" s="16"/>
      <c r="AK230" s="16" t="s">
        <v>243</v>
      </c>
      <c r="AL230" s="16"/>
      <c r="AM230" s="16"/>
      <c r="AN230" s="16" t="s">
        <v>243</v>
      </c>
      <c r="AO230" s="16" t="s">
        <v>243</v>
      </c>
      <c r="AP230" s="16"/>
      <c r="AQ230" s="17"/>
      <c r="AR230" s="16" t="s">
        <v>243</v>
      </c>
      <c r="AS230" s="16" t="s">
        <v>243</v>
      </c>
      <c r="AT230" s="16" t="s">
        <v>243</v>
      </c>
      <c r="AU230" s="16" t="s">
        <v>243</v>
      </c>
      <c r="AV230" s="16" t="s">
        <v>243</v>
      </c>
      <c r="AW230" s="16" t="s">
        <v>243</v>
      </c>
      <c r="AX230" s="16" t="s">
        <v>243</v>
      </c>
      <c r="AY230" s="16" t="s">
        <v>243</v>
      </c>
      <c r="AZ230" s="16"/>
      <c r="BA230" s="16"/>
      <c r="BB230" s="16"/>
      <c r="BC230" s="16"/>
      <c r="BD230" s="16"/>
      <c r="BE230" s="14"/>
      <c r="BF230" s="17"/>
      <c r="BG230" s="17"/>
      <c r="BH230" s="17"/>
      <c r="BI230" s="17"/>
      <c r="BJ230" s="17"/>
      <c r="BK230" s="17"/>
      <c r="BL230" s="17"/>
      <c r="BM230" s="17"/>
      <c r="BN230" s="17"/>
      <c r="BO230" s="17"/>
      <c r="BP230" s="17"/>
      <c r="BQ230" s="17"/>
      <c r="BR230" s="17"/>
      <c r="BS230" s="17"/>
      <c r="BT230" s="17"/>
      <c r="BU230" s="17"/>
      <c r="BV230" s="17"/>
      <c r="BW230" s="17"/>
      <c r="BX230" s="17"/>
      <c r="BY230" s="17"/>
      <c r="BZ230" s="17"/>
      <c r="CA230" s="17"/>
      <c r="CB230" s="17"/>
      <c r="CC230" s="17"/>
      <c r="CD230" s="17"/>
      <c r="CE230" s="17"/>
      <c r="CF230" s="17"/>
      <c r="CG230" s="17"/>
    </row>
    <row r="231" spans="1:85" ht="16.5" customHeight="1" x14ac:dyDescent="0.25">
      <c r="A231" s="24">
        <f t="shared" si="7"/>
        <v>1</v>
      </c>
      <c r="B231" s="27">
        <v>60265</v>
      </c>
      <c r="C231" s="28" t="s">
        <v>662</v>
      </c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3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3"/>
      <c r="AR231" s="12"/>
      <c r="AS231" s="12"/>
      <c r="AT231" s="12"/>
      <c r="AU231" s="12"/>
      <c r="AV231" s="12"/>
      <c r="AW231" s="12"/>
      <c r="AX231" s="12" t="s">
        <v>243</v>
      </c>
      <c r="AY231" s="12"/>
      <c r="AZ231" s="12"/>
      <c r="BA231" s="12"/>
      <c r="BB231" s="12"/>
      <c r="BC231" s="12"/>
      <c r="BD231" s="12"/>
      <c r="BE231" s="38"/>
    </row>
    <row r="232" spans="1:85" s="13" customFormat="1" ht="16.5" customHeight="1" x14ac:dyDescent="0.25">
      <c r="A232" s="24">
        <f t="shared" si="7"/>
        <v>1</v>
      </c>
      <c r="B232" s="25">
        <v>60270</v>
      </c>
      <c r="C232" s="24" t="s">
        <v>35</v>
      </c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 t="s">
        <v>243</v>
      </c>
      <c r="Q232" s="16" t="s">
        <v>243</v>
      </c>
      <c r="R232" s="16" t="s">
        <v>243</v>
      </c>
      <c r="S232" s="16" t="s">
        <v>243</v>
      </c>
      <c r="T232" s="16" t="s">
        <v>243</v>
      </c>
      <c r="U232" s="16" t="s">
        <v>243</v>
      </c>
      <c r="V232" s="16" t="s">
        <v>243</v>
      </c>
      <c r="W232" s="16" t="s">
        <v>243</v>
      </c>
      <c r="X232" s="16" t="s">
        <v>243</v>
      </c>
      <c r="Y232" s="16" t="s">
        <v>243</v>
      </c>
      <c r="Z232" s="16" t="s">
        <v>243</v>
      </c>
      <c r="AA232" s="16" t="s">
        <v>243</v>
      </c>
      <c r="AB232" s="16" t="s">
        <v>243</v>
      </c>
      <c r="AC232" s="16" t="s">
        <v>243</v>
      </c>
      <c r="AD232" s="16" t="s">
        <v>243</v>
      </c>
      <c r="AE232" s="16"/>
      <c r="AF232" s="17"/>
      <c r="AG232" s="16"/>
      <c r="AH232" s="16"/>
      <c r="AI232" s="16"/>
      <c r="AJ232" s="16"/>
      <c r="AK232" s="16"/>
      <c r="AL232" s="16"/>
      <c r="AM232" s="16"/>
      <c r="AN232" s="16"/>
      <c r="AO232" s="16"/>
      <c r="AP232" s="16"/>
      <c r="AQ232" s="17"/>
      <c r="AR232" s="16"/>
      <c r="AS232" s="16"/>
      <c r="AT232" s="16"/>
      <c r="AU232" s="16"/>
      <c r="AV232" s="16"/>
      <c r="AW232" s="16"/>
      <c r="AX232" s="16"/>
      <c r="AY232" s="16"/>
      <c r="AZ232" s="16"/>
      <c r="BA232" s="16"/>
      <c r="BB232" s="16"/>
      <c r="BC232" s="16"/>
      <c r="BD232" s="16"/>
      <c r="BE232" s="14"/>
      <c r="BF232" s="17"/>
      <c r="BG232" s="17"/>
      <c r="BH232" s="17"/>
      <c r="BI232" s="17"/>
      <c r="BJ232" s="17"/>
      <c r="BK232" s="17"/>
      <c r="BL232" s="17"/>
      <c r="BM232" s="17"/>
      <c r="BN232" s="17"/>
      <c r="BO232" s="17"/>
      <c r="BP232" s="17"/>
      <c r="BQ232" s="17"/>
      <c r="BR232" s="17"/>
      <c r="BS232" s="17"/>
      <c r="BT232" s="17"/>
      <c r="BU232" s="17"/>
      <c r="BV232" s="17"/>
      <c r="BW232" s="17"/>
      <c r="BX232" s="17"/>
      <c r="BY232" s="17"/>
      <c r="BZ232" s="17"/>
      <c r="CA232" s="17"/>
      <c r="CB232" s="17"/>
      <c r="CC232" s="17"/>
      <c r="CD232" s="17"/>
      <c r="CE232" s="17"/>
      <c r="CF232" s="17"/>
      <c r="CG232" s="17"/>
    </row>
    <row r="233" spans="1:85" ht="16.5" customHeight="1" x14ac:dyDescent="0.25">
      <c r="A233" s="24">
        <f t="shared" ref="A233:A238" si="8">COUNTIF(D239:BE239,"Y")</f>
        <v>18</v>
      </c>
      <c r="B233" s="27">
        <v>60275</v>
      </c>
      <c r="C233" s="28" t="s">
        <v>665</v>
      </c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3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3"/>
      <c r="AR233" s="12"/>
      <c r="AS233" s="12"/>
      <c r="AT233" s="12"/>
      <c r="AU233" s="12"/>
      <c r="AV233" s="12"/>
      <c r="AW233" s="12"/>
      <c r="AX233" s="12"/>
      <c r="AY233" s="12" t="s">
        <v>243</v>
      </c>
      <c r="AZ233" s="12"/>
      <c r="BA233" s="12"/>
      <c r="BB233" s="12"/>
      <c r="BC233" s="12"/>
      <c r="BD233" s="12"/>
      <c r="BE233" s="38"/>
    </row>
    <row r="234" spans="1:85" s="13" customFormat="1" ht="16.5" customHeight="1" x14ac:dyDescent="0.25">
      <c r="A234" s="24">
        <f t="shared" si="8"/>
        <v>1</v>
      </c>
      <c r="B234" s="25">
        <v>60280</v>
      </c>
      <c r="C234" s="24" t="s">
        <v>667</v>
      </c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7"/>
      <c r="AG234" s="16"/>
      <c r="AH234" s="16"/>
      <c r="AI234" s="16"/>
      <c r="AJ234" s="16"/>
      <c r="AK234" s="16"/>
      <c r="AL234" s="16"/>
      <c r="AM234" s="16"/>
      <c r="AN234" s="16"/>
      <c r="AO234" s="16"/>
      <c r="AP234" s="16"/>
      <c r="AQ234" s="17"/>
      <c r="AR234" s="16"/>
      <c r="AS234" s="16"/>
      <c r="AT234" s="16"/>
      <c r="AU234" s="16"/>
      <c r="AV234" s="16"/>
      <c r="AW234" s="16"/>
      <c r="AX234" s="16" t="s">
        <v>295</v>
      </c>
      <c r="AY234" s="16"/>
      <c r="AZ234" s="16"/>
      <c r="BA234" s="16"/>
      <c r="BB234" s="16"/>
      <c r="BC234" s="16"/>
      <c r="BD234" s="16"/>
      <c r="BE234" s="14"/>
      <c r="BF234" s="17"/>
      <c r="BG234" s="17"/>
      <c r="BH234" s="17"/>
      <c r="BI234" s="17"/>
      <c r="BJ234" s="17"/>
      <c r="BK234" s="17"/>
      <c r="BL234" s="17"/>
      <c r="BM234" s="17"/>
      <c r="BN234" s="17"/>
      <c r="BO234" s="17"/>
      <c r="BP234" s="17"/>
      <c r="BQ234" s="17"/>
      <c r="BR234" s="17"/>
      <c r="BS234" s="17"/>
      <c r="BT234" s="17"/>
      <c r="BU234" s="17"/>
      <c r="BV234" s="17"/>
      <c r="BW234" s="17"/>
      <c r="BX234" s="17"/>
      <c r="BY234" s="17"/>
      <c r="BZ234" s="17"/>
      <c r="CA234" s="17"/>
      <c r="CB234" s="17"/>
      <c r="CC234" s="17"/>
      <c r="CD234" s="17"/>
      <c r="CE234" s="17"/>
      <c r="CF234" s="17"/>
      <c r="CG234" s="17"/>
    </row>
    <row r="235" spans="1:85" ht="16.5" customHeight="1" x14ac:dyDescent="0.25">
      <c r="A235" s="24">
        <f t="shared" si="8"/>
        <v>1</v>
      </c>
      <c r="B235" s="27">
        <v>60285</v>
      </c>
      <c r="C235" s="28" t="s">
        <v>669</v>
      </c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3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3"/>
      <c r="AR235" s="12"/>
      <c r="AS235" s="12"/>
      <c r="AT235" s="12"/>
      <c r="AU235" s="12"/>
      <c r="AV235" s="12"/>
      <c r="AW235" s="12"/>
      <c r="AX235" s="12" t="s">
        <v>295</v>
      </c>
      <c r="AY235" s="12"/>
      <c r="AZ235" s="12"/>
      <c r="BA235" s="12"/>
      <c r="BB235" s="12"/>
      <c r="BC235" s="12"/>
      <c r="BD235" s="12"/>
      <c r="BE235" s="38"/>
    </row>
    <row r="236" spans="1:85" s="13" customFormat="1" ht="16.5" customHeight="1" x14ac:dyDescent="0.25">
      <c r="A236" s="24">
        <f t="shared" si="8"/>
        <v>1</v>
      </c>
      <c r="B236" s="25">
        <v>60290</v>
      </c>
      <c r="C236" s="24" t="s">
        <v>671</v>
      </c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7"/>
      <c r="AG236" s="16"/>
      <c r="AH236" s="16"/>
      <c r="AI236" s="16"/>
      <c r="AJ236" s="16"/>
      <c r="AK236" s="16"/>
      <c r="AL236" s="16"/>
      <c r="AM236" s="16"/>
      <c r="AN236" s="16"/>
      <c r="AO236" s="16"/>
      <c r="AP236" s="16"/>
      <c r="AQ236" s="17"/>
      <c r="AR236" s="16"/>
      <c r="AS236" s="16"/>
      <c r="AT236" s="16"/>
      <c r="AU236" s="16"/>
      <c r="AV236" s="16"/>
      <c r="AW236" s="16"/>
      <c r="AX236" s="16"/>
      <c r="AY236" s="16" t="s">
        <v>295</v>
      </c>
      <c r="AZ236" s="16"/>
      <c r="BA236" s="16"/>
      <c r="BB236" s="16"/>
      <c r="BC236" s="16"/>
      <c r="BD236" s="16"/>
      <c r="BE236" s="14"/>
      <c r="BF236" s="17"/>
      <c r="BG236" s="17"/>
      <c r="BH236" s="17"/>
      <c r="BI236" s="17"/>
      <c r="BJ236" s="17"/>
      <c r="BK236" s="17"/>
      <c r="BL236" s="17"/>
      <c r="BM236" s="17"/>
      <c r="BN236" s="17"/>
      <c r="BO236" s="17"/>
      <c r="BP236" s="17"/>
      <c r="BQ236" s="17"/>
      <c r="BR236" s="17"/>
      <c r="BS236" s="17"/>
      <c r="BT236" s="17"/>
      <c r="BU236" s="17"/>
      <c r="BV236" s="17"/>
      <c r="BW236" s="17"/>
      <c r="BX236" s="17"/>
      <c r="BY236" s="17"/>
      <c r="BZ236" s="17"/>
      <c r="CA236" s="17"/>
      <c r="CB236" s="17"/>
      <c r="CC236" s="17"/>
      <c r="CD236" s="17"/>
      <c r="CE236" s="17"/>
      <c r="CF236" s="17"/>
      <c r="CG236" s="17"/>
    </row>
    <row r="237" spans="1:85" ht="16.5" customHeight="1" x14ac:dyDescent="0.25">
      <c r="A237" s="24">
        <f t="shared" si="8"/>
        <v>1</v>
      </c>
      <c r="B237" s="27">
        <v>60295</v>
      </c>
      <c r="C237" s="28" t="s">
        <v>36</v>
      </c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3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3"/>
      <c r="AR237" s="12"/>
      <c r="AS237" s="12"/>
      <c r="AT237" s="12"/>
      <c r="AU237" s="12"/>
      <c r="AV237" s="12"/>
      <c r="AW237" s="12"/>
      <c r="AX237" s="12"/>
      <c r="AY237" s="12"/>
      <c r="AZ237" s="12" t="s">
        <v>243</v>
      </c>
      <c r="BA237" s="12"/>
      <c r="BB237" s="12"/>
      <c r="BC237" s="12"/>
      <c r="BD237" s="12"/>
      <c r="BE237" s="38"/>
    </row>
    <row r="238" spans="1:85" s="13" customFormat="1" ht="16.5" customHeight="1" x14ac:dyDescent="0.25">
      <c r="A238" s="24">
        <f t="shared" si="8"/>
        <v>1</v>
      </c>
      <c r="B238" s="25">
        <v>60300</v>
      </c>
      <c r="C238" s="24" t="s">
        <v>1541</v>
      </c>
      <c r="D238" s="43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 t="s">
        <v>243</v>
      </c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43"/>
      <c r="BA238" s="17"/>
      <c r="BB238" s="17"/>
      <c r="BC238" s="17"/>
      <c r="BD238" s="17"/>
      <c r="BE238" s="14"/>
      <c r="BF238" s="17"/>
      <c r="BG238" s="17"/>
      <c r="BH238" s="17"/>
      <c r="BI238" s="17"/>
      <c r="BJ238" s="17"/>
      <c r="BK238" s="17"/>
      <c r="BL238" s="17"/>
      <c r="BM238" s="17"/>
      <c r="BN238" s="17"/>
      <c r="BO238" s="17"/>
      <c r="BP238" s="17"/>
      <c r="BQ238" s="17"/>
      <c r="BR238" s="17"/>
      <c r="BS238" s="17"/>
      <c r="BT238" s="17"/>
      <c r="BU238" s="17"/>
      <c r="BV238" s="17"/>
      <c r="BW238" s="17"/>
      <c r="BX238" s="17"/>
      <c r="BY238" s="17"/>
      <c r="BZ238" s="17"/>
      <c r="CA238" s="17"/>
      <c r="CB238" s="17"/>
      <c r="CC238" s="17"/>
      <c r="CD238" s="17"/>
      <c r="CE238" s="17"/>
      <c r="CF238" s="17"/>
      <c r="CG238" s="17"/>
    </row>
    <row r="239" spans="1:85" ht="16.5" customHeight="1" x14ac:dyDescent="0.25">
      <c r="A239" s="24">
        <f t="shared" ref="A239:A257" si="9">COUNTIF(D246:BE246,"Y")</f>
        <v>1</v>
      </c>
      <c r="B239" s="27">
        <v>60305</v>
      </c>
      <c r="C239" s="28" t="s">
        <v>37</v>
      </c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 t="s">
        <v>243</v>
      </c>
      <c r="O239" s="12" t="s">
        <v>243</v>
      </c>
      <c r="P239" s="12" t="s">
        <v>243</v>
      </c>
      <c r="Q239" s="12" t="s">
        <v>243</v>
      </c>
      <c r="R239" s="12" t="s">
        <v>243</v>
      </c>
      <c r="S239" s="12" t="s">
        <v>243</v>
      </c>
      <c r="T239" s="12" t="s">
        <v>243</v>
      </c>
      <c r="U239" s="12" t="s">
        <v>243</v>
      </c>
      <c r="V239" s="12" t="s">
        <v>243</v>
      </c>
      <c r="W239" s="12" t="s">
        <v>243</v>
      </c>
      <c r="X239" s="12" t="s">
        <v>243</v>
      </c>
      <c r="Y239" s="12" t="s">
        <v>243</v>
      </c>
      <c r="Z239" s="12" t="s">
        <v>243</v>
      </c>
      <c r="AA239" s="12" t="s">
        <v>243</v>
      </c>
      <c r="AB239" s="12" t="s">
        <v>243</v>
      </c>
      <c r="AC239" s="12" t="s">
        <v>243</v>
      </c>
      <c r="AD239" s="12" t="s">
        <v>243</v>
      </c>
      <c r="AE239" s="12"/>
      <c r="AF239" s="13"/>
      <c r="AG239" s="12"/>
      <c r="AH239" s="12"/>
      <c r="AI239" s="12"/>
      <c r="AJ239" s="12"/>
      <c r="AK239" s="12"/>
      <c r="AL239" s="12"/>
      <c r="AM239" s="12"/>
      <c r="AN239" s="12" t="s">
        <v>243</v>
      </c>
      <c r="AO239" s="12"/>
      <c r="AP239" s="12"/>
      <c r="AQ239" s="13"/>
      <c r="AR239" s="12"/>
      <c r="AS239" s="12"/>
      <c r="AT239" s="12"/>
      <c r="AU239" s="12"/>
      <c r="AV239" s="12"/>
      <c r="AW239" s="12"/>
      <c r="AX239" s="12"/>
      <c r="AY239" s="12"/>
      <c r="AZ239" s="12"/>
      <c r="BA239" s="12"/>
      <c r="BB239" s="12"/>
      <c r="BC239" s="12"/>
      <c r="BD239" s="12"/>
      <c r="BE239" s="38"/>
    </row>
    <row r="240" spans="1:85" s="13" customFormat="1" ht="16.5" customHeight="1" x14ac:dyDescent="0.25">
      <c r="A240" s="24">
        <f t="shared" si="9"/>
        <v>1</v>
      </c>
      <c r="B240" s="25">
        <v>60310</v>
      </c>
      <c r="C240" s="24" t="s">
        <v>675</v>
      </c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7"/>
      <c r="AG240" s="16"/>
      <c r="AH240" s="16"/>
      <c r="AI240" s="16"/>
      <c r="AJ240" s="16"/>
      <c r="AK240" s="16"/>
      <c r="AL240" s="16"/>
      <c r="AM240" s="16"/>
      <c r="AN240" s="16"/>
      <c r="AO240" s="16"/>
      <c r="AP240" s="16"/>
      <c r="AQ240" s="17"/>
      <c r="AR240" s="16"/>
      <c r="AS240" s="16"/>
      <c r="AT240" s="16"/>
      <c r="AU240" s="16"/>
      <c r="AV240" s="16"/>
      <c r="AW240" s="16"/>
      <c r="AX240" s="16"/>
      <c r="AY240" s="16" t="s">
        <v>243</v>
      </c>
      <c r="AZ240" s="16"/>
      <c r="BA240" s="16"/>
      <c r="BB240" s="16"/>
      <c r="BC240" s="16"/>
      <c r="BD240" s="16"/>
      <c r="BE240" s="14"/>
      <c r="BF240" s="17"/>
      <c r="BG240" s="17"/>
      <c r="BH240" s="17"/>
      <c r="BI240" s="17"/>
      <c r="BJ240" s="17"/>
      <c r="BK240" s="17"/>
      <c r="BL240" s="17"/>
      <c r="BM240" s="17"/>
      <c r="BN240" s="17"/>
      <c r="BO240" s="17"/>
      <c r="BP240" s="17"/>
      <c r="BQ240" s="17"/>
      <c r="BR240" s="17"/>
      <c r="BS240" s="17"/>
      <c r="BT240" s="17"/>
      <c r="BU240" s="17"/>
      <c r="BV240" s="17"/>
      <c r="BW240" s="17"/>
      <c r="BX240" s="17"/>
      <c r="BY240" s="17"/>
      <c r="BZ240" s="17"/>
      <c r="CA240" s="17"/>
      <c r="CB240" s="17"/>
      <c r="CC240" s="17"/>
      <c r="CD240" s="17"/>
      <c r="CE240" s="17"/>
      <c r="CF240" s="17"/>
      <c r="CG240" s="17"/>
    </row>
    <row r="241" spans="1:85" ht="16.5" customHeight="1" x14ac:dyDescent="0.25">
      <c r="A241" s="24">
        <f t="shared" si="9"/>
        <v>1</v>
      </c>
      <c r="B241" s="27">
        <v>60315</v>
      </c>
      <c r="C241" s="28" t="s">
        <v>22</v>
      </c>
      <c r="D241" s="12" t="s">
        <v>243</v>
      </c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3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3"/>
      <c r="AR241" s="12"/>
      <c r="AS241" s="12"/>
      <c r="AT241" s="12"/>
      <c r="AU241" s="12"/>
      <c r="AV241" s="12"/>
      <c r="AW241" s="12"/>
      <c r="AX241" s="12"/>
      <c r="AY241" s="12"/>
      <c r="AZ241" s="12"/>
      <c r="BA241" s="12"/>
      <c r="BB241" s="12"/>
      <c r="BC241" s="12"/>
      <c r="BD241" s="12"/>
      <c r="BE241" s="38"/>
    </row>
    <row r="242" spans="1:85" s="13" customFormat="1" ht="16.5" customHeight="1" x14ac:dyDescent="0.25">
      <c r="A242" s="24">
        <f t="shared" si="9"/>
        <v>1</v>
      </c>
      <c r="B242" s="25">
        <v>60320</v>
      </c>
      <c r="C242" s="24" t="s">
        <v>38</v>
      </c>
      <c r="D242" s="16" t="s">
        <v>243</v>
      </c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7"/>
      <c r="AG242" s="16"/>
      <c r="AH242" s="16"/>
      <c r="AI242" s="16"/>
      <c r="AJ242" s="16"/>
      <c r="AK242" s="16"/>
      <c r="AL242" s="16"/>
      <c r="AM242" s="16"/>
      <c r="AN242" s="16"/>
      <c r="AO242" s="16"/>
      <c r="AP242" s="16"/>
      <c r="AQ242" s="17"/>
      <c r="AR242" s="16"/>
      <c r="AS242" s="16"/>
      <c r="AT242" s="16"/>
      <c r="AU242" s="16"/>
      <c r="AV242" s="16"/>
      <c r="AW242" s="16"/>
      <c r="AX242" s="16"/>
      <c r="AY242" s="16"/>
      <c r="AZ242" s="16"/>
      <c r="BA242" s="16"/>
      <c r="BB242" s="16"/>
      <c r="BC242" s="16"/>
      <c r="BD242" s="16"/>
      <c r="BE242" s="14"/>
      <c r="BF242" s="17"/>
      <c r="BG242" s="17"/>
      <c r="BH242" s="17"/>
      <c r="BI242" s="17"/>
      <c r="BJ242" s="17"/>
      <c r="BK242" s="17"/>
      <c r="BL242" s="17"/>
      <c r="BM242" s="17"/>
      <c r="BN242" s="17"/>
      <c r="BO242" s="17"/>
      <c r="BP242" s="17"/>
      <c r="BQ242" s="17"/>
      <c r="BR242" s="17"/>
      <c r="BS242" s="17"/>
      <c r="BT242" s="17"/>
      <c r="BU242" s="17"/>
      <c r="BV242" s="17"/>
      <c r="BW242" s="17"/>
      <c r="BX242" s="17"/>
      <c r="BY242" s="17"/>
      <c r="BZ242" s="17"/>
      <c r="CA242" s="17"/>
      <c r="CB242" s="17"/>
      <c r="CC242" s="17"/>
      <c r="CD242" s="17"/>
      <c r="CE242" s="17"/>
      <c r="CF242" s="17"/>
      <c r="CG242" s="17"/>
    </row>
    <row r="243" spans="1:85" ht="16.5" customHeight="1" x14ac:dyDescent="0.25">
      <c r="A243" s="24">
        <f t="shared" si="9"/>
        <v>1</v>
      </c>
      <c r="B243" s="27">
        <v>60325</v>
      </c>
      <c r="C243" s="28" t="s">
        <v>39</v>
      </c>
      <c r="D243" s="12" t="s">
        <v>243</v>
      </c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3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  <c r="AQ243" s="13"/>
      <c r="AR243" s="12"/>
      <c r="AS243" s="12"/>
      <c r="AT243" s="12"/>
      <c r="AU243" s="12"/>
      <c r="AV243" s="12"/>
      <c r="AW243" s="12"/>
      <c r="AX243" s="12"/>
      <c r="AY243" s="12"/>
      <c r="AZ243" s="12"/>
      <c r="BA243" s="12"/>
      <c r="BB243" s="12"/>
      <c r="BC243" s="12"/>
      <c r="BD243" s="12"/>
      <c r="BE243" s="38"/>
    </row>
    <row r="244" spans="1:85" s="13" customFormat="1" ht="16.5" customHeight="1" x14ac:dyDescent="0.25">
      <c r="A244" s="24">
        <f t="shared" si="9"/>
        <v>1</v>
      </c>
      <c r="B244" s="25">
        <v>60330</v>
      </c>
      <c r="C244" s="24" t="s">
        <v>23</v>
      </c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 t="s">
        <v>243</v>
      </c>
      <c r="AF244" s="17"/>
      <c r="AG244" s="16"/>
      <c r="AH244" s="16"/>
      <c r="AI244" s="16"/>
      <c r="AJ244" s="16"/>
      <c r="AK244" s="16"/>
      <c r="AL244" s="16"/>
      <c r="AM244" s="16"/>
      <c r="AN244" s="16"/>
      <c r="AO244" s="16"/>
      <c r="AP244" s="16"/>
      <c r="AQ244" s="17"/>
      <c r="AR244" s="16"/>
      <c r="AS244" s="16"/>
      <c r="AT244" s="16"/>
      <c r="AU244" s="16"/>
      <c r="AV244" s="16"/>
      <c r="AW244" s="16"/>
      <c r="AX244" s="16"/>
      <c r="AY244" s="16"/>
      <c r="AZ244" s="16"/>
      <c r="BA244" s="16"/>
      <c r="BB244" s="16"/>
      <c r="BC244" s="16"/>
      <c r="BD244" s="16"/>
      <c r="BE244" s="14"/>
      <c r="BF244" s="17"/>
      <c r="BG244" s="17"/>
      <c r="BH244" s="17"/>
      <c r="BI244" s="17"/>
      <c r="BJ244" s="17"/>
      <c r="BK244" s="17"/>
      <c r="BL244" s="17"/>
      <c r="BM244" s="17"/>
      <c r="BN244" s="17"/>
      <c r="BO244" s="17"/>
      <c r="BP244" s="17"/>
      <c r="BQ244" s="17"/>
      <c r="BR244" s="17"/>
      <c r="BS244" s="17"/>
      <c r="BT244" s="17"/>
      <c r="BU244" s="17"/>
      <c r="BV244" s="17"/>
      <c r="BW244" s="17"/>
      <c r="BX244" s="17"/>
      <c r="BY244" s="17"/>
      <c r="BZ244" s="17"/>
      <c r="CA244" s="17"/>
      <c r="CB244" s="17"/>
      <c r="CC244" s="17"/>
      <c r="CD244" s="17"/>
      <c r="CE244" s="17"/>
      <c r="CF244" s="17"/>
      <c r="CG244" s="17"/>
    </row>
    <row r="245" spans="1:85" ht="16.5" customHeight="1" x14ac:dyDescent="0.25">
      <c r="A245" s="24">
        <f t="shared" si="9"/>
        <v>1</v>
      </c>
      <c r="B245" s="27">
        <v>60335</v>
      </c>
      <c r="C245" s="28" t="s">
        <v>166</v>
      </c>
      <c r="D245" s="42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 t="s">
        <v>243</v>
      </c>
      <c r="AV245" s="13"/>
      <c r="AW245" s="13"/>
      <c r="AX245" s="13"/>
      <c r="AY245" s="13"/>
      <c r="AZ245" s="13"/>
      <c r="BA245" s="13"/>
      <c r="BB245" s="13"/>
      <c r="BC245" s="13"/>
      <c r="BD245" s="13"/>
      <c r="BE245" s="38"/>
    </row>
    <row r="246" spans="1:85" s="13" customFormat="1" ht="16.5" customHeight="1" x14ac:dyDescent="0.25">
      <c r="A246" s="24">
        <f t="shared" si="9"/>
        <v>1</v>
      </c>
      <c r="B246" s="25">
        <v>60340</v>
      </c>
      <c r="C246" s="24" t="s">
        <v>1542</v>
      </c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7"/>
      <c r="AG246" s="16"/>
      <c r="AH246" s="16"/>
      <c r="AI246" s="16"/>
      <c r="AJ246" s="16"/>
      <c r="AK246" s="16"/>
      <c r="AL246" s="16"/>
      <c r="AM246" s="16"/>
      <c r="AN246" s="16"/>
      <c r="AO246" s="16"/>
      <c r="AP246" s="16"/>
      <c r="AQ246" s="17"/>
      <c r="AR246" s="16"/>
      <c r="AS246" s="16"/>
      <c r="AT246" s="16"/>
      <c r="AU246" s="16"/>
      <c r="AV246" s="16"/>
      <c r="AW246" s="16"/>
      <c r="AX246" s="16"/>
      <c r="AY246" s="16" t="s">
        <v>295</v>
      </c>
      <c r="AZ246" s="16"/>
      <c r="BA246" s="16"/>
      <c r="BB246" s="16"/>
      <c r="BC246" s="16"/>
      <c r="BD246" s="16"/>
      <c r="BE246" s="14"/>
      <c r="BF246" s="17"/>
      <c r="BG246" s="17"/>
      <c r="BH246" s="17"/>
      <c r="BI246" s="17"/>
      <c r="BJ246" s="17"/>
      <c r="BK246" s="17"/>
      <c r="BL246" s="17"/>
      <c r="BM246" s="17"/>
      <c r="BN246" s="17"/>
      <c r="BO246" s="17"/>
      <c r="BP246" s="17"/>
      <c r="BQ246" s="17"/>
      <c r="BR246" s="17"/>
      <c r="BS246" s="17"/>
      <c r="BT246" s="17"/>
      <c r="BU246" s="17"/>
      <c r="BV246" s="17"/>
      <c r="BW246" s="17"/>
      <c r="BX246" s="17"/>
      <c r="BY246" s="17"/>
      <c r="BZ246" s="17"/>
      <c r="CA246" s="17"/>
      <c r="CB246" s="17"/>
      <c r="CC246" s="17"/>
      <c r="CD246" s="17"/>
      <c r="CE246" s="17"/>
      <c r="CF246" s="17"/>
      <c r="CG246" s="17"/>
    </row>
    <row r="247" spans="1:85" ht="16.5" customHeight="1" x14ac:dyDescent="0.25">
      <c r="A247" s="24">
        <f t="shared" si="9"/>
        <v>1</v>
      </c>
      <c r="B247" s="27">
        <v>60345</v>
      </c>
      <c r="C247" s="28" t="s">
        <v>683</v>
      </c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3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3"/>
      <c r="AR247" s="12"/>
      <c r="AS247" s="12"/>
      <c r="AT247" s="12"/>
      <c r="AU247" s="12"/>
      <c r="AV247" s="12"/>
      <c r="AW247" s="12" t="s">
        <v>243</v>
      </c>
      <c r="AX247" s="12"/>
      <c r="AY247" s="12"/>
      <c r="AZ247" s="12"/>
      <c r="BA247" s="12"/>
      <c r="BB247" s="12"/>
      <c r="BC247" s="12"/>
      <c r="BD247" s="12"/>
      <c r="BE247" s="38"/>
    </row>
    <row r="248" spans="1:85" s="13" customFormat="1" ht="16.5" customHeight="1" x14ac:dyDescent="0.25">
      <c r="A248" s="24">
        <f t="shared" si="9"/>
        <v>1</v>
      </c>
      <c r="B248" s="25">
        <v>60350</v>
      </c>
      <c r="C248" s="24" t="s">
        <v>685</v>
      </c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7"/>
      <c r="AG248" s="16"/>
      <c r="AH248" s="16"/>
      <c r="AI248" s="16"/>
      <c r="AJ248" s="16"/>
      <c r="AK248" s="16"/>
      <c r="AL248" s="16"/>
      <c r="AM248" s="16"/>
      <c r="AN248" s="16"/>
      <c r="AO248" s="16"/>
      <c r="AP248" s="16"/>
      <c r="AQ248" s="17"/>
      <c r="AR248" s="16"/>
      <c r="AS248" s="16"/>
      <c r="AT248" s="16"/>
      <c r="AU248" s="16"/>
      <c r="AV248" s="16"/>
      <c r="AW248" s="16" t="s">
        <v>243</v>
      </c>
      <c r="AX248" s="16"/>
      <c r="AY248" s="16"/>
      <c r="AZ248" s="16"/>
      <c r="BA248" s="16"/>
      <c r="BB248" s="16"/>
      <c r="BC248" s="16"/>
      <c r="BD248" s="16"/>
      <c r="BE248" s="14"/>
      <c r="BF248" s="17"/>
      <c r="BG248" s="17"/>
      <c r="BH248" s="17"/>
      <c r="BI248" s="17"/>
      <c r="BJ248" s="17"/>
      <c r="BK248" s="17"/>
      <c r="BL248" s="17"/>
      <c r="BM248" s="17"/>
      <c r="BN248" s="17"/>
      <c r="BO248" s="17"/>
      <c r="BP248" s="17"/>
      <c r="BQ248" s="17"/>
      <c r="BR248" s="17"/>
      <c r="BS248" s="17"/>
      <c r="BT248" s="17"/>
      <c r="BU248" s="17"/>
      <c r="BV248" s="17"/>
      <c r="BW248" s="17"/>
      <c r="BX248" s="17"/>
      <c r="BY248" s="17"/>
      <c r="BZ248" s="17"/>
      <c r="CA248" s="17"/>
      <c r="CB248" s="17"/>
      <c r="CC248" s="17"/>
      <c r="CD248" s="17"/>
      <c r="CE248" s="17"/>
      <c r="CF248" s="17"/>
      <c r="CG248" s="17"/>
    </row>
    <row r="249" spans="1:85" ht="16.5" customHeight="1" x14ac:dyDescent="0.25">
      <c r="A249" s="24">
        <f t="shared" si="9"/>
        <v>1</v>
      </c>
      <c r="B249" s="27">
        <v>60355</v>
      </c>
      <c r="C249" s="28" t="s">
        <v>687</v>
      </c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3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3"/>
      <c r="AR249" s="12"/>
      <c r="AS249" s="12"/>
      <c r="AT249" s="12"/>
      <c r="AU249" s="12"/>
      <c r="AV249" s="12"/>
      <c r="AW249" s="12" t="s">
        <v>243</v>
      </c>
      <c r="AX249" s="12"/>
      <c r="AY249" s="12"/>
      <c r="AZ249" s="12"/>
      <c r="BA249" s="12"/>
      <c r="BB249" s="12"/>
      <c r="BC249" s="12"/>
      <c r="BD249" s="12"/>
      <c r="BE249" s="38"/>
    </row>
    <row r="250" spans="1:85" s="13" customFormat="1" ht="16.5" customHeight="1" x14ac:dyDescent="0.25">
      <c r="A250" s="24">
        <f t="shared" si="9"/>
        <v>1</v>
      </c>
      <c r="B250" s="25">
        <v>60360</v>
      </c>
      <c r="C250" s="24" t="s">
        <v>689</v>
      </c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7"/>
      <c r="AG250" s="16"/>
      <c r="AH250" s="16"/>
      <c r="AI250" s="16"/>
      <c r="AJ250" s="16"/>
      <c r="AK250" s="16"/>
      <c r="AL250" s="16"/>
      <c r="AM250" s="16"/>
      <c r="AN250" s="16"/>
      <c r="AO250" s="16"/>
      <c r="AP250" s="16"/>
      <c r="AQ250" s="17"/>
      <c r="AR250" s="16"/>
      <c r="AS250" s="16"/>
      <c r="AT250" s="16"/>
      <c r="AU250" s="16"/>
      <c r="AV250" s="16"/>
      <c r="AW250" s="16" t="s">
        <v>243</v>
      </c>
      <c r="AX250" s="16"/>
      <c r="AY250" s="16"/>
      <c r="AZ250" s="16"/>
      <c r="BA250" s="16"/>
      <c r="BB250" s="16"/>
      <c r="BC250" s="16"/>
      <c r="BD250" s="16"/>
      <c r="BE250" s="14"/>
      <c r="BF250" s="17"/>
      <c r="BG250" s="17"/>
      <c r="BH250" s="17"/>
      <c r="BI250" s="17"/>
      <c r="BJ250" s="17"/>
      <c r="BK250" s="17"/>
      <c r="BL250" s="17"/>
      <c r="BM250" s="17"/>
      <c r="BN250" s="17"/>
      <c r="BO250" s="17"/>
      <c r="BP250" s="17"/>
      <c r="BQ250" s="17"/>
      <c r="BR250" s="17"/>
      <c r="BS250" s="17"/>
      <c r="BT250" s="17"/>
      <c r="BU250" s="17"/>
      <c r="BV250" s="17"/>
      <c r="BW250" s="17"/>
      <c r="BX250" s="17"/>
      <c r="BY250" s="17"/>
      <c r="BZ250" s="17"/>
      <c r="CA250" s="17"/>
      <c r="CB250" s="17"/>
      <c r="CC250" s="17"/>
      <c r="CD250" s="17"/>
      <c r="CE250" s="17"/>
      <c r="CF250" s="17"/>
      <c r="CG250" s="17"/>
    </row>
    <row r="251" spans="1:85" ht="16.5" customHeight="1" x14ac:dyDescent="0.25">
      <c r="A251" s="24">
        <f t="shared" si="9"/>
        <v>1</v>
      </c>
      <c r="B251" s="27">
        <v>60365</v>
      </c>
      <c r="C251" s="28" t="s">
        <v>691</v>
      </c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3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3"/>
      <c r="AR251" s="12"/>
      <c r="AS251" s="12"/>
      <c r="AT251" s="12"/>
      <c r="AU251" s="12"/>
      <c r="AV251" s="12"/>
      <c r="AW251" s="12" t="s">
        <v>243</v>
      </c>
      <c r="AX251" s="12"/>
      <c r="AY251" s="12"/>
      <c r="AZ251" s="12"/>
      <c r="BA251" s="12"/>
      <c r="BB251" s="12"/>
      <c r="BC251" s="12"/>
      <c r="BD251" s="12"/>
      <c r="BE251" s="38"/>
    </row>
    <row r="252" spans="1:85" s="13" customFormat="1" ht="16.5" customHeight="1" x14ac:dyDescent="0.25">
      <c r="A252" s="24">
        <f t="shared" si="9"/>
        <v>1</v>
      </c>
      <c r="B252" s="25">
        <v>60370</v>
      </c>
      <c r="C252" s="24" t="s">
        <v>693</v>
      </c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7"/>
      <c r="AG252" s="16"/>
      <c r="AH252" s="16"/>
      <c r="AI252" s="16"/>
      <c r="AJ252" s="16"/>
      <c r="AK252" s="16"/>
      <c r="AL252" s="16"/>
      <c r="AM252" s="16"/>
      <c r="AN252" s="16"/>
      <c r="AO252" s="16"/>
      <c r="AP252" s="16"/>
      <c r="AQ252" s="17"/>
      <c r="AR252" s="16"/>
      <c r="AS252" s="16"/>
      <c r="AT252" s="16"/>
      <c r="AU252" s="16"/>
      <c r="AV252" s="16"/>
      <c r="AW252" s="16" t="s">
        <v>243</v>
      </c>
      <c r="AX252" s="16"/>
      <c r="AY252" s="16"/>
      <c r="AZ252" s="16"/>
      <c r="BA252" s="16"/>
      <c r="BB252" s="16"/>
      <c r="BC252" s="16"/>
      <c r="BD252" s="16"/>
      <c r="BE252" s="14"/>
      <c r="BF252" s="17"/>
      <c r="BG252" s="17"/>
      <c r="BH252" s="17"/>
      <c r="BI252" s="17"/>
      <c r="BJ252" s="17"/>
      <c r="BK252" s="17"/>
      <c r="BL252" s="17"/>
      <c r="BM252" s="17"/>
      <c r="BN252" s="17"/>
      <c r="BO252" s="17"/>
      <c r="BP252" s="17"/>
      <c r="BQ252" s="17"/>
      <c r="BR252" s="17"/>
      <c r="BS252" s="17"/>
      <c r="BT252" s="17"/>
      <c r="BU252" s="17"/>
      <c r="BV252" s="17"/>
      <c r="BW252" s="17"/>
      <c r="BX252" s="17"/>
      <c r="BY252" s="17"/>
      <c r="BZ252" s="17"/>
      <c r="CA252" s="17"/>
      <c r="CB252" s="17"/>
      <c r="CC252" s="17"/>
      <c r="CD252" s="17"/>
      <c r="CE252" s="17"/>
      <c r="CF252" s="17"/>
      <c r="CG252" s="17"/>
    </row>
    <row r="253" spans="1:85" ht="16.5" customHeight="1" x14ac:dyDescent="0.25">
      <c r="A253" s="24">
        <f t="shared" si="9"/>
        <v>1</v>
      </c>
      <c r="B253" s="27">
        <v>60375</v>
      </c>
      <c r="C253" s="28" t="s">
        <v>695</v>
      </c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3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3"/>
      <c r="AR253" s="12"/>
      <c r="AS253" s="12"/>
      <c r="AT253" s="12"/>
      <c r="AU253" s="12"/>
      <c r="AV253" s="12"/>
      <c r="AW253" s="12" t="s">
        <v>243</v>
      </c>
      <c r="AX253" s="12"/>
      <c r="AY253" s="12"/>
      <c r="AZ253" s="12"/>
      <c r="BA253" s="12"/>
      <c r="BB253" s="12"/>
      <c r="BC253" s="12"/>
      <c r="BD253" s="12"/>
      <c r="BE253" s="38"/>
    </row>
    <row r="254" spans="1:85" s="13" customFormat="1" ht="16.5" customHeight="1" x14ac:dyDescent="0.25">
      <c r="A254" s="24">
        <f t="shared" si="9"/>
        <v>1</v>
      </c>
      <c r="B254" s="25">
        <v>60380</v>
      </c>
      <c r="C254" s="24" t="s">
        <v>697</v>
      </c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7"/>
      <c r="AG254" s="16"/>
      <c r="AH254" s="16"/>
      <c r="AI254" s="16"/>
      <c r="AJ254" s="16"/>
      <c r="AK254" s="16"/>
      <c r="AL254" s="16"/>
      <c r="AM254" s="16"/>
      <c r="AN254" s="16"/>
      <c r="AO254" s="16"/>
      <c r="AP254" s="16"/>
      <c r="AQ254" s="17"/>
      <c r="AR254" s="16"/>
      <c r="AS254" s="16"/>
      <c r="AT254" s="16"/>
      <c r="AU254" s="16"/>
      <c r="AV254" s="16"/>
      <c r="AW254" s="16" t="s">
        <v>243</v>
      </c>
      <c r="AX254" s="16"/>
      <c r="AY254" s="16"/>
      <c r="AZ254" s="16"/>
      <c r="BA254" s="16"/>
      <c r="BB254" s="16"/>
      <c r="BC254" s="16"/>
      <c r="BD254" s="16"/>
      <c r="BE254" s="14"/>
      <c r="BF254" s="17"/>
      <c r="BG254" s="17"/>
      <c r="BH254" s="17"/>
      <c r="BI254" s="17"/>
      <c r="BJ254" s="17"/>
      <c r="BK254" s="17"/>
      <c r="BL254" s="17"/>
      <c r="BM254" s="17"/>
      <c r="BN254" s="17"/>
      <c r="BO254" s="17"/>
      <c r="BP254" s="17"/>
      <c r="BQ254" s="17"/>
      <c r="BR254" s="17"/>
      <c r="BS254" s="17"/>
      <c r="BT254" s="17"/>
      <c r="BU254" s="17"/>
      <c r="BV254" s="17"/>
      <c r="BW254" s="17"/>
      <c r="BX254" s="17"/>
      <c r="BY254" s="17"/>
      <c r="BZ254" s="17"/>
      <c r="CA254" s="17"/>
      <c r="CB254" s="17"/>
      <c r="CC254" s="17"/>
      <c r="CD254" s="17"/>
      <c r="CE254" s="17"/>
      <c r="CF254" s="17"/>
      <c r="CG254" s="17"/>
    </row>
    <row r="255" spans="1:85" ht="16.5" customHeight="1" x14ac:dyDescent="0.25">
      <c r="A255" s="24">
        <f t="shared" si="9"/>
        <v>1</v>
      </c>
      <c r="B255" s="27">
        <v>60385</v>
      </c>
      <c r="C255" s="28" t="s">
        <v>699</v>
      </c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3"/>
      <c r="AG255" s="12"/>
      <c r="AH255" s="12"/>
      <c r="AI255" s="12"/>
      <c r="AJ255" s="12"/>
      <c r="AK255" s="12"/>
      <c r="AL255" s="12"/>
      <c r="AM255" s="12"/>
      <c r="AN255" s="12"/>
      <c r="AO255" s="12"/>
      <c r="AP255" s="12"/>
      <c r="AQ255" s="13"/>
      <c r="AR255" s="12"/>
      <c r="AS255" s="12"/>
      <c r="AT255" s="12"/>
      <c r="AU255" s="12"/>
      <c r="AV255" s="12"/>
      <c r="AW255" s="12" t="s">
        <v>243</v>
      </c>
      <c r="AX255" s="12"/>
      <c r="AY255" s="12"/>
      <c r="AZ255" s="12"/>
      <c r="BA255" s="12"/>
      <c r="BB255" s="12"/>
      <c r="BC255" s="12"/>
      <c r="BD255" s="12"/>
      <c r="BE255" s="38"/>
    </row>
    <row r="256" spans="1:85" s="13" customFormat="1" ht="16.5" customHeight="1" x14ac:dyDescent="0.25">
      <c r="A256" s="24">
        <f t="shared" si="9"/>
        <v>13</v>
      </c>
      <c r="B256" s="25">
        <v>60390</v>
      </c>
      <c r="C256" s="24" t="s">
        <v>701</v>
      </c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7"/>
      <c r="AG256" s="16"/>
      <c r="AH256" s="16"/>
      <c r="AI256" s="16"/>
      <c r="AJ256" s="16"/>
      <c r="AK256" s="16"/>
      <c r="AL256" s="16"/>
      <c r="AM256" s="16"/>
      <c r="AN256" s="16"/>
      <c r="AO256" s="16"/>
      <c r="AP256" s="16"/>
      <c r="AQ256" s="17"/>
      <c r="AR256" s="16"/>
      <c r="AS256" s="16"/>
      <c r="AT256" s="16"/>
      <c r="AU256" s="16"/>
      <c r="AV256" s="16"/>
      <c r="AW256" s="16" t="s">
        <v>243</v>
      </c>
      <c r="AX256" s="16"/>
      <c r="AY256" s="16"/>
      <c r="AZ256" s="16"/>
      <c r="BA256" s="16"/>
      <c r="BB256" s="16"/>
      <c r="BC256" s="16"/>
      <c r="BD256" s="16"/>
      <c r="BE256" s="14"/>
      <c r="BF256" s="17"/>
      <c r="BG256" s="17"/>
      <c r="BH256" s="17"/>
      <c r="BI256" s="17"/>
      <c r="BJ256" s="17"/>
      <c r="BK256" s="17"/>
      <c r="BL256" s="17"/>
      <c r="BM256" s="17"/>
      <c r="BN256" s="17"/>
      <c r="BO256" s="17"/>
      <c r="BP256" s="17"/>
      <c r="BQ256" s="17"/>
      <c r="BR256" s="17"/>
      <c r="BS256" s="17"/>
      <c r="BT256" s="17"/>
      <c r="BU256" s="17"/>
      <c r="BV256" s="17"/>
      <c r="BW256" s="17"/>
      <c r="BX256" s="17"/>
      <c r="BY256" s="17"/>
      <c r="BZ256" s="17"/>
      <c r="CA256" s="17"/>
      <c r="CB256" s="17"/>
      <c r="CC256" s="17"/>
      <c r="CD256" s="17"/>
      <c r="CE256" s="17"/>
      <c r="CF256" s="17"/>
      <c r="CG256" s="17"/>
    </row>
    <row r="257" spans="1:85" ht="16.5" customHeight="1" x14ac:dyDescent="0.25">
      <c r="A257" s="24">
        <f t="shared" si="9"/>
        <v>1</v>
      </c>
      <c r="B257" s="27">
        <v>60395</v>
      </c>
      <c r="C257" s="28" t="s">
        <v>1543</v>
      </c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3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3"/>
      <c r="AR257" s="12"/>
      <c r="AS257" s="12"/>
      <c r="AT257" s="12"/>
      <c r="AU257" s="12"/>
      <c r="AV257" s="12"/>
      <c r="AW257" s="12" t="s">
        <v>243</v>
      </c>
      <c r="AX257" s="12"/>
      <c r="AY257" s="12"/>
      <c r="AZ257" s="12"/>
      <c r="BA257" s="12"/>
      <c r="BB257" s="12"/>
      <c r="BC257" s="12"/>
      <c r="BD257" s="12"/>
      <c r="BE257" s="38"/>
    </row>
    <row r="258" spans="1:85" s="13" customFormat="1" ht="16.5" customHeight="1" x14ac:dyDescent="0.25">
      <c r="A258" s="24">
        <f t="shared" ref="A258:A269" si="10">COUNTIF(D266:BE266,"Y")</f>
        <v>1</v>
      </c>
      <c r="B258" s="25">
        <v>60400</v>
      </c>
      <c r="C258" s="24" t="s">
        <v>705</v>
      </c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7"/>
      <c r="AG258" s="16"/>
      <c r="AH258" s="16"/>
      <c r="AI258" s="16"/>
      <c r="AJ258" s="16"/>
      <c r="AK258" s="16"/>
      <c r="AL258" s="16"/>
      <c r="AM258" s="16"/>
      <c r="AN258" s="16"/>
      <c r="AO258" s="16"/>
      <c r="AP258" s="16"/>
      <c r="AQ258" s="17"/>
      <c r="AR258" s="16"/>
      <c r="AS258" s="16"/>
      <c r="AT258" s="16"/>
      <c r="AU258" s="16"/>
      <c r="AV258" s="16"/>
      <c r="AW258" s="16" t="s">
        <v>243</v>
      </c>
      <c r="AX258" s="16"/>
      <c r="AY258" s="16"/>
      <c r="AZ258" s="16"/>
      <c r="BA258" s="16"/>
      <c r="BB258" s="16"/>
      <c r="BC258" s="16"/>
      <c r="BD258" s="16"/>
      <c r="BE258" s="14"/>
      <c r="BF258" s="17"/>
      <c r="BG258" s="17"/>
      <c r="BH258" s="17"/>
      <c r="BI258" s="17"/>
      <c r="BJ258" s="17"/>
      <c r="BK258" s="17"/>
      <c r="BL258" s="17"/>
      <c r="BM258" s="17"/>
      <c r="BN258" s="17"/>
      <c r="BO258" s="17"/>
      <c r="BP258" s="17"/>
      <c r="BQ258" s="17"/>
      <c r="BR258" s="17"/>
      <c r="BS258" s="17"/>
      <c r="BT258" s="17"/>
      <c r="BU258" s="17"/>
      <c r="BV258" s="17"/>
      <c r="BW258" s="17"/>
      <c r="BX258" s="17"/>
      <c r="BY258" s="17"/>
      <c r="BZ258" s="17"/>
      <c r="CA258" s="17"/>
      <c r="CB258" s="17"/>
      <c r="CC258" s="17"/>
      <c r="CD258" s="17"/>
      <c r="CE258" s="17"/>
      <c r="CF258" s="17"/>
      <c r="CG258" s="17"/>
    </row>
    <row r="259" spans="1:85" ht="16.5" customHeight="1" x14ac:dyDescent="0.25">
      <c r="A259" s="24">
        <f t="shared" si="10"/>
        <v>16</v>
      </c>
      <c r="B259" s="27">
        <v>60405</v>
      </c>
      <c r="C259" s="28" t="s">
        <v>707</v>
      </c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3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3"/>
      <c r="AR259" s="12"/>
      <c r="AS259" s="12"/>
      <c r="AT259" s="12"/>
      <c r="AU259" s="12"/>
      <c r="AV259" s="12"/>
      <c r="AW259" s="12" t="s">
        <v>243</v>
      </c>
      <c r="AX259" s="12"/>
      <c r="AY259" s="12"/>
      <c r="AZ259" s="12"/>
      <c r="BA259" s="12"/>
      <c r="BB259" s="12"/>
      <c r="BC259" s="12"/>
      <c r="BD259" s="12"/>
      <c r="BE259" s="38"/>
    </row>
    <row r="260" spans="1:85" s="13" customFormat="1" ht="16.5" customHeight="1" x14ac:dyDescent="0.25">
      <c r="A260" s="24">
        <f t="shared" si="10"/>
        <v>2</v>
      </c>
      <c r="B260" s="25">
        <v>60410</v>
      </c>
      <c r="C260" s="24" t="s">
        <v>709</v>
      </c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7"/>
      <c r="AG260" s="16"/>
      <c r="AH260" s="16"/>
      <c r="AI260" s="16"/>
      <c r="AJ260" s="16"/>
      <c r="AK260" s="16"/>
      <c r="AL260" s="16"/>
      <c r="AM260" s="16"/>
      <c r="AN260" s="16"/>
      <c r="AO260" s="16"/>
      <c r="AP260" s="16"/>
      <c r="AQ260" s="17"/>
      <c r="AR260" s="16"/>
      <c r="AS260" s="16"/>
      <c r="AT260" s="16"/>
      <c r="AU260" s="16"/>
      <c r="AV260" s="16"/>
      <c r="AW260" s="16" t="s">
        <v>243</v>
      </c>
      <c r="AX260" s="16"/>
      <c r="AY260" s="16"/>
      <c r="AZ260" s="16"/>
      <c r="BA260" s="16"/>
      <c r="BB260" s="16"/>
      <c r="BC260" s="16"/>
      <c r="BD260" s="16"/>
      <c r="BE260" s="14"/>
      <c r="BF260" s="17"/>
      <c r="BG260" s="17"/>
      <c r="BH260" s="17"/>
      <c r="BI260" s="17"/>
      <c r="BJ260" s="17"/>
      <c r="BK260" s="17"/>
      <c r="BL260" s="17"/>
      <c r="BM260" s="17"/>
      <c r="BN260" s="17"/>
      <c r="BO260" s="17"/>
      <c r="BP260" s="17"/>
      <c r="BQ260" s="17"/>
      <c r="BR260" s="17"/>
      <c r="BS260" s="17"/>
      <c r="BT260" s="17"/>
      <c r="BU260" s="17"/>
      <c r="BV260" s="17"/>
      <c r="BW260" s="17"/>
      <c r="BX260" s="17"/>
      <c r="BY260" s="17"/>
      <c r="BZ260" s="17"/>
      <c r="CA260" s="17"/>
      <c r="CB260" s="17"/>
      <c r="CC260" s="17"/>
      <c r="CD260" s="17"/>
      <c r="CE260" s="17"/>
      <c r="CF260" s="17"/>
      <c r="CG260" s="17"/>
    </row>
    <row r="261" spans="1:85" ht="16.5" customHeight="1" x14ac:dyDescent="0.25">
      <c r="A261" s="24">
        <f t="shared" si="10"/>
        <v>18</v>
      </c>
      <c r="B261" s="27">
        <v>60415</v>
      </c>
      <c r="C261" s="28" t="s">
        <v>1544</v>
      </c>
      <c r="D261" s="42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 t="s">
        <v>243</v>
      </c>
      <c r="AX261" s="13"/>
      <c r="AY261" s="13"/>
      <c r="AZ261" s="13"/>
      <c r="BA261" s="13"/>
      <c r="BB261" s="13"/>
      <c r="BC261" s="13"/>
      <c r="BD261" s="13"/>
      <c r="BE261" s="38"/>
    </row>
    <row r="262" spans="1:85" s="13" customFormat="1" ht="16.5" customHeight="1" x14ac:dyDescent="0.25">
      <c r="A262" s="24">
        <f t="shared" si="10"/>
        <v>1</v>
      </c>
      <c r="B262" s="25">
        <v>60420</v>
      </c>
      <c r="C262" s="24" t="s">
        <v>1545</v>
      </c>
      <c r="D262" s="43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  <c r="AR262" s="17"/>
      <c r="AS262" s="17"/>
      <c r="AT262" s="17"/>
      <c r="AU262" s="17"/>
      <c r="AV262" s="17"/>
      <c r="AW262" s="17" t="s">
        <v>243</v>
      </c>
      <c r="AX262" s="17"/>
      <c r="AY262" s="17"/>
      <c r="AZ262" s="17"/>
      <c r="BA262" s="17"/>
      <c r="BB262" s="17"/>
      <c r="BC262" s="17"/>
      <c r="BD262" s="17"/>
      <c r="BE262" s="14"/>
      <c r="BF262" s="17"/>
      <c r="BG262" s="17"/>
      <c r="BH262" s="17"/>
      <c r="BI262" s="17"/>
      <c r="BJ262" s="17"/>
      <c r="BK262" s="17"/>
      <c r="BL262" s="17"/>
      <c r="BM262" s="17"/>
      <c r="BN262" s="17"/>
      <c r="BO262" s="17"/>
      <c r="BP262" s="17"/>
      <c r="BQ262" s="17"/>
      <c r="BR262" s="17"/>
      <c r="BS262" s="17"/>
      <c r="BT262" s="17"/>
      <c r="BU262" s="17"/>
      <c r="BV262" s="17"/>
      <c r="BW262" s="17"/>
      <c r="BX262" s="17"/>
      <c r="BY262" s="17"/>
      <c r="BZ262" s="17"/>
      <c r="CA262" s="17"/>
      <c r="CB262" s="17"/>
      <c r="CC262" s="17"/>
      <c r="CD262" s="17"/>
      <c r="CE262" s="17"/>
      <c r="CF262" s="17"/>
      <c r="CG262" s="17"/>
    </row>
    <row r="263" spans="1:85" ht="16.5" customHeight="1" x14ac:dyDescent="0.25">
      <c r="A263" s="24">
        <f t="shared" si="10"/>
        <v>2</v>
      </c>
      <c r="B263" s="27">
        <v>60425</v>
      </c>
      <c r="C263" s="28" t="s">
        <v>24</v>
      </c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 t="s">
        <v>243</v>
      </c>
      <c r="S263" s="12" t="s">
        <v>243</v>
      </c>
      <c r="T263" s="12" t="s">
        <v>243</v>
      </c>
      <c r="U263" s="12" t="s">
        <v>243</v>
      </c>
      <c r="V263" s="12" t="s">
        <v>243</v>
      </c>
      <c r="W263" s="12" t="s">
        <v>243</v>
      </c>
      <c r="X263" s="12" t="s">
        <v>243</v>
      </c>
      <c r="Y263" s="12" t="s">
        <v>243</v>
      </c>
      <c r="Z263" s="12" t="s">
        <v>243</v>
      </c>
      <c r="AA263" s="12" t="s">
        <v>243</v>
      </c>
      <c r="AB263" s="12" t="s">
        <v>243</v>
      </c>
      <c r="AC263" s="12" t="s">
        <v>243</v>
      </c>
      <c r="AD263" s="12" t="s">
        <v>243</v>
      </c>
      <c r="AE263" s="12"/>
      <c r="AF263" s="13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3"/>
      <c r="AR263" s="12"/>
      <c r="AS263" s="12"/>
      <c r="AT263" s="12"/>
      <c r="AU263" s="12"/>
      <c r="AV263" s="12"/>
      <c r="AW263" s="12"/>
      <c r="AX263" s="12"/>
      <c r="AY263" s="12"/>
      <c r="AZ263" s="12"/>
      <c r="BA263" s="12"/>
      <c r="BB263" s="12"/>
      <c r="BC263" s="12"/>
      <c r="BD263" s="12"/>
      <c r="BE263" s="38"/>
    </row>
    <row r="264" spans="1:85" s="13" customFormat="1" ht="16.5" customHeight="1" x14ac:dyDescent="0.25">
      <c r="A264" s="24">
        <f t="shared" si="10"/>
        <v>20</v>
      </c>
      <c r="B264" s="25">
        <v>60430</v>
      </c>
      <c r="C264" s="24" t="s">
        <v>40</v>
      </c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7"/>
      <c r="AG264" s="16"/>
      <c r="AH264" s="16"/>
      <c r="AI264" s="16"/>
      <c r="AJ264" s="16"/>
      <c r="AK264" s="16"/>
      <c r="AL264" s="16"/>
      <c r="AM264" s="16"/>
      <c r="AN264" s="16"/>
      <c r="AO264" s="16"/>
      <c r="AP264" s="16"/>
      <c r="AQ264" s="17"/>
      <c r="AR264" s="16"/>
      <c r="AS264" s="16"/>
      <c r="AT264" s="16"/>
      <c r="AU264" s="16"/>
      <c r="AV264" s="16"/>
      <c r="AW264" s="16"/>
      <c r="AX264" s="16" t="s">
        <v>243</v>
      </c>
      <c r="AY264" s="16"/>
      <c r="AZ264" s="16"/>
      <c r="BA264" s="16"/>
      <c r="BB264" s="16"/>
      <c r="BC264" s="16"/>
      <c r="BD264" s="16"/>
      <c r="BE264" s="14"/>
      <c r="BF264" s="17"/>
      <c r="BG264" s="17"/>
      <c r="BH264" s="17"/>
      <c r="BI264" s="17"/>
      <c r="BJ264" s="17"/>
      <c r="BK264" s="17"/>
      <c r="BL264" s="17"/>
      <c r="BM264" s="17"/>
      <c r="BN264" s="17"/>
      <c r="BO264" s="17"/>
      <c r="BP264" s="17"/>
      <c r="BQ264" s="17"/>
      <c r="BR264" s="17"/>
      <c r="BS264" s="17"/>
      <c r="BT264" s="17"/>
      <c r="BU264" s="17"/>
      <c r="BV264" s="17"/>
      <c r="BW264" s="17"/>
      <c r="BX264" s="17"/>
      <c r="BY264" s="17"/>
      <c r="BZ264" s="17"/>
      <c r="CA264" s="17"/>
      <c r="CB264" s="17"/>
      <c r="CC264" s="17"/>
      <c r="CD264" s="17"/>
      <c r="CE264" s="17"/>
      <c r="CF264" s="17"/>
      <c r="CG264" s="17"/>
    </row>
    <row r="265" spans="1:85" ht="16.5" customHeight="1" x14ac:dyDescent="0.25">
      <c r="A265" s="24">
        <f t="shared" si="10"/>
        <v>1</v>
      </c>
      <c r="B265" s="27">
        <v>60435</v>
      </c>
      <c r="C265" s="28" t="s">
        <v>1546</v>
      </c>
      <c r="D265" s="42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 t="s">
        <v>243</v>
      </c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38"/>
    </row>
    <row r="266" spans="1:85" s="13" customFormat="1" ht="16.5" customHeight="1" x14ac:dyDescent="0.25">
      <c r="A266" s="24">
        <f t="shared" si="10"/>
        <v>1</v>
      </c>
      <c r="B266" s="25">
        <v>60440</v>
      </c>
      <c r="C266" s="24" t="s">
        <v>41</v>
      </c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7"/>
      <c r="AG266" s="16"/>
      <c r="AH266" s="16"/>
      <c r="AI266" s="16"/>
      <c r="AJ266" s="16"/>
      <c r="AK266" s="16"/>
      <c r="AL266" s="16"/>
      <c r="AM266" s="16"/>
      <c r="AN266" s="16"/>
      <c r="AO266" s="16"/>
      <c r="AP266" s="16"/>
      <c r="AQ266" s="17"/>
      <c r="AR266" s="16"/>
      <c r="AS266" s="16"/>
      <c r="AT266" s="16"/>
      <c r="AU266" s="16"/>
      <c r="AV266" s="16"/>
      <c r="AW266" s="16"/>
      <c r="AX266" s="16"/>
      <c r="AY266" s="16" t="s">
        <v>243</v>
      </c>
      <c r="AZ266" s="16"/>
      <c r="BA266" s="16"/>
      <c r="BB266" s="16"/>
      <c r="BC266" s="16"/>
      <c r="BD266" s="16"/>
      <c r="BE266" s="14"/>
      <c r="BF266" s="17"/>
      <c r="BG266" s="17"/>
      <c r="BH266" s="17"/>
      <c r="BI266" s="17"/>
      <c r="BJ266" s="17"/>
      <c r="BK266" s="17"/>
      <c r="BL266" s="17"/>
      <c r="BM266" s="17"/>
      <c r="BN266" s="17"/>
      <c r="BO266" s="17"/>
      <c r="BP266" s="17"/>
      <c r="BQ266" s="17"/>
      <c r="BR266" s="17"/>
      <c r="BS266" s="17"/>
      <c r="BT266" s="17"/>
      <c r="BU266" s="17"/>
      <c r="BV266" s="17"/>
      <c r="BW266" s="17"/>
      <c r="BX266" s="17"/>
      <c r="BY266" s="17"/>
      <c r="BZ266" s="17"/>
      <c r="CA266" s="17"/>
      <c r="CB266" s="17"/>
      <c r="CC266" s="17"/>
      <c r="CD266" s="17"/>
      <c r="CE266" s="17"/>
      <c r="CF266" s="17"/>
      <c r="CG266" s="17"/>
    </row>
    <row r="267" spans="1:85" ht="16.5" customHeight="1" x14ac:dyDescent="0.25">
      <c r="A267" s="24">
        <f t="shared" si="10"/>
        <v>15</v>
      </c>
      <c r="B267" s="27">
        <v>60445</v>
      </c>
      <c r="C267" s="28" t="s">
        <v>42</v>
      </c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 t="s">
        <v>243</v>
      </c>
      <c r="Q267" s="12" t="s">
        <v>243</v>
      </c>
      <c r="R267" s="12" t="s">
        <v>243</v>
      </c>
      <c r="S267" s="12" t="s">
        <v>243</v>
      </c>
      <c r="T267" s="12" t="s">
        <v>243</v>
      </c>
      <c r="U267" s="12" t="s">
        <v>243</v>
      </c>
      <c r="V267" s="12" t="s">
        <v>243</v>
      </c>
      <c r="W267" s="12" t="s">
        <v>243</v>
      </c>
      <c r="X267" s="12" t="s">
        <v>243</v>
      </c>
      <c r="Y267" s="12" t="s">
        <v>243</v>
      </c>
      <c r="Z267" s="12" t="s">
        <v>243</v>
      </c>
      <c r="AA267" s="12" t="s">
        <v>243</v>
      </c>
      <c r="AB267" s="12" t="s">
        <v>243</v>
      </c>
      <c r="AC267" s="12" t="s">
        <v>243</v>
      </c>
      <c r="AD267" s="12" t="s">
        <v>243</v>
      </c>
      <c r="AE267" s="12"/>
      <c r="AF267" s="13"/>
      <c r="AG267" s="12"/>
      <c r="AH267" s="12"/>
      <c r="AI267" s="12"/>
      <c r="AJ267" s="12"/>
      <c r="AK267" s="12"/>
      <c r="AL267" s="12"/>
      <c r="AM267" s="12"/>
      <c r="AN267" s="12" t="s">
        <v>243</v>
      </c>
      <c r="AO267" s="12"/>
      <c r="AP267" s="12"/>
      <c r="AQ267" s="13"/>
      <c r="AR267" s="12"/>
      <c r="AS267" s="12"/>
      <c r="AT267" s="12"/>
      <c r="AU267" s="12"/>
      <c r="AV267" s="12"/>
      <c r="AW267" s="12"/>
      <c r="AX267" s="12"/>
      <c r="AY267" s="12"/>
      <c r="AZ267" s="12"/>
      <c r="BA267" s="12"/>
      <c r="BB267" s="12"/>
      <c r="BC267" s="12"/>
      <c r="BD267" s="12"/>
      <c r="BE267" s="38"/>
    </row>
    <row r="268" spans="1:85" s="13" customFormat="1" ht="16.5" customHeight="1" x14ac:dyDescent="0.25">
      <c r="A268" s="24">
        <f t="shared" si="10"/>
        <v>1</v>
      </c>
      <c r="B268" s="25">
        <v>60450</v>
      </c>
      <c r="C268" s="24" t="s">
        <v>719</v>
      </c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 t="s">
        <v>243</v>
      </c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7"/>
      <c r="AG268" s="16"/>
      <c r="AH268" s="16"/>
      <c r="AI268" s="16"/>
      <c r="AJ268" s="16"/>
      <c r="AK268" s="16"/>
      <c r="AL268" s="16"/>
      <c r="AM268" s="16"/>
      <c r="AN268" s="16" t="s">
        <v>243</v>
      </c>
      <c r="AO268" s="16"/>
      <c r="AP268" s="16"/>
      <c r="AQ268" s="17"/>
      <c r="AR268" s="16"/>
      <c r="AS268" s="16"/>
      <c r="AT268" s="16"/>
      <c r="AU268" s="16"/>
      <c r="AV268" s="16"/>
      <c r="AW268" s="16"/>
      <c r="AX268" s="16"/>
      <c r="AY268" s="16"/>
      <c r="AZ268" s="16"/>
      <c r="BA268" s="16"/>
      <c r="BB268" s="16"/>
      <c r="BC268" s="16"/>
      <c r="BD268" s="16"/>
      <c r="BE268" s="14"/>
      <c r="BF268" s="17"/>
      <c r="BG268" s="17"/>
      <c r="BH268" s="17"/>
      <c r="BI268" s="17"/>
      <c r="BJ268" s="17"/>
      <c r="BK268" s="17"/>
      <c r="BL268" s="17"/>
      <c r="BM268" s="17"/>
      <c r="BN268" s="17"/>
      <c r="BO268" s="17"/>
      <c r="BP268" s="17"/>
      <c r="BQ268" s="17"/>
      <c r="BR268" s="17"/>
      <c r="BS268" s="17"/>
      <c r="BT268" s="17"/>
      <c r="BU268" s="17"/>
      <c r="BV268" s="17"/>
      <c r="BW268" s="17"/>
      <c r="BX268" s="17"/>
      <c r="BY268" s="17"/>
      <c r="BZ268" s="17"/>
      <c r="CA268" s="17"/>
      <c r="CB268" s="17"/>
      <c r="CC268" s="17"/>
      <c r="CD268" s="17"/>
      <c r="CE268" s="17"/>
      <c r="CF268" s="17"/>
      <c r="CG268" s="17"/>
    </row>
    <row r="269" spans="1:85" ht="16.5" customHeight="1" x14ac:dyDescent="0.25">
      <c r="A269" s="24">
        <f t="shared" si="10"/>
        <v>1</v>
      </c>
      <c r="B269" s="27">
        <v>60455</v>
      </c>
      <c r="C269" s="28" t="s">
        <v>721</v>
      </c>
      <c r="D269" s="12" t="s">
        <v>243</v>
      </c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 t="s">
        <v>243</v>
      </c>
      <c r="S269" s="12" t="s">
        <v>243</v>
      </c>
      <c r="T269" s="12" t="s">
        <v>243</v>
      </c>
      <c r="U269" s="12" t="s">
        <v>243</v>
      </c>
      <c r="V269" s="12" t="s">
        <v>243</v>
      </c>
      <c r="W269" s="12" t="s">
        <v>243</v>
      </c>
      <c r="X269" s="12" t="s">
        <v>243</v>
      </c>
      <c r="Y269" s="12" t="s">
        <v>243</v>
      </c>
      <c r="Z269" s="12" t="s">
        <v>243</v>
      </c>
      <c r="AA269" s="12" t="s">
        <v>243</v>
      </c>
      <c r="AB269" s="12" t="s">
        <v>243</v>
      </c>
      <c r="AC269" s="12" t="s">
        <v>243</v>
      </c>
      <c r="AD269" s="12" t="s">
        <v>243</v>
      </c>
      <c r="AE269" s="12" t="s">
        <v>243</v>
      </c>
      <c r="AF269" s="13"/>
      <c r="AG269" s="12"/>
      <c r="AH269" s="12"/>
      <c r="AI269" s="12" t="s">
        <v>243</v>
      </c>
      <c r="AJ269" s="12"/>
      <c r="AK269" s="12" t="s">
        <v>243</v>
      </c>
      <c r="AL269" s="12"/>
      <c r="AM269" s="12"/>
      <c r="AN269" s="12" t="s">
        <v>243</v>
      </c>
      <c r="AO269" s="12"/>
      <c r="AP269" s="12"/>
      <c r="AQ269" s="13"/>
      <c r="AR269" s="12"/>
      <c r="AS269" s="12"/>
      <c r="AT269" s="12"/>
      <c r="AU269" s="12"/>
      <c r="AV269" s="12"/>
      <c r="AW269" s="12"/>
      <c r="AX269" s="12"/>
      <c r="AY269" s="12"/>
      <c r="AZ269" s="12"/>
      <c r="BA269" s="12"/>
      <c r="BB269" s="12"/>
      <c r="BC269" s="12"/>
      <c r="BD269" s="12"/>
      <c r="BE269" s="38"/>
    </row>
    <row r="270" spans="1:85" s="13" customFormat="1" ht="16.5" customHeight="1" x14ac:dyDescent="0.25">
      <c r="A270" s="24">
        <f t="shared" ref="A270:A290" si="11">COUNTIF(D279:BE279,"Y")</f>
        <v>1</v>
      </c>
      <c r="B270" s="25">
        <v>60460</v>
      </c>
      <c r="C270" s="24" t="s">
        <v>43</v>
      </c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7"/>
      <c r="AG270" s="16"/>
      <c r="AH270" s="16"/>
      <c r="AI270" s="16"/>
      <c r="AJ270" s="16"/>
      <c r="AK270" s="16"/>
      <c r="AL270" s="16"/>
      <c r="AM270" s="16"/>
      <c r="AN270" s="16"/>
      <c r="AO270" s="16"/>
      <c r="AP270" s="16"/>
      <c r="AQ270" s="17"/>
      <c r="AR270" s="16"/>
      <c r="AS270" s="16"/>
      <c r="AT270" s="16"/>
      <c r="AU270" s="16"/>
      <c r="AV270" s="16"/>
      <c r="AW270" s="16"/>
      <c r="AX270" s="16"/>
      <c r="AY270" s="16" t="s">
        <v>243</v>
      </c>
      <c r="AZ270" s="16"/>
      <c r="BA270" s="16"/>
      <c r="BB270" s="16"/>
      <c r="BC270" s="16"/>
      <c r="BD270" s="16"/>
      <c r="BE270" s="14"/>
      <c r="BF270" s="17"/>
      <c r="BG270" s="17"/>
      <c r="BH270" s="17"/>
      <c r="BI270" s="17"/>
      <c r="BJ270" s="17"/>
      <c r="BK270" s="17"/>
      <c r="BL270" s="17"/>
      <c r="BM270" s="17"/>
      <c r="BN270" s="17"/>
      <c r="BO270" s="17"/>
      <c r="BP270" s="17"/>
      <c r="BQ270" s="17"/>
      <c r="BR270" s="17"/>
      <c r="BS270" s="17"/>
      <c r="BT270" s="17"/>
      <c r="BU270" s="17"/>
      <c r="BV270" s="17"/>
      <c r="BW270" s="17"/>
      <c r="BX270" s="17"/>
      <c r="BY270" s="17"/>
      <c r="BZ270" s="17"/>
      <c r="CA270" s="17"/>
      <c r="CB270" s="17"/>
      <c r="CC270" s="17"/>
      <c r="CD270" s="17"/>
      <c r="CE270" s="17"/>
      <c r="CF270" s="17"/>
      <c r="CG270" s="17"/>
    </row>
    <row r="271" spans="1:85" ht="16.5" customHeight="1" x14ac:dyDescent="0.25">
      <c r="A271" s="24">
        <f t="shared" si="11"/>
        <v>14</v>
      </c>
      <c r="B271" s="27">
        <v>60465</v>
      </c>
      <c r="C271" s="28" t="s">
        <v>25</v>
      </c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3"/>
      <c r="AG271" s="12"/>
      <c r="AH271" s="12"/>
      <c r="AI271" s="12"/>
      <c r="AJ271" s="12"/>
      <c r="AK271" s="12"/>
      <c r="AL271" s="12"/>
      <c r="AM271" s="12"/>
      <c r="AN271" s="12"/>
      <c r="AO271" s="12"/>
      <c r="AP271" s="12"/>
      <c r="AQ271" s="13" t="s">
        <v>243</v>
      </c>
      <c r="AR271" s="12"/>
      <c r="AS271" s="12"/>
      <c r="AT271" s="12"/>
      <c r="AU271" s="12" t="s">
        <v>243</v>
      </c>
      <c r="AV271" s="12"/>
      <c r="AW271" s="12"/>
      <c r="AX271" s="12"/>
      <c r="AY271" s="12"/>
      <c r="AZ271" s="12"/>
      <c r="BA271" s="12"/>
      <c r="BB271" s="12"/>
      <c r="BC271" s="12"/>
      <c r="BD271" s="12"/>
      <c r="BE271" s="38"/>
    </row>
    <row r="272" spans="1:85" s="13" customFormat="1" ht="16.5" customHeight="1" x14ac:dyDescent="0.25">
      <c r="A272" s="24">
        <f t="shared" si="11"/>
        <v>36</v>
      </c>
      <c r="B272" s="25">
        <v>60470</v>
      </c>
      <c r="C272" s="24" t="s">
        <v>44</v>
      </c>
      <c r="D272" s="16" t="s">
        <v>243</v>
      </c>
      <c r="E272" s="16"/>
      <c r="F272" s="16"/>
      <c r="G272" s="16"/>
      <c r="H272" s="16"/>
      <c r="I272" s="16"/>
      <c r="J272" s="16"/>
      <c r="K272" s="16"/>
      <c r="L272" s="16"/>
      <c r="M272" s="16"/>
      <c r="N272" s="16" t="s">
        <v>243</v>
      </c>
      <c r="O272" s="16"/>
      <c r="P272" s="16"/>
      <c r="Q272" s="16"/>
      <c r="R272" s="16"/>
      <c r="S272" s="16" t="s">
        <v>243</v>
      </c>
      <c r="T272" s="16"/>
      <c r="U272" s="16"/>
      <c r="V272" s="16" t="s">
        <v>243</v>
      </c>
      <c r="W272" s="16" t="s">
        <v>243</v>
      </c>
      <c r="X272" s="16" t="s">
        <v>243</v>
      </c>
      <c r="Y272" s="16" t="s">
        <v>243</v>
      </c>
      <c r="Z272" s="16" t="s">
        <v>243</v>
      </c>
      <c r="AA272" s="16" t="s">
        <v>243</v>
      </c>
      <c r="AB272" s="16" t="s">
        <v>243</v>
      </c>
      <c r="AC272" s="16" t="s">
        <v>243</v>
      </c>
      <c r="AD272" s="16" t="s">
        <v>243</v>
      </c>
      <c r="AE272" s="16" t="s">
        <v>243</v>
      </c>
      <c r="AF272" s="17"/>
      <c r="AG272" s="16"/>
      <c r="AH272" s="16" t="s">
        <v>243</v>
      </c>
      <c r="AI272" s="16" t="s">
        <v>243</v>
      </c>
      <c r="AJ272" s="16"/>
      <c r="AK272" s="16"/>
      <c r="AL272" s="16"/>
      <c r="AM272" s="16"/>
      <c r="AN272" s="16"/>
      <c r="AO272" s="16"/>
      <c r="AP272" s="16"/>
      <c r="AQ272" s="17" t="s">
        <v>243</v>
      </c>
      <c r="AR272" s="16"/>
      <c r="AS272" s="16"/>
      <c r="AT272" s="16"/>
      <c r="AU272" s="16" t="s">
        <v>243</v>
      </c>
      <c r="AV272" s="16" t="s">
        <v>243</v>
      </c>
      <c r="AW272" s="16" t="s">
        <v>243</v>
      </c>
      <c r="AX272" s="16"/>
      <c r="AY272" s="16" t="s">
        <v>243</v>
      </c>
      <c r="AZ272" s="16"/>
      <c r="BA272" s="16"/>
      <c r="BB272" s="16"/>
      <c r="BC272" s="16"/>
      <c r="BD272" s="16"/>
      <c r="BE272" s="14"/>
      <c r="BF272" s="17"/>
      <c r="BG272" s="17"/>
      <c r="BH272" s="17"/>
      <c r="BI272" s="17"/>
      <c r="BJ272" s="17"/>
      <c r="BK272" s="17"/>
      <c r="BL272" s="17"/>
      <c r="BM272" s="17"/>
      <c r="BN272" s="17"/>
      <c r="BO272" s="17"/>
      <c r="BP272" s="17"/>
      <c r="BQ272" s="17"/>
      <c r="BR272" s="17"/>
      <c r="BS272" s="17"/>
      <c r="BT272" s="17"/>
      <c r="BU272" s="17"/>
      <c r="BV272" s="17"/>
      <c r="BW272" s="17"/>
      <c r="BX272" s="17"/>
      <c r="BY272" s="17"/>
      <c r="BZ272" s="17"/>
      <c r="CA272" s="17"/>
      <c r="CB272" s="17"/>
      <c r="CC272" s="17"/>
      <c r="CD272" s="17"/>
      <c r="CE272" s="17"/>
      <c r="CF272" s="17"/>
      <c r="CG272" s="17"/>
    </row>
    <row r="273" spans="1:85" ht="16.5" customHeight="1" x14ac:dyDescent="0.25">
      <c r="A273" s="24">
        <f t="shared" si="11"/>
        <v>13</v>
      </c>
      <c r="B273" s="27">
        <v>60475</v>
      </c>
      <c r="C273" s="28" t="s">
        <v>1547</v>
      </c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3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3"/>
      <c r="AR273" s="12"/>
      <c r="AS273" s="12"/>
      <c r="AT273" s="12"/>
      <c r="AU273" s="12"/>
      <c r="AV273" s="12"/>
      <c r="AW273" s="12"/>
      <c r="AX273" s="12"/>
      <c r="AY273" s="12" t="s">
        <v>243</v>
      </c>
      <c r="AZ273" s="12"/>
      <c r="BA273" s="12"/>
      <c r="BB273" s="12"/>
      <c r="BC273" s="12"/>
      <c r="BD273" s="12"/>
      <c r="BE273" s="38"/>
    </row>
    <row r="274" spans="1:85" s="13" customFormat="1" ht="16.5" customHeight="1" x14ac:dyDescent="0.25">
      <c r="A274" s="24">
        <f t="shared" si="11"/>
        <v>1</v>
      </c>
      <c r="B274" s="25">
        <v>60480</v>
      </c>
      <c r="C274" s="24" t="s">
        <v>45</v>
      </c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7"/>
      <c r="AG274" s="16"/>
      <c r="AH274" s="16"/>
      <c r="AI274" s="16"/>
      <c r="AJ274" s="16"/>
      <c r="AK274" s="16"/>
      <c r="AL274" s="16"/>
      <c r="AM274" s="16"/>
      <c r="AN274" s="16"/>
      <c r="AO274" s="16"/>
      <c r="AP274" s="16"/>
      <c r="AQ274" s="17"/>
      <c r="AR274" s="16"/>
      <c r="AS274" s="16"/>
      <c r="AT274" s="16"/>
      <c r="AU274" s="16"/>
      <c r="AV274" s="16"/>
      <c r="AW274" s="16"/>
      <c r="AX274" s="16"/>
      <c r="AY274" s="16" t="s">
        <v>243</v>
      </c>
      <c r="AZ274" s="16"/>
      <c r="BA274" s="16"/>
      <c r="BB274" s="16"/>
      <c r="BC274" s="16"/>
      <c r="BD274" s="16"/>
      <c r="BE274" s="14"/>
      <c r="BF274" s="17"/>
      <c r="BG274" s="17"/>
      <c r="BH274" s="17"/>
      <c r="BI274" s="17"/>
      <c r="BJ274" s="17"/>
      <c r="BK274" s="17"/>
      <c r="BL274" s="17"/>
      <c r="BM274" s="17"/>
      <c r="BN274" s="17"/>
      <c r="BO274" s="17"/>
      <c r="BP274" s="17"/>
      <c r="BQ274" s="17"/>
      <c r="BR274" s="17"/>
      <c r="BS274" s="17"/>
      <c r="BT274" s="17"/>
      <c r="BU274" s="17"/>
      <c r="BV274" s="17"/>
      <c r="BW274" s="17"/>
      <c r="BX274" s="17"/>
      <c r="BY274" s="17"/>
      <c r="BZ274" s="17"/>
      <c r="CA274" s="17"/>
      <c r="CB274" s="17"/>
      <c r="CC274" s="17"/>
      <c r="CD274" s="17"/>
      <c r="CE274" s="17"/>
      <c r="CF274" s="17"/>
      <c r="CG274" s="17"/>
    </row>
    <row r="275" spans="1:85" ht="16.5" customHeight="1" x14ac:dyDescent="0.25">
      <c r="A275" s="24">
        <f t="shared" si="11"/>
        <v>1</v>
      </c>
      <c r="B275" s="27">
        <v>60485</v>
      </c>
      <c r="C275" s="28" t="s">
        <v>46</v>
      </c>
      <c r="D275" s="12" t="s">
        <v>243</v>
      </c>
      <c r="E275" s="12"/>
      <c r="F275" s="12"/>
      <c r="G275" s="12"/>
      <c r="H275" s="12"/>
      <c r="I275" s="12"/>
      <c r="J275" s="12"/>
      <c r="K275" s="12"/>
      <c r="L275" s="12"/>
      <c r="M275" s="12"/>
      <c r="N275" s="12" t="s">
        <v>243</v>
      </c>
      <c r="O275" s="12"/>
      <c r="P275" s="12"/>
      <c r="Q275" s="12"/>
      <c r="R275" s="12" t="s">
        <v>243</v>
      </c>
      <c r="S275" s="12" t="s">
        <v>243</v>
      </c>
      <c r="T275" s="12" t="s">
        <v>243</v>
      </c>
      <c r="U275" s="12"/>
      <c r="V275" s="12" t="s">
        <v>243</v>
      </c>
      <c r="W275" s="12" t="s">
        <v>243</v>
      </c>
      <c r="X275" s="12" t="s">
        <v>243</v>
      </c>
      <c r="Y275" s="12" t="s">
        <v>243</v>
      </c>
      <c r="Z275" s="12" t="s">
        <v>243</v>
      </c>
      <c r="AA275" s="12" t="s">
        <v>243</v>
      </c>
      <c r="AB275" s="12" t="s">
        <v>243</v>
      </c>
      <c r="AC275" s="12" t="s">
        <v>243</v>
      </c>
      <c r="AD275" s="12" t="s">
        <v>243</v>
      </c>
      <c r="AE275" s="12" t="s">
        <v>243</v>
      </c>
      <c r="AF275" s="13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3"/>
      <c r="AR275" s="12"/>
      <c r="AS275" s="12"/>
      <c r="AT275" s="12"/>
      <c r="AU275" s="12"/>
      <c r="AV275" s="12"/>
      <c r="AW275" s="12"/>
      <c r="AX275" s="12"/>
      <c r="AY275" s="12"/>
      <c r="AZ275" s="12"/>
      <c r="BA275" s="12"/>
      <c r="BB275" s="12"/>
      <c r="BC275" s="12"/>
      <c r="BD275" s="12"/>
      <c r="BE275" s="38"/>
    </row>
    <row r="276" spans="1:85" s="13" customFormat="1" ht="16.5" customHeight="1" x14ac:dyDescent="0.25">
      <c r="A276" s="24">
        <f t="shared" si="11"/>
        <v>35</v>
      </c>
      <c r="B276" s="25">
        <v>60490</v>
      </c>
      <c r="C276" s="24" t="s">
        <v>47</v>
      </c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7"/>
      <c r="AG276" s="16"/>
      <c r="AH276" s="16"/>
      <c r="AI276" s="16"/>
      <c r="AJ276" s="16"/>
      <c r="AK276" s="16"/>
      <c r="AL276" s="16"/>
      <c r="AM276" s="16"/>
      <c r="AN276" s="16"/>
      <c r="AO276" s="16"/>
      <c r="AP276" s="16"/>
      <c r="AQ276" s="17" t="s">
        <v>243</v>
      </c>
      <c r="AR276" s="16"/>
      <c r="AS276" s="16"/>
      <c r="AT276" s="16"/>
      <c r="AU276" s="16"/>
      <c r="AV276" s="16"/>
      <c r="AW276" s="16"/>
      <c r="AX276" s="16"/>
      <c r="AY276" s="16"/>
      <c r="AZ276" s="16"/>
      <c r="BA276" s="16"/>
      <c r="BB276" s="16"/>
      <c r="BC276" s="16"/>
      <c r="BD276" s="16"/>
      <c r="BE276" s="14"/>
      <c r="BF276" s="17"/>
      <c r="BG276" s="17"/>
      <c r="BH276" s="17"/>
      <c r="BI276" s="17"/>
      <c r="BJ276" s="17"/>
      <c r="BK276" s="17"/>
      <c r="BL276" s="17"/>
      <c r="BM276" s="17"/>
      <c r="BN276" s="17"/>
      <c r="BO276" s="17"/>
      <c r="BP276" s="17"/>
      <c r="BQ276" s="17"/>
      <c r="BR276" s="17"/>
      <c r="BS276" s="17"/>
      <c r="BT276" s="17"/>
      <c r="BU276" s="17"/>
      <c r="BV276" s="17"/>
      <c r="BW276" s="17"/>
      <c r="BX276" s="17"/>
      <c r="BY276" s="17"/>
      <c r="BZ276" s="17"/>
      <c r="CA276" s="17"/>
      <c r="CB276" s="17"/>
      <c r="CC276" s="17"/>
      <c r="CD276" s="17"/>
      <c r="CE276" s="17"/>
      <c r="CF276" s="17"/>
      <c r="CG276" s="17"/>
    </row>
    <row r="277" spans="1:85" ht="16.5" customHeight="1" x14ac:dyDescent="0.25">
      <c r="A277" s="24">
        <f t="shared" si="11"/>
        <v>1</v>
      </c>
      <c r="B277" s="27">
        <v>60495</v>
      </c>
      <c r="C277" s="28" t="s">
        <v>731</v>
      </c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3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3"/>
      <c r="AR277" s="12"/>
      <c r="AS277" s="12"/>
      <c r="AT277" s="12"/>
      <c r="AU277" s="12"/>
      <c r="AV277" s="12"/>
      <c r="AW277" s="12"/>
      <c r="AX277" s="12" t="s">
        <v>243</v>
      </c>
      <c r="AY277" s="12"/>
      <c r="AZ277" s="12"/>
      <c r="BA277" s="12"/>
      <c r="BB277" s="12"/>
      <c r="BC277" s="12"/>
      <c r="BD277" s="12"/>
      <c r="BE277" s="38"/>
    </row>
    <row r="278" spans="1:85" s="13" customFormat="1" ht="16.5" customHeight="1" thickBot="1" x14ac:dyDescent="0.3">
      <c r="A278" s="24">
        <f t="shared" si="11"/>
        <v>1</v>
      </c>
      <c r="B278" s="25">
        <v>60500</v>
      </c>
      <c r="C278" s="24" t="s">
        <v>223</v>
      </c>
      <c r="D278" s="43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  <c r="AL278" s="17"/>
      <c r="AM278" s="17"/>
      <c r="AN278" s="17"/>
      <c r="AO278" s="17"/>
      <c r="AP278" s="17"/>
      <c r="AQ278" s="17"/>
      <c r="AR278" s="17"/>
      <c r="AS278" s="17"/>
      <c r="AT278" s="17"/>
      <c r="AU278" s="17"/>
      <c r="AV278" s="17"/>
      <c r="AW278" s="17"/>
      <c r="AX278" s="17"/>
      <c r="AY278" s="17"/>
      <c r="AZ278" s="17"/>
      <c r="BA278" s="17" t="s">
        <v>243</v>
      </c>
      <c r="BB278" s="17"/>
      <c r="BC278" s="17"/>
      <c r="BD278" s="17"/>
      <c r="BE278" s="14"/>
      <c r="BF278" s="17"/>
      <c r="BG278" s="17"/>
      <c r="BH278" s="17"/>
      <c r="BI278" s="17"/>
      <c r="BJ278" s="17"/>
      <c r="BK278" s="17"/>
      <c r="BL278" s="17"/>
      <c r="BM278" s="17"/>
      <c r="BN278" s="31"/>
      <c r="BO278" s="17"/>
      <c r="BP278" s="17"/>
      <c r="BQ278" s="17"/>
      <c r="BR278" s="17"/>
      <c r="BS278" s="17"/>
      <c r="BT278" s="17"/>
      <c r="BU278" s="17"/>
      <c r="BV278" s="17"/>
      <c r="BW278" s="17"/>
      <c r="BX278" s="17"/>
      <c r="BY278" s="17"/>
      <c r="BZ278" s="17"/>
      <c r="CA278" s="17"/>
      <c r="CB278" s="17"/>
      <c r="CC278" s="17"/>
      <c r="CD278" s="17"/>
      <c r="CE278" s="17"/>
      <c r="CF278" s="17"/>
      <c r="CG278" s="17"/>
    </row>
    <row r="279" spans="1:85" ht="16.5" customHeight="1" x14ac:dyDescent="0.25">
      <c r="A279" s="24">
        <f t="shared" si="11"/>
        <v>1</v>
      </c>
      <c r="B279" s="27">
        <v>60505</v>
      </c>
      <c r="C279" s="28" t="s">
        <v>733</v>
      </c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3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3"/>
      <c r="AR279" s="12"/>
      <c r="AS279" s="12"/>
      <c r="AT279" s="12"/>
      <c r="AU279" s="12"/>
      <c r="AV279" s="12"/>
      <c r="AW279" s="12"/>
      <c r="AX279" s="12" t="s">
        <v>243</v>
      </c>
      <c r="AY279" s="12"/>
      <c r="AZ279" s="12"/>
      <c r="BA279" s="12"/>
      <c r="BB279" s="12"/>
      <c r="BC279" s="12"/>
      <c r="BD279" s="12"/>
      <c r="BE279" s="38"/>
    </row>
    <row r="280" spans="1:85" s="13" customFormat="1" ht="16.5" customHeight="1" thickBot="1" x14ac:dyDescent="0.3">
      <c r="A280" s="24">
        <f t="shared" si="11"/>
        <v>1</v>
      </c>
      <c r="B280" s="25">
        <v>60510</v>
      </c>
      <c r="C280" s="24" t="s">
        <v>735</v>
      </c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 t="s">
        <v>243</v>
      </c>
      <c r="O280" s="16"/>
      <c r="P280" s="16"/>
      <c r="Q280" s="16"/>
      <c r="R280" s="16" t="s">
        <v>243</v>
      </c>
      <c r="S280" s="16" t="s">
        <v>243</v>
      </c>
      <c r="T280" s="16" t="s">
        <v>243</v>
      </c>
      <c r="U280" s="16" t="s">
        <v>243</v>
      </c>
      <c r="V280" s="16" t="s">
        <v>243</v>
      </c>
      <c r="W280" s="16" t="s">
        <v>243</v>
      </c>
      <c r="X280" s="16" t="s">
        <v>243</v>
      </c>
      <c r="Y280" s="16" t="s">
        <v>243</v>
      </c>
      <c r="Z280" s="16" t="s">
        <v>243</v>
      </c>
      <c r="AA280" s="16" t="s">
        <v>243</v>
      </c>
      <c r="AB280" s="16" t="s">
        <v>243</v>
      </c>
      <c r="AC280" s="16" t="s">
        <v>243</v>
      </c>
      <c r="AD280" s="16" t="s">
        <v>243</v>
      </c>
      <c r="AE280" s="16"/>
      <c r="AF280" s="17"/>
      <c r="AG280" s="16"/>
      <c r="AH280" s="16"/>
      <c r="AI280" s="16"/>
      <c r="AJ280" s="16"/>
      <c r="AK280" s="16"/>
      <c r="AL280" s="16"/>
      <c r="AM280" s="16"/>
      <c r="AN280" s="16"/>
      <c r="AO280" s="16"/>
      <c r="AP280" s="16"/>
      <c r="AQ280" s="17"/>
      <c r="AR280" s="16"/>
      <c r="AS280" s="16"/>
      <c r="AT280" s="16"/>
      <c r="AU280" s="16"/>
      <c r="AV280" s="16"/>
      <c r="AW280" s="16"/>
      <c r="AX280" s="16"/>
      <c r="AY280" s="16"/>
      <c r="AZ280" s="16"/>
      <c r="BA280" s="16"/>
      <c r="BB280" s="16"/>
      <c r="BC280" s="16"/>
      <c r="BD280" s="16"/>
      <c r="BE280" s="14"/>
      <c r="BF280" s="17"/>
      <c r="BG280" s="17"/>
      <c r="BH280" s="17"/>
      <c r="BI280" s="17"/>
      <c r="BJ280" s="17"/>
      <c r="BK280" s="17"/>
      <c r="BL280" s="17"/>
      <c r="BM280" s="31"/>
      <c r="BN280" s="17"/>
      <c r="BO280" s="17"/>
      <c r="BP280" s="17"/>
      <c r="BQ280" s="17"/>
      <c r="BR280" s="17"/>
      <c r="BS280" s="17"/>
      <c r="BT280" s="17"/>
      <c r="BU280" s="17"/>
      <c r="BV280" s="17"/>
      <c r="BW280" s="17"/>
      <c r="BX280" s="17"/>
      <c r="BY280" s="17"/>
      <c r="BZ280" s="17"/>
      <c r="CA280" s="17"/>
      <c r="CB280" s="17"/>
      <c r="CC280" s="17"/>
      <c r="CD280" s="17"/>
      <c r="CE280" s="17"/>
      <c r="CF280" s="17"/>
      <c r="CG280" s="17"/>
    </row>
    <row r="281" spans="1:85" ht="16.5" customHeight="1" thickBot="1" x14ac:dyDescent="0.3">
      <c r="A281" s="24">
        <f t="shared" si="11"/>
        <v>1</v>
      </c>
      <c r="B281" s="27">
        <v>60515</v>
      </c>
      <c r="C281" s="28" t="s">
        <v>737</v>
      </c>
      <c r="D281" s="12" t="s">
        <v>243</v>
      </c>
      <c r="E281" s="12" t="s">
        <v>243</v>
      </c>
      <c r="F281" s="12" t="s">
        <v>243</v>
      </c>
      <c r="G281" s="12" t="s">
        <v>243</v>
      </c>
      <c r="H281" s="12"/>
      <c r="I281" s="12"/>
      <c r="J281" s="12"/>
      <c r="K281" s="12"/>
      <c r="L281" s="12"/>
      <c r="M281" s="12"/>
      <c r="N281" s="12" t="s">
        <v>243</v>
      </c>
      <c r="O281" s="12" t="s">
        <v>243</v>
      </c>
      <c r="P281" s="12" t="s">
        <v>243</v>
      </c>
      <c r="Q281" s="12" t="s">
        <v>243</v>
      </c>
      <c r="R281" s="12" t="s">
        <v>243</v>
      </c>
      <c r="S281" s="12" t="s">
        <v>243</v>
      </c>
      <c r="T281" s="12" t="s">
        <v>243</v>
      </c>
      <c r="U281" s="12" t="s">
        <v>243</v>
      </c>
      <c r="V281" s="12" t="s">
        <v>243</v>
      </c>
      <c r="W281" s="12" t="s">
        <v>243</v>
      </c>
      <c r="X281" s="12" t="s">
        <v>243</v>
      </c>
      <c r="Y281" s="12" t="s">
        <v>243</v>
      </c>
      <c r="Z281" s="12" t="s">
        <v>243</v>
      </c>
      <c r="AA281" s="12" t="s">
        <v>243</v>
      </c>
      <c r="AB281" s="12" t="s">
        <v>243</v>
      </c>
      <c r="AC281" s="12" t="s">
        <v>243</v>
      </c>
      <c r="AD281" s="12" t="s">
        <v>243</v>
      </c>
      <c r="AE281" s="12" t="s">
        <v>243</v>
      </c>
      <c r="AF281" s="13"/>
      <c r="AG281" s="12"/>
      <c r="AH281" s="12" t="s">
        <v>243</v>
      </c>
      <c r="AI281" s="12" t="s">
        <v>243</v>
      </c>
      <c r="AJ281" s="12"/>
      <c r="AK281" s="12" t="s">
        <v>243</v>
      </c>
      <c r="AL281" s="12"/>
      <c r="AM281" s="12"/>
      <c r="AN281" s="12" t="s">
        <v>243</v>
      </c>
      <c r="AO281" s="12" t="s">
        <v>243</v>
      </c>
      <c r="AP281" s="12" t="s">
        <v>243</v>
      </c>
      <c r="AQ281" s="13"/>
      <c r="AR281" s="12" t="s">
        <v>243</v>
      </c>
      <c r="AS281" s="12" t="s">
        <v>243</v>
      </c>
      <c r="AT281" s="12" t="s">
        <v>243</v>
      </c>
      <c r="AU281" s="12" t="s">
        <v>243</v>
      </c>
      <c r="AV281" s="12" t="s">
        <v>243</v>
      </c>
      <c r="AW281" s="12" t="s">
        <v>243</v>
      </c>
      <c r="AX281" s="12" t="s">
        <v>243</v>
      </c>
      <c r="AY281" s="12" t="s">
        <v>243</v>
      </c>
      <c r="AZ281" s="12"/>
      <c r="BA281" s="12"/>
      <c r="BB281" s="12"/>
      <c r="BC281" s="12"/>
      <c r="BD281" s="12"/>
      <c r="BE281" s="38"/>
      <c r="BL281" s="31"/>
    </row>
    <row r="282" spans="1:85" s="13" customFormat="1" ht="16.5" customHeight="1" x14ac:dyDescent="0.25">
      <c r="A282" s="24">
        <f t="shared" si="11"/>
        <v>16</v>
      </c>
      <c r="B282" s="25">
        <v>60520</v>
      </c>
      <c r="C282" s="24" t="s">
        <v>48</v>
      </c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 t="s">
        <v>243</v>
      </c>
      <c r="O282" s="16"/>
      <c r="P282" s="16"/>
      <c r="Q282" s="16"/>
      <c r="R282" s="16" t="s">
        <v>243</v>
      </c>
      <c r="S282" s="16" t="s">
        <v>243</v>
      </c>
      <c r="T282" s="16" t="s">
        <v>243</v>
      </c>
      <c r="U282" s="16"/>
      <c r="V282" s="16" t="s">
        <v>243</v>
      </c>
      <c r="W282" s="16" t="s">
        <v>243</v>
      </c>
      <c r="X282" s="16" t="s">
        <v>243</v>
      </c>
      <c r="Y282" s="16" t="s">
        <v>243</v>
      </c>
      <c r="Z282" s="16" t="s">
        <v>243</v>
      </c>
      <c r="AA282" s="16" t="s">
        <v>243</v>
      </c>
      <c r="AB282" s="16" t="s">
        <v>243</v>
      </c>
      <c r="AC282" s="16" t="s">
        <v>243</v>
      </c>
      <c r="AD282" s="16" t="s">
        <v>243</v>
      </c>
      <c r="AE282" s="16"/>
      <c r="AF282" s="17"/>
      <c r="AG282" s="16"/>
      <c r="AH282" s="16"/>
      <c r="AI282" s="16"/>
      <c r="AJ282" s="16"/>
      <c r="AK282" s="16"/>
      <c r="AL282" s="16"/>
      <c r="AM282" s="16"/>
      <c r="AN282" s="16"/>
      <c r="AO282" s="16"/>
      <c r="AP282" s="16"/>
      <c r="AQ282" s="17"/>
      <c r="AR282" s="16"/>
      <c r="AS282" s="16"/>
      <c r="AT282" s="16"/>
      <c r="AU282" s="16"/>
      <c r="AV282" s="16"/>
      <c r="AW282" s="16"/>
      <c r="AX282" s="16"/>
      <c r="AY282" s="16"/>
      <c r="AZ282" s="16"/>
      <c r="BA282" s="16"/>
      <c r="BB282" s="16"/>
      <c r="BC282" s="16"/>
      <c r="BD282" s="16"/>
      <c r="BE282" s="14"/>
      <c r="BF282" s="17"/>
      <c r="BG282" s="17"/>
      <c r="BH282" s="17"/>
      <c r="BI282" s="17"/>
      <c r="BJ282" s="17"/>
      <c r="BK282" s="17"/>
      <c r="BL282" s="17"/>
      <c r="BM282" s="17"/>
      <c r="BN282" s="17"/>
      <c r="BO282" s="17"/>
      <c r="BP282" s="17"/>
      <c r="BQ282" s="17"/>
      <c r="BR282" s="17"/>
      <c r="BS282" s="17"/>
      <c r="BT282" s="17"/>
      <c r="BU282" s="17"/>
      <c r="BV282" s="17"/>
      <c r="BW282" s="17"/>
      <c r="BX282" s="17"/>
      <c r="BY282" s="17"/>
      <c r="BZ282" s="17"/>
      <c r="CA282" s="17"/>
      <c r="CB282" s="17"/>
      <c r="CC282" s="17"/>
      <c r="CD282" s="17"/>
      <c r="CE282" s="17"/>
      <c r="CF282" s="17"/>
      <c r="CG282" s="17"/>
    </row>
    <row r="283" spans="1:85" ht="16.5" customHeight="1" x14ac:dyDescent="0.25">
      <c r="A283" s="24">
        <f t="shared" si="11"/>
        <v>1</v>
      </c>
      <c r="B283" s="27">
        <v>60525</v>
      </c>
      <c r="C283" s="28" t="s">
        <v>1548</v>
      </c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3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3"/>
      <c r="AR283" s="12"/>
      <c r="AS283" s="12" t="s">
        <v>243</v>
      </c>
      <c r="AT283" s="12"/>
      <c r="AU283" s="12"/>
      <c r="AV283" s="12"/>
      <c r="AW283" s="12"/>
      <c r="AX283" s="12"/>
      <c r="AY283" s="12"/>
      <c r="AZ283" s="12"/>
      <c r="BA283" s="12"/>
      <c r="BB283" s="12"/>
      <c r="BC283" s="12"/>
      <c r="BD283" s="12"/>
      <c r="BE283" s="38"/>
    </row>
    <row r="284" spans="1:85" s="13" customFormat="1" ht="16.5" customHeight="1" thickBot="1" x14ac:dyDescent="0.3">
      <c r="A284" s="24">
        <f t="shared" si="11"/>
        <v>1</v>
      </c>
      <c r="B284" s="25">
        <v>60530</v>
      </c>
      <c r="C284" s="24" t="s">
        <v>742</v>
      </c>
      <c r="D284" s="43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  <c r="AL284" s="17"/>
      <c r="AM284" s="17"/>
      <c r="AN284" s="17"/>
      <c r="AO284" s="17"/>
      <c r="AP284" s="17"/>
      <c r="AQ284" s="17"/>
      <c r="AR284" s="17"/>
      <c r="AS284" s="17"/>
      <c r="AT284" s="17"/>
      <c r="AU284" s="17"/>
      <c r="AV284" s="17"/>
      <c r="AW284" s="17"/>
      <c r="AX284" s="17"/>
      <c r="AY284" s="17"/>
      <c r="AZ284" s="17" t="s">
        <v>243</v>
      </c>
      <c r="BA284" s="17"/>
      <c r="BB284" s="17"/>
      <c r="BC284" s="17"/>
      <c r="BD284" s="17"/>
      <c r="BE284" s="14"/>
      <c r="BF284" s="17"/>
      <c r="BG284" s="17"/>
      <c r="BH284" s="17"/>
      <c r="BI284" s="17"/>
      <c r="BJ284" s="17"/>
      <c r="BK284" s="31"/>
      <c r="BL284" s="17"/>
      <c r="BM284" s="17"/>
      <c r="BN284" s="17"/>
      <c r="BO284" s="17"/>
      <c r="BP284" s="17"/>
      <c r="BQ284" s="17"/>
      <c r="BR284" s="17"/>
      <c r="BS284" s="17"/>
      <c r="BT284" s="17"/>
      <c r="BU284" s="17"/>
      <c r="BV284" s="17"/>
      <c r="BW284" s="17"/>
      <c r="BX284" s="17"/>
      <c r="BY284" s="17"/>
      <c r="BZ284" s="17"/>
      <c r="CA284" s="17"/>
      <c r="CB284" s="17"/>
      <c r="CC284" s="17"/>
      <c r="CD284" s="17"/>
      <c r="CE284" s="17"/>
      <c r="CF284" s="17"/>
      <c r="CG284" s="17"/>
    </row>
    <row r="285" spans="1:85" ht="16.5" customHeight="1" thickBot="1" x14ac:dyDescent="0.3">
      <c r="A285" s="24">
        <f t="shared" si="11"/>
        <v>1</v>
      </c>
      <c r="B285" s="27">
        <v>60535</v>
      </c>
      <c r="C285" s="28" t="s">
        <v>49</v>
      </c>
      <c r="D285" s="12" t="s">
        <v>243</v>
      </c>
      <c r="E285" s="12" t="s">
        <v>243</v>
      </c>
      <c r="F285" s="12" t="s">
        <v>243</v>
      </c>
      <c r="G285" s="12" t="s">
        <v>243</v>
      </c>
      <c r="H285" s="12"/>
      <c r="I285" s="12"/>
      <c r="J285" s="12"/>
      <c r="K285" s="12"/>
      <c r="L285" s="12"/>
      <c r="M285" s="12"/>
      <c r="N285" s="12" t="s">
        <v>243</v>
      </c>
      <c r="O285" s="12" t="s">
        <v>243</v>
      </c>
      <c r="P285" s="12" t="s">
        <v>243</v>
      </c>
      <c r="Q285" s="12" t="s">
        <v>243</v>
      </c>
      <c r="R285" s="12" t="s">
        <v>243</v>
      </c>
      <c r="S285" s="12" t="s">
        <v>243</v>
      </c>
      <c r="T285" s="12" t="s">
        <v>243</v>
      </c>
      <c r="U285" s="12" t="s">
        <v>243</v>
      </c>
      <c r="V285" s="12" t="s">
        <v>243</v>
      </c>
      <c r="W285" s="12" t="s">
        <v>243</v>
      </c>
      <c r="X285" s="12" t="s">
        <v>243</v>
      </c>
      <c r="Y285" s="12" t="s">
        <v>243</v>
      </c>
      <c r="Z285" s="12" t="s">
        <v>243</v>
      </c>
      <c r="AA285" s="12" t="s">
        <v>243</v>
      </c>
      <c r="AB285" s="12" t="s">
        <v>243</v>
      </c>
      <c r="AC285" s="12" t="s">
        <v>243</v>
      </c>
      <c r="AD285" s="12" t="s">
        <v>243</v>
      </c>
      <c r="AE285" s="12" t="s">
        <v>243</v>
      </c>
      <c r="AF285" s="13"/>
      <c r="AG285" s="12"/>
      <c r="AH285" s="12" t="s">
        <v>243</v>
      </c>
      <c r="AI285" s="12" t="s">
        <v>243</v>
      </c>
      <c r="AJ285" s="12"/>
      <c r="AK285" s="12" t="s">
        <v>243</v>
      </c>
      <c r="AL285" s="12"/>
      <c r="AM285" s="12"/>
      <c r="AN285" s="12" t="s">
        <v>243</v>
      </c>
      <c r="AO285" s="12" t="s">
        <v>243</v>
      </c>
      <c r="AP285" s="12"/>
      <c r="AQ285" s="13"/>
      <c r="AR285" s="12" t="s">
        <v>243</v>
      </c>
      <c r="AS285" s="12" t="s">
        <v>243</v>
      </c>
      <c r="AT285" s="12" t="s">
        <v>243</v>
      </c>
      <c r="AU285" s="12" t="s">
        <v>243</v>
      </c>
      <c r="AV285" s="12" t="s">
        <v>243</v>
      </c>
      <c r="AW285" s="12" t="s">
        <v>243</v>
      </c>
      <c r="AX285" s="12" t="s">
        <v>243</v>
      </c>
      <c r="AY285" s="12" t="s">
        <v>243</v>
      </c>
      <c r="AZ285" s="12"/>
      <c r="BA285" s="12"/>
      <c r="BB285" s="12"/>
      <c r="BC285" s="12"/>
      <c r="BD285" s="12"/>
      <c r="BE285" s="38"/>
      <c r="BI285" s="31"/>
      <c r="BJ285" s="31"/>
    </row>
    <row r="286" spans="1:85" s="13" customFormat="1" ht="16.5" customHeight="1" x14ac:dyDescent="0.25">
      <c r="A286" s="24">
        <f t="shared" si="11"/>
        <v>1</v>
      </c>
      <c r="B286" s="25">
        <v>60540</v>
      </c>
      <c r="C286" s="24" t="s">
        <v>26</v>
      </c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7"/>
      <c r="AG286" s="16"/>
      <c r="AH286" s="16"/>
      <c r="AI286" s="16"/>
      <c r="AJ286" s="16"/>
      <c r="AK286" s="16"/>
      <c r="AL286" s="16"/>
      <c r="AM286" s="16"/>
      <c r="AN286" s="16"/>
      <c r="AO286" s="16"/>
      <c r="AP286" s="16"/>
      <c r="AQ286" s="17"/>
      <c r="AR286" s="16"/>
      <c r="AS286" s="16"/>
      <c r="AT286" s="16"/>
      <c r="AU286" s="16"/>
      <c r="AV286" s="16"/>
      <c r="AW286" s="16"/>
      <c r="AX286" s="16"/>
      <c r="AY286" s="16"/>
      <c r="AZ286" s="16" t="s">
        <v>243</v>
      </c>
      <c r="BA286" s="16"/>
      <c r="BB286" s="16"/>
      <c r="BC286" s="16"/>
      <c r="BD286" s="16"/>
      <c r="BE286" s="14"/>
      <c r="BF286" s="17"/>
      <c r="BG286" s="17"/>
      <c r="BH286" s="17"/>
      <c r="BI286" s="17"/>
      <c r="BJ286" s="17"/>
      <c r="BK286" s="17"/>
      <c r="BL286" s="17"/>
      <c r="BM286" s="17"/>
      <c r="BN286" s="17"/>
      <c r="BO286" s="17"/>
      <c r="BP286" s="17"/>
      <c r="BQ286" s="17"/>
      <c r="BR286" s="17"/>
      <c r="BS286" s="17"/>
      <c r="BT286" s="17"/>
      <c r="BU286" s="17"/>
      <c r="BV286" s="17"/>
      <c r="BW286" s="17"/>
      <c r="BX286" s="17"/>
      <c r="BY286" s="17"/>
      <c r="BZ286" s="17"/>
      <c r="CA286" s="17"/>
      <c r="CB286" s="17"/>
      <c r="CC286" s="17"/>
      <c r="CD286" s="17"/>
      <c r="CE286" s="17"/>
      <c r="CF286" s="17"/>
      <c r="CG286" s="17"/>
    </row>
    <row r="287" spans="1:85" ht="16.5" customHeight="1" x14ac:dyDescent="0.25">
      <c r="A287" s="24">
        <f t="shared" si="11"/>
        <v>22</v>
      </c>
      <c r="B287" s="27">
        <v>60545</v>
      </c>
      <c r="C287" s="28" t="s">
        <v>746</v>
      </c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3"/>
      <c r="AG287" s="12"/>
      <c r="AH287" s="12"/>
      <c r="AI287" s="12"/>
      <c r="AJ287" s="12"/>
      <c r="AK287" s="12"/>
      <c r="AL287" s="12"/>
      <c r="AM287" s="12"/>
      <c r="AN287" s="12"/>
      <c r="AO287" s="12"/>
      <c r="AP287" s="12"/>
      <c r="AQ287" s="13"/>
      <c r="AR287" s="12"/>
      <c r="AS287" s="12"/>
      <c r="AT287" s="12"/>
      <c r="AU287" s="12"/>
      <c r="AV287" s="12"/>
      <c r="AW287" s="12"/>
      <c r="AX287" s="12" t="s">
        <v>243</v>
      </c>
      <c r="AY287" s="12"/>
      <c r="AZ287" s="12"/>
      <c r="BA287" s="12"/>
      <c r="BB287" s="12"/>
      <c r="BC287" s="12"/>
      <c r="BD287" s="12"/>
      <c r="BE287" s="38"/>
    </row>
    <row r="288" spans="1:85" s="13" customFormat="1" ht="16.5" customHeight="1" x14ac:dyDescent="0.25">
      <c r="A288" s="24">
        <f t="shared" si="11"/>
        <v>1</v>
      </c>
      <c r="B288" s="25">
        <v>60550</v>
      </c>
      <c r="C288" s="24" t="s">
        <v>748</v>
      </c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7"/>
      <c r="AG288" s="16"/>
      <c r="AH288" s="16"/>
      <c r="AI288" s="16"/>
      <c r="AJ288" s="16"/>
      <c r="AK288" s="16"/>
      <c r="AL288" s="16"/>
      <c r="AM288" s="16"/>
      <c r="AN288" s="16"/>
      <c r="AO288" s="16"/>
      <c r="AP288" s="16"/>
      <c r="AQ288" s="17"/>
      <c r="AR288" s="16"/>
      <c r="AS288" s="16"/>
      <c r="AT288" s="16"/>
      <c r="AU288" s="16"/>
      <c r="AV288" s="16"/>
      <c r="AW288" s="16"/>
      <c r="AX288" s="16" t="s">
        <v>243</v>
      </c>
      <c r="AY288" s="16"/>
      <c r="AZ288" s="16"/>
      <c r="BA288" s="16"/>
      <c r="BB288" s="16"/>
      <c r="BC288" s="16"/>
      <c r="BD288" s="16"/>
      <c r="BE288" s="14"/>
      <c r="BF288" s="17"/>
      <c r="BG288" s="17"/>
      <c r="BH288" s="17"/>
      <c r="BI288" s="17"/>
      <c r="BJ288" s="17"/>
      <c r="BK288" s="17"/>
      <c r="BL288" s="17"/>
      <c r="BM288" s="17"/>
      <c r="BN288" s="17"/>
      <c r="BO288" s="17"/>
      <c r="BP288" s="17"/>
      <c r="BQ288" s="17"/>
      <c r="BR288" s="17"/>
      <c r="BS288" s="17"/>
      <c r="BT288" s="17"/>
      <c r="BU288" s="17"/>
      <c r="BV288" s="17"/>
      <c r="BW288" s="17"/>
      <c r="BX288" s="17"/>
      <c r="BY288" s="17"/>
      <c r="BZ288" s="17"/>
      <c r="CA288" s="17"/>
      <c r="CB288" s="17"/>
      <c r="CC288" s="17"/>
      <c r="CD288" s="17"/>
      <c r="CE288" s="17"/>
      <c r="CF288" s="17"/>
      <c r="CG288" s="17"/>
    </row>
    <row r="289" spans="1:85" ht="16.5" customHeight="1" x14ac:dyDescent="0.25">
      <c r="A289" s="24">
        <f t="shared" si="11"/>
        <v>1</v>
      </c>
      <c r="B289" s="27">
        <v>60555</v>
      </c>
      <c r="C289" s="28" t="s">
        <v>750</v>
      </c>
      <c r="D289" s="42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 t="s">
        <v>243</v>
      </c>
      <c r="AY289" s="13"/>
      <c r="AZ289" s="13"/>
      <c r="BA289" s="13"/>
      <c r="BB289" s="13"/>
      <c r="BC289" s="13"/>
      <c r="BD289" s="13"/>
      <c r="BE289" s="38"/>
    </row>
    <row r="290" spans="1:85" s="13" customFormat="1" ht="16.5" customHeight="1" thickBot="1" x14ac:dyDescent="0.3">
      <c r="A290" s="24">
        <f t="shared" si="11"/>
        <v>1</v>
      </c>
      <c r="B290" s="25">
        <v>60560</v>
      </c>
      <c r="C290" s="24" t="s">
        <v>752</v>
      </c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7"/>
      <c r="AG290" s="16"/>
      <c r="AH290" s="16"/>
      <c r="AI290" s="16"/>
      <c r="AJ290" s="16"/>
      <c r="AK290" s="16"/>
      <c r="AL290" s="16"/>
      <c r="AM290" s="16"/>
      <c r="AN290" s="16"/>
      <c r="AO290" s="16"/>
      <c r="AP290" s="16"/>
      <c r="AQ290" s="17"/>
      <c r="AR290" s="16"/>
      <c r="AS290" s="16"/>
      <c r="AT290" s="16"/>
      <c r="AU290" s="16"/>
      <c r="AV290" s="16"/>
      <c r="AW290" s="16"/>
      <c r="AX290" s="16"/>
      <c r="AY290" s="16" t="s">
        <v>243</v>
      </c>
      <c r="AZ290" s="16"/>
      <c r="BA290" s="16"/>
      <c r="BB290" s="16"/>
      <c r="BC290" s="16"/>
      <c r="BD290" s="16"/>
      <c r="BE290" s="14"/>
      <c r="BF290" s="31"/>
      <c r="BG290" s="17"/>
      <c r="BH290" s="17"/>
      <c r="BI290" s="17"/>
      <c r="BJ290" s="17"/>
      <c r="BK290" s="17"/>
      <c r="BL290" s="17"/>
      <c r="BM290" s="17"/>
      <c r="BN290" s="17"/>
      <c r="BO290" s="17"/>
      <c r="BP290" s="17"/>
      <c r="BQ290" s="17"/>
      <c r="BR290" s="17"/>
      <c r="BS290" s="17"/>
      <c r="BT290" s="17"/>
      <c r="BU290" s="17"/>
      <c r="BV290" s="17"/>
      <c r="BW290" s="17"/>
      <c r="BX290" s="17"/>
      <c r="BY290" s="17"/>
      <c r="BZ290" s="17"/>
      <c r="CA290" s="17"/>
      <c r="CB290" s="17"/>
      <c r="CC290" s="17"/>
      <c r="CD290" s="17"/>
      <c r="CE290" s="17"/>
      <c r="CF290" s="17"/>
      <c r="CG290" s="17"/>
    </row>
    <row r="291" spans="1:85" ht="16.5" customHeight="1" x14ac:dyDescent="0.25">
      <c r="A291" s="24">
        <f t="shared" ref="A291:A298" si="12">COUNTIF(D302:BE302,"Y")</f>
        <v>1</v>
      </c>
      <c r="B291" s="27">
        <v>60565</v>
      </c>
      <c r="C291" s="28" t="s">
        <v>50</v>
      </c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 t="s">
        <v>243</v>
      </c>
      <c r="Q291" s="12" t="s">
        <v>243</v>
      </c>
      <c r="R291" s="12" t="s">
        <v>243</v>
      </c>
      <c r="S291" s="12" t="s">
        <v>243</v>
      </c>
      <c r="T291" s="12" t="s">
        <v>243</v>
      </c>
      <c r="U291" s="12" t="s">
        <v>243</v>
      </c>
      <c r="V291" s="12" t="s">
        <v>243</v>
      </c>
      <c r="W291" s="12" t="s">
        <v>243</v>
      </c>
      <c r="X291" s="12" t="s">
        <v>243</v>
      </c>
      <c r="Y291" s="12" t="s">
        <v>243</v>
      </c>
      <c r="Z291" s="12" t="s">
        <v>243</v>
      </c>
      <c r="AA291" s="12" t="s">
        <v>243</v>
      </c>
      <c r="AB291" s="12" t="s">
        <v>243</v>
      </c>
      <c r="AC291" s="12" t="s">
        <v>243</v>
      </c>
      <c r="AD291" s="12" t="s">
        <v>243</v>
      </c>
      <c r="AE291" s="12"/>
      <c r="AF291" s="13"/>
      <c r="AG291" s="12"/>
      <c r="AH291" s="12"/>
      <c r="AI291" s="12"/>
      <c r="AJ291" s="12"/>
      <c r="AK291" s="12"/>
      <c r="AL291" s="12"/>
      <c r="AM291" s="12"/>
      <c r="AN291" s="12" t="s">
        <v>243</v>
      </c>
      <c r="AO291" s="12"/>
      <c r="AP291" s="12"/>
      <c r="AQ291" s="13"/>
      <c r="AR291" s="12"/>
      <c r="AS291" s="12"/>
      <c r="AT291" s="12"/>
      <c r="AU291" s="12"/>
      <c r="AV291" s="12"/>
      <c r="AW291" s="12"/>
      <c r="AX291" s="12"/>
      <c r="AY291" s="12"/>
      <c r="AZ291" s="12"/>
      <c r="BA291" s="12"/>
      <c r="BB291" s="12"/>
      <c r="BC291" s="12"/>
      <c r="BD291" s="12"/>
      <c r="BE291" s="38"/>
    </row>
    <row r="292" spans="1:85" s="13" customFormat="1" ht="16.5" customHeight="1" x14ac:dyDescent="0.25">
      <c r="A292" s="24">
        <f t="shared" si="12"/>
        <v>1</v>
      </c>
      <c r="B292" s="25">
        <v>60570</v>
      </c>
      <c r="C292" s="24" t="s">
        <v>27</v>
      </c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7"/>
      <c r="AG292" s="16"/>
      <c r="AH292" s="16"/>
      <c r="AI292" s="16"/>
      <c r="AJ292" s="16"/>
      <c r="AK292" s="16"/>
      <c r="AL292" s="16"/>
      <c r="AM292" s="16"/>
      <c r="AN292" s="16"/>
      <c r="AO292" s="16"/>
      <c r="AP292" s="16"/>
      <c r="AQ292" s="17"/>
      <c r="AR292" s="16"/>
      <c r="AS292" s="16"/>
      <c r="AT292" s="16"/>
      <c r="AU292" s="16" t="s">
        <v>243</v>
      </c>
      <c r="AV292" s="16"/>
      <c r="AW292" s="16"/>
      <c r="AX292" s="16"/>
      <c r="AY292" s="16"/>
      <c r="AZ292" s="16"/>
      <c r="BA292" s="16"/>
      <c r="BB292" s="16"/>
      <c r="BC292" s="16"/>
      <c r="BD292" s="16"/>
      <c r="BE292" s="14"/>
      <c r="BF292" s="17"/>
      <c r="BG292" s="17"/>
      <c r="BH292" s="17"/>
      <c r="BI292" s="17"/>
      <c r="BJ292" s="17"/>
      <c r="BK292" s="17"/>
      <c r="BL292" s="17"/>
      <c r="BM292" s="17"/>
      <c r="BN292" s="17"/>
      <c r="BO292" s="17"/>
      <c r="BP292" s="17"/>
      <c r="BQ292" s="17"/>
      <c r="BR292" s="17"/>
      <c r="BS292" s="17"/>
      <c r="BT292" s="17"/>
      <c r="BU292" s="17"/>
      <c r="BV292" s="17"/>
      <c r="BW292" s="17"/>
      <c r="BX292" s="17"/>
      <c r="BY292" s="17"/>
      <c r="BZ292" s="17"/>
      <c r="CA292" s="17"/>
      <c r="CB292" s="17"/>
      <c r="CC292" s="17"/>
      <c r="CD292" s="17"/>
      <c r="CE292" s="17"/>
      <c r="CF292" s="17"/>
      <c r="CG292" s="17"/>
    </row>
    <row r="293" spans="1:85" ht="16.5" customHeight="1" x14ac:dyDescent="0.25">
      <c r="A293" s="24">
        <f t="shared" si="12"/>
        <v>1</v>
      </c>
      <c r="B293" s="27">
        <v>60575</v>
      </c>
      <c r="C293" s="28" t="s">
        <v>28</v>
      </c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3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3"/>
      <c r="AR293" s="12"/>
      <c r="AS293" s="12"/>
      <c r="AT293" s="12"/>
      <c r="AU293" s="12"/>
      <c r="AV293" s="12"/>
      <c r="AW293" s="12"/>
      <c r="AX293" s="12" t="s">
        <v>243</v>
      </c>
      <c r="AY293" s="12"/>
      <c r="AZ293" s="12"/>
      <c r="BA293" s="12"/>
      <c r="BB293" s="12"/>
      <c r="BC293" s="12"/>
      <c r="BD293" s="12"/>
      <c r="BE293" s="38"/>
    </row>
    <row r="294" spans="1:85" s="13" customFormat="1" ht="16.5" customHeight="1" x14ac:dyDescent="0.25">
      <c r="A294" s="24">
        <f t="shared" si="12"/>
        <v>0</v>
      </c>
      <c r="B294" s="25">
        <v>60580</v>
      </c>
      <c r="C294" s="24" t="s">
        <v>51</v>
      </c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7"/>
      <c r="AG294" s="16"/>
      <c r="AH294" s="16"/>
      <c r="AI294" s="16"/>
      <c r="AJ294" s="16"/>
      <c r="AK294" s="16"/>
      <c r="AL294" s="16"/>
      <c r="AM294" s="16"/>
      <c r="AN294" s="16"/>
      <c r="AO294" s="16"/>
      <c r="AP294" s="16"/>
      <c r="AQ294" s="17"/>
      <c r="AR294" s="16"/>
      <c r="AS294" s="16"/>
      <c r="AT294" s="16"/>
      <c r="AU294" s="16"/>
      <c r="AV294" s="16"/>
      <c r="AW294" s="16"/>
      <c r="AX294" s="16"/>
      <c r="AY294" s="16" t="s">
        <v>243</v>
      </c>
      <c r="AZ294" s="16"/>
      <c r="BA294" s="16"/>
      <c r="BB294" s="16"/>
      <c r="BC294" s="16"/>
      <c r="BD294" s="16"/>
      <c r="BE294" s="14"/>
      <c r="BF294" s="17"/>
      <c r="BG294" s="17"/>
      <c r="BH294" s="17"/>
      <c r="BI294" s="17"/>
      <c r="BJ294" s="17"/>
      <c r="BK294" s="17"/>
      <c r="BL294" s="17"/>
      <c r="BM294" s="17"/>
      <c r="BN294" s="17"/>
      <c r="BO294" s="17"/>
      <c r="BP294" s="17"/>
      <c r="BQ294" s="17"/>
      <c r="BR294" s="17"/>
      <c r="BS294" s="17"/>
      <c r="BT294" s="17"/>
      <c r="BU294" s="17"/>
      <c r="BV294" s="17"/>
      <c r="BW294" s="17"/>
      <c r="BX294" s="17"/>
      <c r="BY294" s="17"/>
      <c r="BZ294" s="17"/>
      <c r="CA294" s="17"/>
      <c r="CB294" s="17"/>
      <c r="CC294" s="17"/>
      <c r="CD294" s="17"/>
      <c r="CE294" s="17"/>
      <c r="CF294" s="17"/>
      <c r="CG294" s="17"/>
    </row>
    <row r="295" spans="1:85" ht="16.5" customHeight="1" x14ac:dyDescent="0.25">
      <c r="A295" s="24">
        <f t="shared" si="12"/>
        <v>1</v>
      </c>
      <c r="B295" s="27">
        <v>60585</v>
      </c>
      <c r="C295" s="28" t="s">
        <v>758</v>
      </c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3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3" t="s">
        <v>243</v>
      </c>
      <c r="AR295" s="12"/>
      <c r="AS295" s="12"/>
      <c r="AT295" s="12"/>
      <c r="AU295" s="12"/>
      <c r="AV295" s="12"/>
      <c r="AW295" s="12"/>
      <c r="AX295" s="12"/>
      <c r="AY295" s="12"/>
      <c r="AZ295" s="12"/>
      <c r="BA295" s="12"/>
      <c r="BB295" s="12"/>
      <c r="BC295" s="12"/>
      <c r="BD295" s="12"/>
      <c r="BE295" s="38"/>
    </row>
    <row r="296" spans="1:85" s="13" customFormat="1" ht="16.5" customHeight="1" x14ac:dyDescent="0.25">
      <c r="A296" s="24">
        <f t="shared" si="12"/>
        <v>1</v>
      </c>
      <c r="B296" s="25">
        <v>60590</v>
      </c>
      <c r="C296" s="24" t="s">
        <v>212</v>
      </c>
      <c r="D296" s="16" t="s">
        <v>243</v>
      </c>
      <c r="E296" s="16" t="s">
        <v>243</v>
      </c>
      <c r="F296" s="16" t="s">
        <v>243</v>
      </c>
      <c r="G296" s="16" t="s">
        <v>243</v>
      </c>
      <c r="H296" s="16"/>
      <c r="I296" s="16"/>
      <c r="J296" s="16"/>
      <c r="K296" s="16"/>
      <c r="L296" s="16"/>
      <c r="M296" s="16"/>
      <c r="N296" s="16" t="s">
        <v>243</v>
      </c>
      <c r="O296" s="16"/>
      <c r="P296" s="16"/>
      <c r="Q296" s="16"/>
      <c r="R296" s="16" t="s">
        <v>243</v>
      </c>
      <c r="S296" s="16" t="s">
        <v>243</v>
      </c>
      <c r="T296" s="16" t="s">
        <v>243</v>
      </c>
      <c r="U296" s="16" t="s">
        <v>243</v>
      </c>
      <c r="V296" s="16" t="s">
        <v>243</v>
      </c>
      <c r="W296" s="16" t="s">
        <v>243</v>
      </c>
      <c r="X296" s="16" t="s">
        <v>243</v>
      </c>
      <c r="Y296" s="16" t="s">
        <v>243</v>
      </c>
      <c r="Z296" s="16" t="s">
        <v>243</v>
      </c>
      <c r="AA296" s="16" t="s">
        <v>243</v>
      </c>
      <c r="AB296" s="16" t="s">
        <v>243</v>
      </c>
      <c r="AC296" s="16" t="s">
        <v>243</v>
      </c>
      <c r="AD296" s="16" t="s">
        <v>243</v>
      </c>
      <c r="AE296" s="16" t="s">
        <v>243</v>
      </c>
      <c r="AF296" s="17"/>
      <c r="AG296" s="16"/>
      <c r="AH296" s="16" t="s">
        <v>243</v>
      </c>
      <c r="AI296" s="16" t="s">
        <v>243</v>
      </c>
      <c r="AJ296" s="16"/>
      <c r="AK296" s="16" t="s">
        <v>243</v>
      </c>
      <c r="AL296" s="16"/>
      <c r="AM296" s="16"/>
      <c r="AN296" s="16"/>
      <c r="AO296" s="16"/>
      <c r="AP296" s="16"/>
      <c r="AQ296" s="17"/>
      <c r="AR296" s="16"/>
      <c r="AS296" s="16"/>
      <c r="AT296" s="16"/>
      <c r="AU296" s="16"/>
      <c r="AV296" s="16"/>
      <c r="AW296" s="16"/>
      <c r="AX296" s="16"/>
      <c r="AY296" s="16"/>
      <c r="AZ296" s="16"/>
      <c r="BA296" s="16"/>
      <c r="BB296" s="16"/>
      <c r="BC296" s="16"/>
      <c r="BD296" s="16"/>
      <c r="BE296" s="14"/>
      <c r="BF296" s="17"/>
      <c r="BG296" s="17"/>
      <c r="BH296" s="17"/>
      <c r="BI296" s="17"/>
      <c r="BJ296" s="17"/>
      <c r="BK296" s="17"/>
      <c r="BL296" s="17"/>
      <c r="BM296" s="17"/>
      <c r="BN296" s="17"/>
      <c r="BO296" s="17"/>
      <c r="BP296" s="17"/>
      <c r="BQ296" s="17"/>
      <c r="BR296" s="17"/>
      <c r="BS296" s="17"/>
      <c r="BT296" s="17"/>
      <c r="BU296" s="17"/>
      <c r="BV296" s="17"/>
      <c r="BW296" s="17"/>
      <c r="BX296" s="17"/>
      <c r="BY296" s="17"/>
      <c r="BZ296" s="17"/>
      <c r="CA296" s="17"/>
      <c r="CB296" s="17"/>
      <c r="CC296" s="17"/>
      <c r="CD296" s="17"/>
      <c r="CE296" s="17"/>
      <c r="CF296" s="17"/>
      <c r="CG296" s="17"/>
    </row>
    <row r="297" spans="1:85" ht="16.5" customHeight="1" x14ac:dyDescent="0.25">
      <c r="A297" s="24">
        <f t="shared" si="12"/>
        <v>1</v>
      </c>
      <c r="B297" s="27">
        <v>60595</v>
      </c>
      <c r="C297" s="28" t="s">
        <v>761</v>
      </c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3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3" t="s">
        <v>243</v>
      </c>
      <c r="AR297" s="12"/>
      <c r="AS297" s="12"/>
      <c r="AT297" s="12"/>
      <c r="AU297" s="12"/>
      <c r="AV297" s="12"/>
      <c r="AW297" s="12"/>
      <c r="AX297" s="12"/>
      <c r="AY297" s="12"/>
      <c r="AZ297" s="12"/>
      <c r="BA297" s="12"/>
      <c r="BB297" s="12"/>
      <c r="BC297" s="12"/>
      <c r="BD297" s="12"/>
      <c r="BE297" s="38"/>
    </row>
    <row r="298" spans="1:85" s="13" customFormat="1" ht="16.5" customHeight="1" x14ac:dyDescent="0.25">
      <c r="A298" s="24">
        <f t="shared" si="12"/>
        <v>1</v>
      </c>
      <c r="B298" s="25">
        <v>60600</v>
      </c>
      <c r="C298" s="24" t="s">
        <v>763</v>
      </c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7"/>
      <c r="AG298" s="16"/>
      <c r="AH298" s="16"/>
      <c r="AI298" s="16"/>
      <c r="AJ298" s="16"/>
      <c r="AK298" s="16"/>
      <c r="AL298" s="16"/>
      <c r="AM298" s="16"/>
      <c r="AN298" s="16"/>
      <c r="AO298" s="16"/>
      <c r="AP298" s="16"/>
      <c r="AQ298" s="17"/>
      <c r="AR298" s="16"/>
      <c r="AS298" s="16"/>
      <c r="AT298" s="16"/>
      <c r="AU298" s="16"/>
      <c r="AV298" s="16"/>
      <c r="AW298" s="16"/>
      <c r="AX298" s="16" t="s">
        <v>243</v>
      </c>
      <c r="AY298" s="16"/>
      <c r="AZ298" s="16"/>
      <c r="BA298" s="16"/>
      <c r="BB298" s="16"/>
      <c r="BC298" s="16"/>
      <c r="BD298" s="16"/>
      <c r="BE298" s="14"/>
      <c r="BF298" s="17"/>
      <c r="BG298" s="17"/>
      <c r="BH298" s="17"/>
      <c r="BI298" s="17"/>
      <c r="BJ298" s="17"/>
      <c r="BK298" s="17"/>
      <c r="BL298" s="17"/>
      <c r="BM298" s="17"/>
      <c r="BN298" s="17"/>
      <c r="BO298" s="17"/>
      <c r="BP298" s="17"/>
      <c r="BQ298" s="17"/>
      <c r="BR298" s="17"/>
      <c r="BS298" s="17"/>
      <c r="BT298" s="17"/>
      <c r="BU298" s="17"/>
      <c r="BV298" s="17"/>
      <c r="BW298" s="17"/>
      <c r="BX298" s="17"/>
      <c r="BY298" s="17"/>
      <c r="BZ298" s="17"/>
      <c r="CA298" s="17"/>
      <c r="CB298" s="17"/>
      <c r="CC298" s="17"/>
      <c r="CD298" s="17"/>
      <c r="CE298" s="17"/>
      <c r="CF298" s="17"/>
      <c r="CG298" s="17"/>
    </row>
    <row r="299" spans="1:85" ht="16.5" customHeight="1" x14ac:dyDescent="0.25">
      <c r="A299" s="24">
        <f t="shared" ref="A299:A305" si="13">COUNTIF(D312:BE312,"Y")</f>
        <v>1</v>
      </c>
      <c r="B299" s="27">
        <v>60605</v>
      </c>
      <c r="C299" s="28" t="s">
        <v>765</v>
      </c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3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3"/>
      <c r="AR299" s="12"/>
      <c r="AS299" s="12" t="s">
        <v>243</v>
      </c>
      <c r="AT299" s="12"/>
      <c r="AU299" s="12"/>
      <c r="AV299" s="12"/>
      <c r="AW299" s="12"/>
      <c r="AX299" s="12"/>
      <c r="AY299" s="12"/>
      <c r="AZ299" s="12"/>
      <c r="BA299" s="12"/>
      <c r="BB299" s="12"/>
      <c r="BC299" s="12"/>
      <c r="BD299" s="12"/>
      <c r="BE299" s="38"/>
    </row>
    <row r="300" spans="1:85" s="13" customFormat="1" ht="16.5" customHeight="1" x14ac:dyDescent="0.25">
      <c r="A300" s="24">
        <f t="shared" si="13"/>
        <v>36</v>
      </c>
      <c r="B300" s="25">
        <v>60610</v>
      </c>
      <c r="C300" s="24" t="s">
        <v>1549</v>
      </c>
      <c r="D300" s="43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  <c r="AL300" s="17"/>
      <c r="AM300" s="17"/>
      <c r="AN300" s="17"/>
      <c r="AO300" s="17"/>
      <c r="AP300" s="17"/>
      <c r="AQ300" s="17"/>
      <c r="AR300" s="17"/>
      <c r="AS300" s="17"/>
      <c r="AT300" s="17"/>
      <c r="AU300" s="17"/>
      <c r="AV300" s="17"/>
      <c r="AW300" s="17"/>
      <c r="AX300" s="17"/>
      <c r="AY300" s="17"/>
      <c r="AZ300" s="17"/>
      <c r="BA300" s="17"/>
      <c r="BB300" s="17" t="s">
        <v>243</v>
      </c>
      <c r="BC300" s="17"/>
      <c r="BD300" s="17"/>
      <c r="BE300" s="14"/>
      <c r="BF300" s="17"/>
      <c r="BG300" s="17"/>
      <c r="BH300" s="17"/>
      <c r="BI300" s="17"/>
      <c r="BJ300" s="17"/>
      <c r="BK300" s="17"/>
      <c r="BL300" s="17"/>
      <c r="BM300" s="17"/>
      <c r="BN300" s="17"/>
      <c r="BO300" s="17"/>
      <c r="BP300" s="17"/>
      <c r="BQ300" s="17"/>
      <c r="BR300" s="17"/>
      <c r="BS300" s="17"/>
      <c r="BT300" s="17"/>
      <c r="BU300" s="17"/>
      <c r="BV300" s="17"/>
      <c r="BW300" s="17"/>
      <c r="BX300" s="17"/>
      <c r="BY300" s="17"/>
      <c r="BZ300" s="17"/>
      <c r="CA300" s="17"/>
      <c r="CB300" s="17"/>
      <c r="CC300" s="17"/>
      <c r="CD300" s="17"/>
      <c r="CE300" s="17"/>
      <c r="CF300" s="17"/>
      <c r="CG300" s="17"/>
    </row>
    <row r="301" spans="1:85" ht="16.5" customHeight="1" x14ac:dyDescent="0.25">
      <c r="A301" s="24">
        <f t="shared" si="13"/>
        <v>36</v>
      </c>
      <c r="B301" s="27">
        <v>60615</v>
      </c>
      <c r="C301" s="28" t="s">
        <v>1550</v>
      </c>
      <c r="D301" s="42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 t="s">
        <v>243</v>
      </c>
      <c r="BB301" s="13"/>
      <c r="BC301" s="13"/>
      <c r="BD301" s="13"/>
      <c r="BE301" s="38"/>
    </row>
    <row r="302" spans="1:85" s="13" customFormat="1" ht="16.5" customHeight="1" x14ac:dyDescent="0.25">
      <c r="A302" s="24">
        <f t="shared" si="13"/>
        <v>36</v>
      </c>
      <c r="B302" s="25">
        <v>60620</v>
      </c>
      <c r="C302" s="24" t="s">
        <v>767</v>
      </c>
      <c r="D302" s="16" t="s">
        <v>243</v>
      </c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7"/>
      <c r="AG302" s="16"/>
      <c r="AH302" s="16"/>
      <c r="AI302" s="16"/>
      <c r="AJ302" s="16"/>
      <c r="AK302" s="16"/>
      <c r="AL302" s="16"/>
      <c r="AM302" s="16"/>
      <c r="AN302" s="16"/>
      <c r="AO302" s="16"/>
      <c r="AP302" s="16"/>
      <c r="AQ302" s="17"/>
      <c r="AR302" s="16"/>
      <c r="AS302" s="16"/>
      <c r="AT302" s="16"/>
      <c r="AU302" s="16"/>
      <c r="AV302" s="16"/>
      <c r="AW302" s="16"/>
      <c r="AX302" s="16"/>
      <c r="AY302" s="16"/>
      <c r="AZ302" s="16"/>
      <c r="BA302" s="16"/>
      <c r="BB302" s="16"/>
      <c r="BC302" s="16"/>
      <c r="BD302" s="16"/>
      <c r="BE302" s="14"/>
      <c r="BF302" s="17"/>
      <c r="BG302" s="17"/>
      <c r="BH302" s="17"/>
      <c r="BI302" s="17"/>
      <c r="BJ302" s="17"/>
      <c r="BK302" s="17"/>
      <c r="BL302" s="17"/>
      <c r="BM302" s="17"/>
      <c r="BN302" s="17"/>
      <c r="BO302" s="17"/>
      <c r="BP302" s="17"/>
      <c r="BQ302" s="17"/>
      <c r="BR302" s="17"/>
      <c r="BS302" s="17"/>
      <c r="BT302" s="17"/>
      <c r="BU302" s="17"/>
      <c r="BV302" s="17"/>
      <c r="BW302" s="17"/>
      <c r="BX302" s="17"/>
      <c r="BY302" s="17"/>
      <c r="BZ302" s="17"/>
      <c r="CA302" s="17"/>
      <c r="CB302" s="17"/>
      <c r="CC302" s="17"/>
      <c r="CD302" s="17"/>
      <c r="CE302" s="17"/>
      <c r="CF302" s="17"/>
      <c r="CG302" s="17"/>
    </row>
    <row r="303" spans="1:85" ht="16.5" customHeight="1" x14ac:dyDescent="0.25">
      <c r="A303" s="24">
        <f t="shared" si="13"/>
        <v>35</v>
      </c>
      <c r="B303" s="27">
        <v>60625</v>
      </c>
      <c r="C303" s="28" t="s">
        <v>29</v>
      </c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3"/>
      <c r="AG303" s="12"/>
      <c r="AH303" s="12"/>
      <c r="AI303" s="12"/>
      <c r="AJ303" s="12"/>
      <c r="AK303" s="12"/>
      <c r="AL303" s="12"/>
      <c r="AM303" s="12"/>
      <c r="AN303" s="12"/>
      <c r="AO303" s="12"/>
      <c r="AP303" s="12"/>
      <c r="AQ303" s="13"/>
      <c r="AR303" s="12"/>
      <c r="AS303" s="12"/>
      <c r="AT303" s="12"/>
      <c r="AU303" s="12"/>
      <c r="AV303" s="12"/>
      <c r="AW303" s="12"/>
      <c r="AX303" s="12"/>
      <c r="AY303" s="12"/>
      <c r="AZ303" s="12"/>
      <c r="BA303" s="12" t="s">
        <v>243</v>
      </c>
      <c r="BB303" s="12"/>
      <c r="BC303" s="12"/>
      <c r="BD303" s="12"/>
      <c r="BE303" s="38"/>
    </row>
    <row r="304" spans="1:85" s="13" customFormat="1" ht="16.5" customHeight="1" x14ac:dyDescent="0.25">
      <c r="A304" s="24">
        <f t="shared" si="13"/>
        <v>36</v>
      </c>
      <c r="B304" s="25">
        <v>60630</v>
      </c>
      <c r="C304" s="24" t="s">
        <v>160</v>
      </c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7"/>
      <c r="AG304" s="16"/>
      <c r="AH304" s="16"/>
      <c r="AI304" s="16"/>
      <c r="AJ304" s="16"/>
      <c r="AK304" s="16"/>
      <c r="AL304" s="16"/>
      <c r="AM304" s="16"/>
      <c r="AN304" s="16"/>
      <c r="AO304" s="16"/>
      <c r="AP304" s="16"/>
      <c r="AQ304" s="17" t="s">
        <v>243</v>
      </c>
      <c r="AR304" s="16"/>
      <c r="AS304" s="16"/>
      <c r="AT304" s="16"/>
      <c r="AU304" s="16"/>
      <c r="AV304" s="16"/>
      <c r="AW304" s="16"/>
      <c r="AX304" s="16"/>
      <c r="AY304" s="16"/>
      <c r="AZ304" s="16"/>
      <c r="BA304" s="16"/>
      <c r="BB304" s="16"/>
      <c r="BC304" s="16"/>
      <c r="BD304" s="16"/>
      <c r="BE304" s="14"/>
      <c r="BF304" s="17"/>
      <c r="BG304" s="17"/>
      <c r="BH304" s="17"/>
      <c r="BI304" s="17"/>
      <c r="BJ304" s="17"/>
      <c r="BK304" s="17"/>
      <c r="BL304" s="17"/>
      <c r="BM304" s="17"/>
      <c r="BN304" s="17"/>
      <c r="BO304" s="17"/>
      <c r="BP304" s="17"/>
      <c r="BQ304" s="17"/>
      <c r="BR304" s="17"/>
      <c r="BS304" s="17"/>
      <c r="BT304" s="17"/>
      <c r="BU304" s="17"/>
      <c r="BV304" s="17"/>
      <c r="BW304" s="17"/>
      <c r="BX304" s="17"/>
      <c r="BY304" s="17"/>
      <c r="BZ304" s="17"/>
      <c r="CA304" s="17"/>
      <c r="CB304" s="17"/>
      <c r="CC304" s="17"/>
      <c r="CD304" s="17"/>
      <c r="CE304" s="17"/>
      <c r="CF304" s="17"/>
      <c r="CG304" s="17"/>
    </row>
    <row r="305" spans="1:85" ht="16.5" customHeight="1" x14ac:dyDescent="0.25">
      <c r="A305" s="24">
        <f t="shared" si="13"/>
        <v>17</v>
      </c>
      <c r="B305" s="27">
        <v>60635</v>
      </c>
      <c r="C305" s="28" t="s">
        <v>771</v>
      </c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3"/>
      <c r="AG305" s="12"/>
      <c r="AH305" s="12"/>
      <c r="AI305" s="12"/>
      <c r="AJ305" s="12"/>
      <c r="AK305" s="12"/>
      <c r="AL305" s="12"/>
      <c r="AM305" s="12"/>
      <c r="AN305" s="12"/>
      <c r="AO305" s="12"/>
      <c r="AP305" s="12"/>
      <c r="AQ305" s="13"/>
      <c r="AR305" s="12"/>
      <c r="AS305" s="12"/>
      <c r="AT305" s="12"/>
      <c r="AU305" s="12"/>
      <c r="AV305" s="12"/>
      <c r="AW305" s="12"/>
      <c r="AX305" s="12"/>
      <c r="AY305" s="12"/>
      <c r="AZ305" s="12"/>
      <c r="BA305" s="12"/>
      <c r="BB305" s="12"/>
      <c r="BC305" s="12"/>
      <c r="BD305" s="12"/>
      <c r="BE305" s="38"/>
    </row>
    <row r="306" spans="1:85" s="13" customFormat="1" x14ac:dyDescent="0.25">
      <c r="A306" s="24">
        <f>COUNTIF(D320:BE320,"Y")</f>
        <v>1</v>
      </c>
      <c r="B306" s="25">
        <v>60640</v>
      </c>
      <c r="C306" s="24" t="s">
        <v>773</v>
      </c>
      <c r="D306" s="43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  <c r="AL306" s="17"/>
      <c r="AM306" s="17"/>
      <c r="AN306" s="17"/>
      <c r="AO306" s="17"/>
      <c r="AP306" s="17"/>
      <c r="AQ306" s="17"/>
      <c r="AR306" s="17"/>
      <c r="AS306" s="17"/>
      <c r="AT306" s="17"/>
      <c r="AU306" s="17" t="s">
        <v>243</v>
      </c>
      <c r="AV306" s="17"/>
      <c r="AW306" s="17"/>
      <c r="AX306" s="17"/>
      <c r="AY306" s="17"/>
      <c r="AZ306" s="17"/>
      <c r="BA306" s="17"/>
      <c r="BB306" s="17"/>
      <c r="BC306" s="17"/>
      <c r="BD306" s="17"/>
      <c r="BE306" s="14"/>
      <c r="BF306" s="17"/>
      <c r="BG306" s="17"/>
      <c r="BH306" s="17"/>
      <c r="BI306" s="17"/>
      <c r="BJ306" s="17"/>
      <c r="BK306" s="17"/>
      <c r="BL306" s="17"/>
      <c r="BM306" s="17"/>
      <c r="BN306" s="17"/>
      <c r="BO306" s="17"/>
      <c r="BP306" s="17"/>
      <c r="BQ306" s="17"/>
      <c r="BR306" s="17"/>
      <c r="BS306" s="17"/>
      <c r="BT306" s="17"/>
      <c r="BU306" s="17"/>
      <c r="BV306" s="17"/>
      <c r="BW306" s="17"/>
      <c r="BX306" s="17"/>
      <c r="BY306" s="17"/>
      <c r="BZ306" s="17"/>
      <c r="CA306" s="17"/>
      <c r="CB306" s="17"/>
      <c r="CC306" s="17"/>
      <c r="CD306" s="17"/>
      <c r="CE306" s="17"/>
      <c r="CF306" s="17"/>
      <c r="CG306" s="17"/>
    </row>
    <row r="307" spans="1:85" ht="16.5" customHeight="1" x14ac:dyDescent="0.25">
      <c r="A307" s="24">
        <f>COUNTIF(D321:BE321,"Y")</f>
        <v>1</v>
      </c>
      <c r="B307" s="27">
        <v>60645</v>
      </c>
      <c r="C307" s="28" t="s">
        <v>52</v>
      </c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3"/>
      <c r="AG307" s="12"/>
      <c r="AH307" s="12"/>
      <c r="AI307" s="12"/>
      <c r="AJ307" s="12"/>
      <c r="AK307" s="12"/>
      <c r="AL307" s="12"/>
      <c r="AM307" s="12"/>
      <c r="AN307" s="12"/>
      <c r="AO307" s="12"/>
      <c r="AP307" s="12"/>
      <c r="AQ307" s="13"/>
      <c r="AR307" s="12"/>
      <c r="AS307" s="12"/>
      <c r="AT307" s="12"/>
      <c r="AU307" s="12"/>
      <c r="AV307" s="12"/>
      <c r="AW307" s="12"/>
      <c r="AX307" s="12"/>
      <c r="AY307" s="12"/>
      <c r="AZ307" s="12" t="s">
        <v>243</v>
      </c>
      <c r="BA307" s="12"/>
      <c r="BB307" s="12"/>
      <c r="BC307" s="12"/>
      <c r="BD307" s="12"/>
      <c r="BE307" s="38"/>
    </row>
    <row r="308" spans="1:85" s="13" customFormat="1" ht="16.5" customHeight="1" x14ac:dyDescent="0.25">
      <c r="A308" s="24">
        <f>COUNTIF(D323:BE323,"Y")</f>
        <v>1</v>
      </c>
      <c r="B308" s="25">
        <v>60650</v>
      </c>
      <c r="C308" s="24" t="s">
        <v>776</v>
      </c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7"/>
      <c r="AG308" s="16"/>
      <c r="AH308" s="16"/>
      <c r="AI308" s="16"/>
      <c r="AJ308" s="16"/>
      <c r="AK308" s="16"/>
      <c r="AL308" s="16"/>
      <c r="AM308" s="16"/>
      <c r="AN308" s="16"/>
      <c r="AO308" s="16"/>
      <c r="AP308" s="16"/>
      <c r="AQ308" s="17"/>
      <c r="AR308" s="16"/>
      <c r="AS308" s="16"/>
      <c r="AT308" s="16"/>
      <c r="AU308" s="16"/>
      <c r="AV308" s="16"/>
      <c r="AW308" s="16"/>
      <c r="AX308" s="16"/>
      <c r="AY308" s="16" t="s">
        <v>243</v>
      </c>
      <c r="AZ308" s="16"/>
      <c r="BA308" s="16"/>
      <c r="BB308" s="16"/>
      <c r="BC308" s="16"/>
      <c r="BD308" s="16"/>
      <c r="BE308" s="14"/>
      <c r="BF308" s="17"/>
      <c r="BG308" s="17"/>
      <c r="BH308" s="17"/>
      <c r="BI308" s="17"/>
      <c r="BJ308" s="17"/>
      <c r="BK308" s="17"/>
      <c r="BL308" s="17"/>
      <c r="BM308" s="17"/>
      <c r="BN308" s="17"/>
      <c r="BO308" s="17"/>
      <c r="BP308" s="17"/>
      <c r="BQ308" s="17"/>
      <c r="BR308" s="17"/>
      <c r="BS308" s="17"/>
      <c r="BT308" s="17"/>
      <c r="BU308" s="17"/>
      <c r="BV308" s="17"/>
      <c r="BW308" s="17"/>
      <c r="BX308" s="17"/>
      <c r="BY308" s="17"/>
      <c r="BZ308" s="17"/>
      <c r="CA308" s="17"/>
      <c r="CB308" s="17"/>
      <c r="CC308" s="17"/>
      <c r="CD308" s="17"/>
      <c r="CE308" s="17"/>
      <c r="CF308" s="17"/>
      <c r="CG308" s="17"/>
    </row>
    <row r="309" spans="1:85" ht="16.5" customHeight="1" x14ac:dyDescent="0.25">
      <c r="A309" s="24">
        <f>COUNTIF(D324:BE324,"Y")</f>
        <v>1</v>
      </c>
      <c r="B309" s="27">
        <v>60655</v>
      </c>
      <c r="C309" s="28" t="s">
        <v>778</v>
      </c>
      <c r="D309" s="42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 t="s">
        <v>243</v>
      </c>
      <c r="AX309" s="13"/>
      <c r="AY309" s="13"/>
      <c r="AZ309" s="13"/>
      <c r="BA309" s="13"/>
      <c r="BB309" s="13"/>
      <c r="BC309" s="13"/>
      <c r="BD309" s="13"/>
      <c r="BE309" s="38"/>
    </row>
    <row r="310" spans="1:85" s="13" customFormat="1" ht="16.5" customHeight="1" x14ac:dyDescent="0.25">
      <c r="A310" s="24" t="e">
        <f>COUNTIF(#REF!,"Y")</f>
        <v>#REF!</v>
      </c>
      <c r="B310" s="25">
        <v>60660</v>
      </c>
      <c r="C310" s="24" t="s">
        <v>1551</v>
      </c>
      <c r="D310" s="43" t="s">
        <v>243</v>
      </c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  <c r="AL310" s="17"/>
      <c r="AM310" s="17"/>
      <c r="AN310" s="17"/>
      <c r="AO310" s="17"/>
      <c r="AP310" s="17"/>
      <c r="AQ310" s="17"/>
      <c r="AR310" s="17"/>
      <c r="AS310" s="17"/>
      <c r="AT310" s="17"/>
      <c r="AU310" s="17"/>
      <c r="AV310" s="17"/>
      <c r="AW310" s="17"/>
      <c r="AX310" s="17"/>
      <c r="AY310" s="17"/>
      <c r="AZ310" s="17"/>
      <c r="BA310" s="17"/>
      <c r="BB310" s="17"/>
      <c r="BC310" s="17"/>
      <c r="BD310" s="17"/>
      <c r="BE310" s="14"/>
      <c r="BF310" s="17"/>
      <c r="BG310" s="17"/>
      <c r="BH310" s="17"/>
      <c r="BI310" s="17"/>
      <c r="BJ310" s="17"/>
      <c r="BK310" s="17"/>
      <c r="BL310" s="17"/>
      <c r="BM310" s="17"/>
      <c r="BN310" s="17"/>
      <c r="BO310" s="17"/>
      <c r="BP310" s="17"/>
      <c r="BQ310" s="17"/>
      <c r="BR310" s="17"/>
      <c r="BS310" s="17"/>
      <c r="BT310" s="17"/>
      <c r="BU310" s="17"/>
      <c r="BV310" s="17"/>
      <c r="BW310" s="17"/>
      <c r="BX310" s="17"/>
      <c r="BY310" s="17"/>
      <c r="BZ310" s="17"/>
      <c r="CA310" s="17"/>
      <c r="CB310" s="17"/>
      <c r="CC310" s="17"/>
      <c r="CD310" s="17"/>
      <c r="CE310" s="17"/>
      <c r="CF310" s="17"/>
      <c r="CG310" s="17"/>
    </row>
    <row r="311" spans="1:85" ht="16.5" customHeight="1" x14ac:dyDescent="0.25">
      <c r="A311" s="24" t="e">
        <f>COUNTIF(#REF!,"Y")</f>
        <v>#REF!</v>
      </c>
      <c r="B311" s="27">
        <v>60665</v>
      </c>
      <c r="C311" s="28" t="s">
        <v>1552</v>
      </c>
      <c r="D311" s="42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 t="s">
        <v>243</v>
      </c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  <c r="BC311" s="13"/>
      <c r="BD311" s="13"/>
      <c r="BE311" s="38"/>
    </row>
    <row r="312" spans="1:85" s="13" customFormat="1" ht="14.45" customHeight="1" x14ac:dyDescent="0.25">
      <c r="A312" s="24" t="e">
        <f>COUNTIF(#REF!,"Y")</f>
        <v>#REF!</v>
      </c>
      <c r="B312" s="25">
        <v>60670</v>
      </c>
      <c r="C312" s="24" t="s">
        <v>110</v>
      </c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7"/>
      <c r="AG312" s="16"/>
      <c r="AH312" s="16"/>
      <c r="AI312" s="16"/>
      <c r="AJ312" s="16"/>
      <c r="AK312" s="16"/>
      <c r="AL312" s="16"/>
      <c r="AM312" s="16"/>
      <c r="AN312" s="16"/>
      <c r="AO312" s="16"/>
      <c r="AP312" s="16"/>
      <c r="AQ312" s="17"/>
      <c r="AR312" s="16"/>
      <c r="AS312" s="16"/>
      <c r="AT312" s="16"/>
      <c r="AU312" s="16"/>
      <c r="AV312" s="16"/>
      <c r="AW312" s="16"/>
      <c r="AX312" s="16" t="s">
        <v>243</v>
      </c>
      <c r="AY312" s="16"/>
      <c r="AZ312" s="16"/>
      <c r="BA312" s="16"/>
      <c r="BB312" s="16"/>
      <c r="BC312" s="16"/>
      <c r="BD312" s="16"/>
      <c r="BE312" s="14"/>
      <c r="BF312" s="17"/>
      <c r="BG312" s="17"/>
      <c r="BH312" s="17"/>
      <c r="BI312" s="17"/>
      <c r="BJ312" s="17"/>
      <c r="BK312" s="17"/>
      <c r="BL312" s="17"/>
      <c r="BM312" s="17"/>
      <c r="BN312" s="17"/>
      <c r="BO312" s="17"/>
      <c r="BP312" s="17"/>
      <c r="BQ312" s="17"/>
      <c r="BR312" s="17"/>
      <c r="BS312" s="17"/>
      <c r="BT312" s="17"/>
      <c r="BU312" s="17"/>
      <c r="BV312" s="17"/>
      <c r="BW312" s="17"/>
      <c r="BX312" s="17"/>
      <c r="BY312" s="17"/>
      <c r="BZ312" s="17"/>
      <c r="CA312" s="17"/>
      <c r="CB312" s="17"/>
      <c r="CC312" s="17"/>
      <c r="CD312" s="17"/>
      <c r="CE312" s="17"/>
      <c r="CF312" s="17"/>
      <c r="CG312" s="17"/>
    </row>
    <row r="313" spans="1:85" ht="16.5" customHeight="1" x14ac:dyDescent="0.25">
      <c r="A313" s="24" t="e">
        <f>COUNTIF(#REF!,"Y")</f>
        <v>#REF!</v>
      </c>
      <c r="B313" s="27">
        <v>60675</v>
      </c>
      <c r="C313" s="28" t="s">
        <v>224</v>
      </c>
      <c r="D313" s="12" t="s">
        <v>243</v>
      </c>
      <c r="E313" s="12" t="s">
        <v>243</v>
      </c>
      <c r="F313" s="12" t="s">
        <v>243</v>
      </c>
      <c r="G313" s="12" t="s">
        <v>243</v>
      </c>
      <c r="H313" s="12" t="s">
        <v>243</v>
      </c>
      <c r="I313" s="12"/>
      <c r="J313" s="12"/>
      <c r="K313" s="12"/>
      <c r="L313" s="12"/>
      <c r="M313" s="12"/>
      <c r="N313" s="12" t="s">
        <v>243</v>
      </c>
      <c r="O313" s="12" t="s">
        <v>243</v>
      </c>
      <c r="P313" s="12" t="s">
        <v>243</v>
      </c>
      <c r="Q313" s="12" t="s">
        <v>243</v>
      </c>
      <c r="R313" s="12" t="s">
        <v>243</v>
      </c>
      <c r="S313" s="12" t="s">
        <v>243</v>
      </c>
      <c r="T313" s="12" t="s">
        <v>243</v>
      </c>
      <c r="U313" s="12" t="s">
        <v>243</v>
      </c>
      <c r="V313" s="12" t="s">
        <v>243</v>
      </c>
      <c r="W313" s="12" t="s">
        <v>243</v>
      </c>
      <c r="X313" s="12" t="s">
        <v>243</v>
      </c>
      <c r="Y313" s="12" t="s">
        <v>243</v>
      </c>
      <c r="Z313" s="12" t="s">
        <v>243</v>
      </c>
      <c r="AA313" s="12" t="s">
        <v>243</v>
      </c>
      <c r="AB313" s="12" t="s">
        <v>243</v>
      </c>
      <c r="AC313" s="12" t="s">
        <v>243</v>
      </c>
      <c r="AD313" s="12" t="s">
        <v>243</v>
      </c>
      <c r="AE313" s="12" t="s">
        <v>243</v>
      </c>
      <c r="AF313" s="13"/>
      <c r="AG313" s="12"/>
      <c r="AH313" s="12" t="s">
        <v>243</v>
      </c>
      <c r="AI313" s="12" t="s">
        <v>243</v>
      </c>
      <c r="AJ313" s="12"/>
      <c r="AK313" s="12" t="s">
        <v>243</v>
      </c>
      <c r="AL313" s="12"/>
      <c r="AM313" s="12"/>
      <c r="AN313" s="12" t="s">
        <v>243</v>
      </c>
      <c r="AO313" s="12" t="s">
        <v>243</v>
      </c>
      <c r="AP313" s="12"/>
      <c r="AQ313" s="13"/>
      <c r="AR313" s="12" t="s">
        <v>243</v>
      </c>
      <c r="AS313" s="12" t="s">
        <v>243</v>
      </c>
      <c r="AT313" s="12" t="s">
        <v>243</v>
      </c>
      <c r="AU313" s="12" t="s">
        <v>243</v>
      </c>
      <c r="AV313" s="12" t="s">
        <v>243</v>
      </c>
      <c r="AW313" s="12" t="s">
        <v>243</v>
      </c>
      <c r="AX313" s="12" t="s">
        <v>243</v>
      </c>
      <c r="AY313" s="12" t="s">
        <v>243</v>
      </c>
      <c r="AZ313" s="12"/>
      <c r="BA313" s="12"/>
      <c r="BB313" s="12"/>
      <c r="BC313" s="12"/>
      <c r="BD313" s="12"/>
      <c r="BE313" s="38"/>
    </row>
    <row r="314" spans="1:85" s="13" customFormat="1" ht="16.5" customHeight="1" x14ac:dyDescent="0.25">
      <c r="A314" s="24" t="e">
        <f>COUNTIF(#REF!,"Y")</f>
        <v>#REF!</v>
      </c>
      <c r="B314" s="25">
        <v>60680</v>
      </c>
      <c r="C314" s="24" t="s">
        <v>1553</v>
      </c>
      <c r="D314" s="16" t="s">
        <v>243</v>
      </c>
      <c r="E314" s="16" t="s">
        <v>243</v>
      </c>
      <c r="F314" s="16" t="s">
        <v>243</v>
      </c>
      <c r="G314" s="16" t="s">
        <v>243</v>
      </c>
      <c r="H314" s="16" t="s">
        <v>243</v>
      </c>
      <c r="I314" s="16"/>
      <c r="J314" s="16"/>
      <c r="K314" s="16"/>
      <c r="L314" s="16"/>
      <c r="M314" s="16"/>
      <c r="N314" s="16" t="s">
        <v>243</v>
      </c>
      <c r="O314" s="16" t="s">
        <v>243</v>
      </c>
      <c r="P314" s="16" t="s">
        <v>243</v>
      </c>
      <c r="Q314" s="16" t="s">
        <v>243</v>
      </c>
      <c r="R314" s="16" t="s">
        <v>243</v>
      </c>
      <c r="S314" s="16" t="s">
        <v>243</v>
      </c>
      <c r="T314" s="16" t="s">
        <v>243</v>
      </c>
      <c r="U314" s="16" t="s">
        <v>243</v>
      </c>
      <c r="V314" s="16" t="s">
        <v>243</v>
      </c>
      <c r="W314" s="16" t="s">
        <v>243</v>
      </c>
      <c r="X314" s="16" t="s">
        <v>243</v>
      </c>
      <c r="Y314" s="16" t="s">
        <v>243</v>
      </c>
      <c r="Z314" s="16" t="s">
        <v>243</v>
      </c>
      <c r="AA314" s="16" t="s">
        <v>243</v>
      </c>
      <c r="AB314" s="16" t="s">
        <v>243</v>
      </c>
      <c r="AC314" s="16" t="s">
        <v>243</v>
      </c>
      <c r="AD314" s="16" t="s">
        <v>243</v>
      </c>
      <c r="AE314" s="16" t="s">
        <v>243</v>
      </c>
      <c r="AF314" s="17"/>
      <c r="AG314" s="16"/>
      <c r="AH314" s="16" t="s">
        <v>243</v>
      </c>
      <c r="AI314" s="16" t="s">
        <v>243</v>
      </c>
      <c r="AJ314" s="16"/>
      <c r="AK314" s="16" t="s">
        <v>243</v>
      </c>
      <c r="AL314" s="16"/>
      <c r="AM314" s="16"/>
      <c r="AN314" s="16" t="s">
        <v>243</v>
      </c>
      <c r="AO314" s="16" t="s">
        <v>243</v>
      </c>
      <c r="AP314" s="16"/>
      <c r="AQ314" s="17"/>
      <c r="AR314" s="16" t="s">
        <v>243</v>
      </c>
      <c r="AS314" s="16" t="s">
        <v>243</v>
      </c>
      <c r="AT314" s="16" t="s">
        <v>243</v>
      </c>
      <c r="AU314" s="16" t="s">
        <v>243</v>
      </c>
      <c r="AV314" s="16" t="s">
        <v>243</v>
      </c>
      <c r="AW314" s="16" t="s">
        <v>243</v>
      </c>
      <c r="AX314" s="16" t="s">
        <v>243</v>
      </c>
      <c r="AY314" s="16" t="s">
        <v>243</v>
      </c>
      <c r="AZ314" s="16"/>
      <c r="BA314" s="16"/>
      <c r="BB314" s="16"/>
      <c r="BC314" s="16"/>
      <c r="BD314" s="16"/>
      <c r="BE314" s="14"/>
      <c r="BF314" s="17"/>
      <c r="BG314" s="17"/>
      <c r="BH314" s="17"/>
      <c r="BI314" s="17"/>
      <c r="BJ314" s="17"/>
      <c r="BK314" s="17"/>
      <c r="BL314" s="17"/>
      <c r="BM314" s="17"/>
      <c r="BN314" s="17"/>
      <c r="BO314" s="17"/>
      <c r="BP314" s="17"/>
      <c r="BQ314" s="17"/>
      <c r="BR314" s="17"/>
      <c r="BS314" s="17"/>
      <c r="BT314" s="17"/>
      <c r="BU314" s="17"/>
      <c r="BV314" s="17"/>
      <c r="BW314" s="17"/>
      <c r="BX314" s="17"/>
      <c r="BY314" s="17"/>
      <c r="BZ314" s="17"/>
      <c r="CA314" s="17"/>
      <c r="CB314" s="17"/>
      <c r="CC314" s="17"/>
      <c r="CD314" s="17"/>
      <c r="CE314" s="17"/>
      <c r="CF314" s="17"/>
      <c r="CG314" s="17"/>
    </row>
    <row r="315" spans="1:85" ht="16.5" customHeight="1" x14ac:dyDescent="0.25">
      <c r="A315" s="24">
        <f t="shared" ref="A315:A324" si="14">COUNTIF(D325:BE325,"Y")</f>
        <v>1</v>
      </c>
      <c r="B315" s="27">
        <v>60685</v>
      </c>
      <c r="C315" s="28" t="s">
        <v>785</v>
      </c>
      <c r="D315" s="12" t="s">
        <v>243</v>
      </c>
      <c r="E315" s="12" t="s">
        <v>243</v>
      </c>
      <c r="F315" s="12" t="s">
        <v>243</v>
      </c>
      <c r="G315" s="12" t="s">
        <v>243</v>
      </c>
      <c r="H315" s="12" t="s">
        <v>243</v>
      </c>
      <c r="I315" s="12"/>
      <c r="J315" s="12"/>
      <c r="K315" s="12"/>
      <c r="L315" s="12"/>
      <c r="M315" s="12"/>
      <c r="N315" s="12" t="s">
        <v>243</v>
      </c>
      <c r="O315" s="12" t="s">
        <v>243</v>
      </c>
      <c r="P315" s="12" t="s">
        <v>243</v>
      </c>
      <c r="Q315" s="12" t="s">
        <v>243</v>
      </c>
      <c r="R315" s="12" t="s">
        <v>243</v>
      </c>
      <c r="S315" s="12" t="s">
        <v>243</v>
      </c>
      <c r="T315" s="12" t="s">
        <v>243</v>
      </c>
      <c r="U315" s="12" t="s">
        <v>243</v>
      </c>
      <c r="V315" s="12" t="s">
        <v>243</v>
      </c>
      <c r="W315" s="12" t="s">
        <v>243</v>
      </c>
      <c r="X315" s="12" t="s">
        <v>243</v>
      </c>
      <c r="Y315" s="12" t="s">
        <v>243</v>
      </c>
      <c r="Z315" s="12" t="s">
        <v>243</v>
      </c>
      <c r="AA315" s="12" t="s">
        <v>243</v>
      </c>
      <c r="AB315" s="12" t="s">
        <v>243</v>
      </c>
      <c r="AC315" s="12" t="s">
        <v>243</v>
      </c>
      <c r="AD315" s="12" t="s">
        <v>243</v>
      </c>
      <c r="AE315" s="12" t="s">
        <v>243</v>
      </c>
      <c r="AF315" s="13"/>
      <c r="AG315" s="12"/>
      <c r="AH315" s="12" t="s">
        <v>243</v>
      </c>
      <c r="AI315" s="12" t="s">
        <v>243</v>
      </c>
      <c r="AJ315" s="12"/>
      <c r="AK315" s="12" t="s">
        <v>243</v>
      </c>
      <c r="AL315" s="12"/>
      <c r="AM315" s="12"/>
      <c r="AN315" s="12" t="s">
        <v>243</v>
      </c>
      <c r="AO315" s="12" t="s">
        <v>243</v>
      </c>
      <c r="AP315" s="12"/>
      <c r="AQ315" s="13"/>
      <c r="AR315" s="12" t="s">
        <v>243</v>
      </c>
      <c r="AS315" s="12" t="s">
        <v>243</v>
      </c>
      <c r="AT315" s="12" t="s">
        <v>243</v>
      </c>
      <c r="AU315" s="12" t="s">
        <v>243</v>
      </c>
      <c r="AV315" s="12" t="s">
        <v>243</v>
      </c>
      <c r="AW315" s="12" t="s">
        <v>243</v>
      </c>
      <c r="AX315" s="12" t="s">
        <v>243</v>
      </c>
      <c r="AY315" s="12" t="s">
        <v>243</v>
      </c>
      <c r="AZ315" s="12"/>
      <c r="BA315" s="12"/>
      <c r="BB315" s="12"/>
      <c r="BC315" s="12"/>
      <c r="BD315" s="12"/>
      <c r="BE315" s="38"/>
    </row>
    <row r="316" spans="1:85" s="13" customFormat="1" ht="16.5" customHeight="1" x14ac:dyDescent="0.25">
      <c r="A316" s="24">
        <f t="shared" si="14"/>
        <v>1</v>
      </c>
      <c r="B316" s="25">
        <v>60690</v>
      </c>
      <c r="C316" s="24" t="s">
        <v>787</v>
      </c>
      <c r="D316" s="16" t="s">
        <v>243</v>
      </c>
      <c r="E316" s="16" t="s">
        <v>243</v>
      </c>
      <c r="F316" s="16" t="s">
        <v>243</v>
      </c>
      <c r="G316" s="16" t="s">
        <v>243</v>
      </c>
      <c r="H316" s="16" t="s">
        <v>243</v>
      </c>
      <c r="I316" s="16"/>
      <c r="J316" s="16"/>
      <c r="K316" s="16"/>
      <c r="L316" s="16"/>
      <c r="M316" s="16"/>
      <c r="N316" s="16" t="s">
        <v>243</v>
      </c>
      <c r="O316" s="16" t="s">
        <v>243</v>
      </c>
      <c r="P316" s="16" t="s">
        <v>243</v>
      </c>
      <c r="Q316" s="16" t="s">
        <v>243</v>
      </c>
      <c r="R316" s="16" t="s">
        <v>243</v>
      </c>
      <c r="S316" s="16" t="s">
        <v>243</v>
      </c>
      <c r="T316" s="16" t="s">
        <v>243</v>
      </c>
      <c r="U316" s="16" t="s">
        <v>243</v>
      </c>
      <c r="V316" s="16" t="s">
        <v>243</v>
      </c>
      <c r="W316" s="16" t="s">
        <v>243</v>
      </c>
      <c r="X316" s="16" t="s">
        <v>243</v>
      </c>
      <c r="Y316" s="16" t="s">
        <v>243</v>
      </c>
      <c r="Z316" s="16" t="s">
        <v>243</v>
      </c>
      <c r="AA316" s="16" t="s">
        <v>243</v>
      </c>
      <c r="AB316" s="16" t="s">
        <v>243</v>
      </c>
      <c r="AC316" s="16" t="s">
        <v>243</v>
      </c>
      <c r="AD316" s="16" t="s">
        <v>243</v>
      </c>
      <c r="AE316" s="16" t="s">
        <v>243</v>
      </c>
      <c r="AF316" s="17"/>
      <c r="AG316" s="16"/>
      <c r="AH316" s="16" t="s">
        <v>243</v>
      </c>
      <c r="AI316" s="16" t="s">
        <v>243</v>
      </c>
      <c r="AJ316" s="16"/>
      <c r="AK316" s="16" t="s">
        <v>243</v>
      </c>
      <c r="AL316" s="16"/>
      <c r="AM316" s="16"/>
      <c r="AN316" s="16" t="s">
        <v>243</v>
      </c>
      <c r="AO316" s="16" t="s">
        <v>243</v>
      </c>
      <c r="AP316" s="16"/>
      <c r="AQ316" s="17"/>
      <c r="AR316" s="16" t="s">
        <v>243</v>
      </c>
      <c r="AS316" s="16" t="s">
        <v>243</v>
      </c>
      <c r="AT316" s="16" t="s">
        <v>243</v>
      </c>
      <c r="AU316" s="16" t="s">
        <v>243</v>
      </c>
      <c r="AV316" s="16" t="s">
        <v>243</v>
      </c>
      <c r="AW316" s="16" t="s">
        <v>243</v>
      </c>
      <c r="AX316" s="16"/>
      <c r="AY316" s="16" t="s">
        <v>243</v>
      </c>
      <c r="AZ316" s="16"/>
      <c r="BA316" s="16"/>
      <c r="BB316" s="16"/>
      <c r="BC316" s="16"/>
      <c r="BD316" s="16"/>
      <c r="BE316" s="14"/>
      <c r="BF316" s="17"/>
      <c r="BG316" s="17"/>
      <c r="BH316" s="17"/>
      <c r="BI316" s="17"/>
      <c r="BJ316" s="17"/>
      <c r="BK316" s="17"/>
      <c r="BL316" s="17"/>
      <c r="BM316" s="17"/>
      <c r="BN316" s="17"/>
      <c r="BO316" s="17"/>
      <c r="BP316" s="17"/>
      <c r="BQ316" s="17"/>
      <c r="BR316" s="17"/>
      <c r="BS316" s="17"/>
      <c r="BT316" s="17"/>
      <c r="BU316" s="17"/>
      <c r="BV316" s="17"/>
      <c r="BW316" s="17"/>
      <c r="BX316" s="17"/>
      <c r="BY316" s="17"/>
      <c r="BZ316" s="17"/>
      <c r="CA316" s="17"/>
      <c r="CB316" s="17"/>
      <c r="CC316" s="17"/>
      <c r="CD316" s="17"/>
      <c r="CE316" s="17"/>
      <c r="CF316" s="17"/>
      <c r="CG316" s="17"/>
    </row>
    <row r="317" spans="1:85" ht="16.5" customHeight="1" x14ac:dyDescent="0.25">
      <c r="A317" s="24">
        <f t="shared" si="14"/>
        <v>1</v>
      </c>
      <c r="B317" s="27">
        <v>60695</v>
      </c>
      <c r="C317" s="28" t="s">
        <v>789</v>
      </c>
      <c r="D317" s="12" t="s">
        <v>243</v>
      </c>
      <c r="E317" s="12" t="s">
        <v>243</v>
      </c>
      <c r="F317" s="12" t="s">
        <v>243</v>
      </c>
      <c r="G317" s="12" t="s">
        <v>243</v>
      </c>
      <c r="H317" s="12" t="s">
        <v>243</v>
      </c>
      <c r="I317" s="12"/>
      <c r="J317" s="12"/>
      <c r="K317" s="12"/>
      <c r="L317" s="12"/>
      <c r="M317" s="12"/>
      <c r="N317" s="12" t="s">
        <v>243</v>
      </c>
      <c r="O317" s="12" t="s">
        <v>243</v>
      </c>
      <c r="P317" s="12" t="s">
        <v>243</v>
      </c>
      <c r="Q317" s="12" t="s">
        <v>243</v>
      </c>
      <c r="R317" s="12" t="s">
        <v>243</v>
      </c>
      <c r="S317" s="12" t="s">
        <v>243</v>
      </c>
      <c r="T317" s="12" t="s">
        <v>243</v>
      </c>
      <c r="U317" s="12" t="s">
        <v>243</v>
      </c>
      <c r="V317" s="12" t="s">
        <v>243</v>
      </c>
      <c r="W317" s="12" t="s">
        <v>243</v>
      </c>
      <c r="X317" s="12" t="s">
        <v>243</v>
      </c>
      <c r="Y317" s="12" t="s">
        <v>243</v>
      </c>
      <c r="Z317" s="12" t="s">
        <v>243</v>
      </c>
      <c r="AA317" s="12" t="s">
        <v>243</v>
      </c>
      <c r="AB317" s="12" t="s">
        <v>243</v>
      </c>
      <c r="AC317" s="12" t="s">
        <v>243</v>
      </c>
      <c r="AD317" s="12" t="s">
        <v>243</v>
      </c>
      <c r="AE317" s="12" t="s">
        <v>243</v>
      </c>
      <c r="AF317" s="13"/>
      <c r="AG317" s="12"/>
      <c r="AH317" s="12" t="s">
        <v>243</v>
      </c>
      <c r="AI317" s="12" t="s">
        <v>243</v>
      </c>
      <c r="AJ317" s="12"/>
      <c r="AK317" s="12" t="s">
        <v>243</v>
      </c>
      <c r="AL317" s="12"/>
      <c r="AM317" s="12"/>
      <c r="AN317" s="12" t="s">
        <v>243</v>
      </c>
      <c r="AO317" s="12" t="s">
        <v>243</v>
      </c>
      <c r="AP317" s="12"/>
      <c r="AQ317" s="13"/>
      <c r="AR317" s="12" t="s">
        <v>243</v>
      </c>
      <c r="AS317" s="12" t="s">
        <v>243</v>
      </c>
      <c r="AT317" s="12" t="s">
        <v>243</v>
      </c>
      <c r="AU317" s="12" t="s">
        <v>243</v>
      </c>
      <c r="AV317" s="12" t="s">
        <v>243</v>
      </c>
      <c r="AW317" s="12" t="s">
        <v>243</v>
      </c>
      <c r="AX317" s="12" t="s">
        <v>243</v>
      </c>
      <c r="AY317" s="12" t="s">
        <v>243</v>
      </c>
      <c r="AZ317" s="12"/>
      <c r="BA317" s="12"/>
      <c r="BB317" s="12"/>
      <c r="BC317" s="12"/>
      <c r="BD317" s="12"/>
      <c r="BE317" s="38"/>
    </row>
    <row r="318" spans="1:85" s="13" customFormat="1" ht="16.5" customHeight="1" x14ac:dyDescent="0.25">
      <c r="A318" s="24">
        <f t="shared" si="14"/>
        <v>1</v>
      </c>
      <c r="B318" s="25">
        <v>60700</v>
      </c>
      <c r="C318" s="24" t="s">
        <v>53</v>
      </c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 t="s">
        <v>243</v>
      </c>
      <c r="O318" s="16"/>
      <c r="P318" s="16" t="s">
        <v>243</v>
      </c>
      <c r="Q318" s="16" t="s">
        <v>243</v>
      </c>
      <c r="R318" s="16" t="s">
        <v>243</v>
      </c>
      <c r="S318" s="16" t="s">
        <v>243</v>
      </c>
      <c r="T318" s="16" t="s">
        <v>243</v>
      </c>
      <c r="U318" s="16" t="s">
        <v>243</v>
      </c>
      <c r="V318" s="16" t="s">
        <v>243</v>
      </c>
      <c r="W318" s="16" t="s">
        <v>243</v>
      </c>
      <c r="X318" s="16" t="s">
        <v>243</v>
      </c>
      <c r="Y318" s="16" t="s">
        <v>243</v>
      </c>
      <c r="Z318" s="16" t="s">
        <v>243</v>
      </c>
      <c r="AA318" s="16" t="s">
        <v>243</v>
      </c>
      <c r="AB318" s="16" t="s">
        <v>243</v>
      </c>
      <c r="AC318" s="16" t="s">
        <v>243</v>
      </c>
      <c r="AD318" s="16" t="s">
        <v>243</v>
      </c>
      <c r="AE318" s="16"/>
      <c r="AF318" s="17"/>
      <c r="AG318" s="16"/>
      <c r="AH318" s="16"/>
      <c r="AI318" s="16"/>
      <c r="AJ318" s="16"/>
      <c r="AK318" s="16"/>
      <c r="AL318" s="16"/>
      <c r="AM318" s="16"/>
      <c r="AN318" s="16" t="s">
        <v>243</v>
      </c>
      <c r="AO318" s="16"/>
      <c r="AP318" s="16"/>
      <c r="AQ318" s="17"/>
      <c r="AR318" s="16"/>
      <c r="AS318" s="16"/>
      <c r="AT318" s="16"/>
      <c r="AU318" s="16"/>
      <c r="AV318" s="16"/>
      <c r="AW318" s="16"/>
      <c r="AX318" s="16"/>
      <c r="AY318" s="16"/>
      <c r="AZ318" s="16"/>
      <c r="BA318" s="16"/>
      <c r="BB318" s="16"/>
      <c r="BC318" s="16"/>
      <c r="BD318" s="16"/>
      <c r="BE318" s="14"/>
      <c r="BF318" s="17"/>
      <c r="BG318" s="17"/>
      <c r="BH318" s="17"/>
      <c r="BI318" s="17"/>
      <c r="BJ318" s="17"/>
      <c r="BK318" s="17"/>
      <c r="BL318" s="17"/>
      <c r="BM318" s="17"/>
      <c r="BN318" s="17"/>
      <c r="BO318" s="17"/>
      <c r="BP318" s="17"/>
      <c r="BQ318" s="17"/>
      <c r="BR318" s="17"/>
      <c r="BS318" s="17"/>
      <c r="BT318" s="17"/>
      <c r="BU318" s="17"/>
      <c r="BV318" s="17"/>
      <c r="BW318" s="17"/>
      <c r="BX318" s="17"/>
      <c r="BY318" s="17"/>
      <c r="BZ318" s="17"/>
      <c r="CA318" s="17"/>
      <c r="CB318" s="17"/>
      <c r="CC318" s="17"/>
      <c r="CD318" s="17"/>
      <c r="CE318" s="17"/>
      <c r="CF318" s="17"/>
      <c r="CG318" s="17"/>
    </row>
    <row r="319" spans="1:85" ht="16.5" customHeight="1" x14ac:dyDescent="0.25">
      <c r="A319" s="24">
        <f t="shared" si="14"/>
        <v>1</v>
      </c>
      <c r="B319" s="27">
        <v>60705</v>
      </c>
      <c r="C319" s="28" t="s">
        <v>1554</v>
      </c>
      <c r="D319" s="42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45" t="s">
        <v>243</v>
      </c>
      <c r="AZ319" s="45"/>
      <c r="BA319" s="13"/>
      <c r="BB319" s="13"/>
      <c r="BC319" s="13"/>
      <c r="BD319" s="13"/>
      <c r="BE319" s="38"/>
    </row>
    <row r="320" spans="1:85" s="13" customFormat="1" ht="16.5" customHeight="1" x14ac:dyDescent="0.25">
      <c r="A320" s="24">
        <f t="shared" si="14"/>
        <v>1</v>
      </c>
      <c r="B320" s="25">
        <v>60710</v>
      </c>
      <c r="C320" s="24" t="s">
        <v>1555</v>
      </c>
      <c r="D320" s="43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  <c r="AL320" s="17"/>
      <c r="AM320" s="17"/>
      <c r="AN320" s="17"/>
      <c r="AO320" s="17"/>
      <c r="AP320" s="17"/>
      <c r="AQ320" s="17"/>
      <c r="AR320" s="17"/>
      <c r="AS320" s="17"/>
      <c r="AT320" s="17"/>
      <c r="AU320" s="17"/>
      <c r="AV320" s="17"/>
      <c r="AW320" s="17"/>
      <c r="AX320" s="17"/>
      <c r="AY320" s="46" t="s">
        <v>243</v>
      </c>
      <c r="AZ320" s="46"/>
      <c r="BA320" s="17"/>
      <c r="BB320" s="17"/>
      <c r="BC320" s="17"/>
      <c r="BD320" s="17"/>
      <c r="BE320" s="14"/>
      <c r="BF320" s="17"/>
      <c r="BG320" s="17"/>
      <c r="BH320" s="17"/>
      <c r="BI320" s="17"/>
      <c r="BJ320" s="17"/>
      <c r="BK320" s="17"/>
      <c r="BL320" s="17"/>
      <c r="BM320" s="17"/>
      <c r="BN320" s="17"/>
      <c r="BO320" s="17"/>
      <c r="BP320" s="17"/>
      <c r="BQ320" s="17"/>
      <c r="BR320" s="17"/>
      <c r="BS320" s="17"/>
      <c r="BT320" s="17"/>
      <c r="BU320" s="17"/>
      <c r="BV320" s="17"/>
      <c r="BW320" s="17"/>
      <c r="BX320" s="17"/>
      <c r="BY320" s="17"/>
      <c r="BZ320" s="17"/>
      <c r="CA320" s="17"/>
      <c r="CB320" s="17"/>
      <c r="CC320" s="17"/>
      <c r="CD320" s="17"/>
      <c r="CE320" s="17"/>
      <c r="CF320" s="17"/>
      <c r="CG320" s="17"/>
    </row>
    <row r="321" spans="1:85" ht="16.5" customHeight="1" x14ac:dyDescent="0.25">
      <c r="A321" s="24">
        <f t="shared" si="14"/>
        <v>1</v>
      </c>
      <c r="B321" s="27">
        <v>60715</v>
      </c>
      <c r="C321" s="28" t="s">
        <v>54</v>
      </c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3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3"/>
      <c r="AR321" s="12"/>
      <c r="AS321" s="12"/>
      <c r="AT321" s="12"/>
      <c r="AU321" s="12"/>
      <c r="AV321" s="12"/>
      <c r="AW321" s="12"/>
      <c r="AX321" s="12"/>
      <c r="AY321" s="47" t="s">
        <v>243</v>
      </c>
      <c r="AZ321" s="47"/>
      <c r="BA321" s="12"/>
      <c r="BB321" s="12"/>
      <c r="BC321" s="12"/>
      <c r="BD321" s="12"/>
      <c r="BE321" s="38"/>
    </row>
    <row r="322" spans="1:85" s="13" customFormat="1" ht="16.5" customHeight="1" x14ac:dyDescent="0.25">
      <c r="A322" s="24">
        <f t="shared" si="14"/>
        <v>1</v>
      </c>
      <c r="B322" s="25">
        <v>60720</v>
      </c>
      <c r="C322" s="24" t="s">
        <v>55</v>
      </c>
      <c r="D322" s="43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  <c r="AL322" s="17"/>
      <c r="AM322" s="17"/>
      <c r="AN322" s="17"/>
      <c r="AO322" s="17"/>
      <c r="AP322" s="17"/>
      <c r="AQ322" s="17"/>
      <c r="AR322" s="17"/>
      <c r="AS322" s="17"/>
      <c r="AT322" s="17"/>
      <c r="AU322" s="17"/>
      <c r="AV322" s="17"/>
      <c r="AW322" s="17"/>
      <c r="AX322" s="17"/>
      <c r="AY322" s="46"/>
      <c r="AZ322" s="46" t="s">
        <v>243</v>
      </c>
      <c r="BA322" s="17"/>
      <c r="BB322" s="17"/>
      <c r="BC322" s="17"/>
      <c r="BD322" s="17"/>
      <c r="BE322" s="14"/>
      <c r="BF322" s="17"/>
      <c r="BG322" s="17"/>
      <c r="BH322" s="17"/>
      <c r="BI322" s="17"/>
      <c r="BJ322" s="17"/>
      <c r="BK322" s="17"/>
      <c r="BL322" s="17"/>
      <c r="BM322" s="17"/>
      <c r="BN322" s="17"/>
      <c r="BO322" s="17"/>
      <c r="BP322" s="17"/>
      <c r="BQ322" s="17"/>
      <c r="BR322" s="17"/>
      <c r="BS322" s="17"/>
      <c r="BT322" s="17"/>
      <c r="BU322" s="17"/>
      <c r="BV322" s="17"/>
      <c r="BW322" s="17"/>
      <c r="BX322" s="17"/>
      <c r="BY322" s="17"/>
      <c r="BZ322" s="17"/>
      <c r="CA322" s="17"/>
      <c r="CB322" s="17"/>
      <c r="CC322" s="17"/>
      <c r="CD322" s="17"/>
      <c r="CE322" s="17"/>
      <c r="CF322" s="17"/>
      <c r="CG322" s="17"/>
    </row>
    <row r="323" spans="1:85" ht="16.5" customHeight="1" x14ac:dyDescent="0.25">
      <c r="A323" s="24">
        <f t="shared" si="14"/>
        <v>1</v>
      </c>
      <c r="B323" s="27">
        <v>60725</v>
      </c>
      <c r="C323" s="28" t="s">
        <v>795</v>
      </c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3"/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  <c r="AQ323" s="13"/>
      <c r="AR323" s="12"/>
      <c r="AS323" s="12"/>
      <c r="AT323" s="12"/>
      <c r="AU323" s="12"/>
      <c r="AV323" s="12"/>
      <c r="AW323" s="12"/>
      <c r="AX323" s="12"/>
      <c r="AY323" s="47"/>
      <c r="AZ323" s="47" t="s">
        <v>243</v>
      </c>
      <c r="BA323" s="12"/>
      <c r="BB323" s="12"/>
      <c r="BC323" s="12"/>
      <c r="BD323" s="12"/>
      <c r="BE323" s="38"/>
    </row>
    <row r="324" spans="1:85" s="13" customFormat="1" ht="16.5" customHeight="1" x14ac:dyDescent="0.25">
      <c r="A324" s="24">
        <f t="shared" si="14"/>
        <v>1</v>
      </c>
      <c r="B324" s="25">
        <v>60730</v>
      </c>
      <c r="C324" s="24" t="s">
        <v>797</v>
      </c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7"/>
      <c r="AG324" s="16"/>
      <c r="AH324" s="16"/>
      <c r="AI324" s="16"/>
      <c r="AJ324" s="16"/>
      <c r="AK324" s="16"/>
      <c r="AL324" s="16"/>
      <c r="AM324" s="16"/>
      <c r="AN324" s="16"/>
      <c r="AO324" s="16"/>
      <c r="AP324" s="16"/>
      <c r="AQ324" s="17"/>
      <c r="AR324" s="16"/>
      <c r="AS324" s="16"/>
      <c r="AT324" s="16"/>
      <c r="AU324" s="16"/>
      <c r="AV324" s="16"/>
      <c r="AW324" s="16"/>
      <c r="AX324" s="16" t="s">
        <v>243</v>
      </c>
      <c r="AY324" s="16"/>
      <c r="AZ324" s="16"/>
      <c r="BA324" s="16"/>
      <c r="BB324" s="16"/>
      <c r="BC324" s="16"/>
      <c r="BD324" s="16"/>
      <c r="BE324" s="14"/>
      <c r="BF324" s="17"/>
      <c r="BG324" s="17"/>
      <c r="BH324" s="17"/>
      <c r="BI324" s="17"/>
      <c r="BJ324" s="17"/>
      <c r="BK324" s="17"/>
      <c r="BL324" s="17"/>
      <c r="BM324" s="17"/>
      <c r="BN324" s="17"/>
      <c r="BO324" s="17"/>
      <c r="BP324" s="17"/>
      <c r="BQ324" s="17"/>
      <c r="BR324" s="17"/>
      <c r="BS324" s="17"/>
      <c r="BT324" s="17"/>
      <c r="BU324" s="17"/>
      <c r="BV324" s="17"/>
      <c r="BW324" s="17"/>
      <c r="BX324" s="17"/>
      <c r="BY324" s="17"/>
      <c r="BZ324" s="17"/>
      <c r="CA324" s="17"/>
      <c r="CB324" s="17"/>
      <c r="CC324" s="17"/>
      <c r="CD324" s="17"/>
      <c r="CE324" s="17"/>
      <c r="CF324" s="17"/>
      <c r="CG324" s="17"/>
    </row>
    <row r="325" spans="1:85" ht="16.5" customHeight="1" x14ac:dyDescent="0.25">
      <c r="A325" s="24">
        <f t="shared" ref="A325:A330" si="15">COUNTIF(D340:BE340,"Y")</f>
        <v>1</v>
      </c>
      <c r="B325" s="27">
        <v>70400</v>
      </c>
      <c r="C325" s="28" t="s">
        <v>250</v>
      </c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3"/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3"/>
      <c r="AR325" s="12"/>
      <c r="AS325" s="12"/>
      <c r="AT325" s="12"/>
      <c r="AU325" s="12"/>
      <c r="AV325" s="12"/>
      <c r="AW325" s="12"/>
      <c r="AX325" s="12"/>
      <c r="AY325" s="12"/>
      <c r="AZ325" s="12"/>
      <c r="BA325" s="12" t="s">
        <v>243</v>
      </c>
      <c r="BB325" s="12"/>
      <c r="BC325" s="12"/>
      <c r="BD325" s="12"/>
      <c r="BE325" s="38"/>
    </row>
    <row r="326" spans="1:85" s="13" customFormat="1" ht="16.5" customHeight="1" x14ac:dyDescent="0.25">
      <c r="A326" s="24">
        <f t="shared" si="15"/>
        <v>1</v>
      </c>
      <c r="B326" s="25">
        <v>75000</v>
      </c>
      <c r="C326" s="24" t="s">
        <v>248</v>
      </c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7"/>
      <c r="AG326" s="16"/>
      <c r="AH326" s="16"/>
      <c r="AI326" s="16"/>
      <c r="AJ326" s="16"/>
      <c r="AK326" s="16"/>
      <c r="AL326" s="16"/>
      <c r="AM326" s="16"/>
      <c r="AN326" s="16"/>
      <c r="AO326" s="16"/>
      <c r="AP326" s="16"/>
      <c r="AQ326" s="17"/>
      <c r="AR326" s="16"/>
      <c r="AS326" s="16"/>
      <c r="AT326" s="16"/>
      <c r="AU326" s="16"/>
      <c r="AV326" s="16"/>
      <c r="AW326" s="16"/>
      <c r="AX326" s="16"/>
      <c r="AY326" s="16"/>
      <c r="AZ326" s="16"/>
      <c r="BA326" s="16" t="s">
        <v>243</v>
      </c>
      <c r="BB326" s="16"/>
      <c r="BC326" s="16"/>
      <c r="BD326" s="16"/>
      <c r="BE326" s="14"/>
      <c r="BF326" s="17"/>
      <c r="BG326" s="17"/>
      <c r="BH326" s="17"/>
      <c r="BI326" s="17"/>
      <c r="BJ326" s="17"/>
      <c r="BK326" s="17"/>
      <c r="BL326" s="17"/>
      <c r="BM326" s="17"/>
      <c r="BN326" s="17"/>
      <c r="BO326" s="17"/>
      <c r="BP326" s="17"/>
      <c r="BQ326" s="17"/>
      <c r="BR326" s="17"/>
      <c r="BS326" s="17"/>
      <c r="BT326" s="17"/>
      <c r="BU326" s="17"/>
      <c r="BV326" s="17"/>
      <c r="BW326" s="17"/>
      <c r="BX326" s="17"/>
      <c r="BY326" s="17"/>
      <c r="BZ326" s="17"/>
      <c r="CA326" s="17"/>
      <c r="CB326" s="17"/>
      <c r="CC326" s="17"/>
      <c r="CD326" s="17"/>
      <c r="CE326" s="17"/>
      <c r="CF326" s="17"/>
      <c r="CG326" s="17"/>
    </row>
    <row r="327" spans="1:85" ht="16.5" customHeight="1" x14ac:dyDescent="0.25">
      <c r="A327" s="24">
        <f t="shared" si="15"/>
        <v>1</v>
      </c>
      <c r="B327" s="27">
        <v>75100</v>
      </c>
      <c r="C327" s="28" t="s">
        <v>30</v>
      </c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3"/>
      <c r="AG327" s="12"/>
      <c r="AH327" s="12"/>
      <c r="AI327" s="12"/>
      <c r="AJ327" s="12"/>
      <c r="AK327" s="12"/>
      <c r="AL327" s="12"/>
      <c r="AM327" s="12"/>
      <c r="AN327" s="12"/>
      <c r="AO327" s="12"/>
      <c r="AP327" s="12"/>
      <c r="AQ327" s="13"/>
      <c r="AR327" s="12"/>
      <c r="AS327" s="12"/>
      <c r="AT327" s="12"/>
      <c r="AU327" s="12"/>
      <c r="AV327" s="12"/>
      <c r="AW327" s="12"/>
      <c r="AX327" s="12"/>
      <c r="AY327" s="12"/>
      <c r="AZ327" s="12"/>
      <c r="BA327" s="12" t="s">
        <v>243</v>
      </c>
      <c r="BB327" s="12"/>
      <c r="BC327" s="12"/>
      <c r="BD327" s="12"/>
      <c r="BE327" s="38"/>
    </row>
    <row r="328" spans="1:85" s="13" customFormat="1" ht="16.5" customHeight="1" x14ac:dyDescent="0.25">
      <c r="A328" s="24">
        <f t="shared" si="15"/>
        <v>1</v>
      </c>
      <c r="B328" s="25">
        <v>75200</v>
      </c>
      <c r="C328" s="24" t="s">
        <v>249</v>
      </c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7"/>
      <c r="AG328" s="16"/>
      <c r="AH328" s="16"/>
      <c r="AI328" s="16"/>
      <c r="AJ328" s="16"/>
      <c r="AK328" s="16"/>
      <c r="AL328" s="16"/>
      <c r="AM328" s="16"/>
      <c r="AN328" s="16"/>
      <c r="AO328" s="16"/>
      <c r="AP328" s="16"/>
      <c r="AQ328" s="17"/>
      <c r="AR328" s="16"/>
      <c r="AS328" s="16"/>
      <c r="AT328" s="16"/>
      <c r="AU328" s="16"/>
      <c r="AV328" s="16"/>
      <c r="AW328" s="16"/>
      <c r="AX328" s="16"/>
      <c r="AY328" s="16"/>
      <c r="AZ328" s="16"/>
      <c r="BA328" s="16" t="s">
        <v>243</v>
      </c>
      <c r="BB328" s="16"/>
      <c r="BC328" s="16"/>
      <c r="BD328" s="16"/>
      <c r="BE328" s="14"/>
      <c r="BF328" s="17"/>
      <c r="BG328" s="17"/>
      <c r="BH328" s="17"/>
      <c r="BI328" s="17"/>
      <c r="BJ328" s="17"/>
      <c r="BK328" s="17"/>
      <c r="BL328" s="17"/>
      <c r="BM328" s="17"/>
      <c r="BN328" s="17"/>
      <c r="BO328" s="17"/>
      <c r="BP328" s="17"/>
      <c r="BQ328" s="17"/>
      <c r="BR328" s="17"/>
      <c r="BS328" s="17"/>
      <c r="BT328" s="17"/>
      <c r="BU328" s="17"/>
      <c r="BV328" s="17"/>
      <c r="BW328" s="17"/>
      <c r="BX328" s="17"/>
      <c r="BY328" s="17"/>
      <c r="BZ328" s="17"/>
      <c r="CA328" s="17"/>
      <c r="CB328" s="17"/>
      <c r="CC328" s="17"/>
      <c r="CD328" s="17"/>
      <c r="CE328" s="17"/>
      <c r="CF328" s="17"/>
      <c r="CG328" s="17"/>
    </row>
    <row r="329" spans="1:85" ht="16.5" customHeight="1" x14ac:dyDescent="0.25">
      <c r="A329" s="24">
        <f t="shared" si="15"/>
        <v>1</v>
      </c>
      <c r="B329" s="25">
        <v>80100</v>
      </c>
      <c r="C329" s="24" t="s">
        <v>1064</v>
      </c>
      <c r="AF329" s="17"/>
      <c r="AK329" s="16"/>
      <c r="AQ329" s="17"/>
      <c r="BA329" s="16" t="s">
        <v>243</v>
      </c>
      <c r="BB329" s="16"/>
      <c r="BC329" s="16"/>
      <c r="BD329" s="16"/>
      <c r="BE329" s="38"/>
    </row>
    <row r="330" spans="1:85" s="13" customFormat="1" ht="16.5" customHeight="1" x14ac:dyDescent="0.25">
      <c r="A330" s="24">
        <f t="shared" si="15"/>
        <v>1</v>
      </c>
      <c r="B330" s="27">
        <v>80200</v>
      </c>
      <c r="C330" s="28" t="s">
        <v>8</v>
      </c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2"/>
      <c r="AR330" s="12"/>
      <c r="AS330" s="12"/>
      <c r="AT330" s="12"/>
      <c r="AU330" s="12"/>
      <c r="AV330" s="12"/>
      <c r="AW330" s="12"/>
      <c r="AX330" s="12"/>
      <c r="AY330" s="12"/>
      <c r="AZ330" s="12"/>
      <c r="BA330" s="12"/>
      <c r="BB330" s="12" t="s">
        <v>243</v>
      </c>
      <c r="BC330" s="12"/>
      <c r="BD330" s="12"/>
      <c r="BE330" s="14"/>
      <c r="BF330" s="17"/>
      <c r="BG330" s="17"/>
      <c r="BH330" s="17"/>
      <c r="BI330" s="17"/>
      <c r="BJ330" s="17"/>
      <c r="BK330" s="17"/>
      <c r="BL330" s="17"/>
      <c r="BM330" s="17"/>
      <c r="BN330" s="17"/>
      <c r="BO330" s="17"/>
      <c r="BP330" s="17"/>
      <c r="BQ330" s="17"/>
      <c r="BR330" s="17"/>
      <c r="BS330" s="17"/>
      <c r="BT330" s="17"/>
      <c r="BU330" s="17"/>
      <c r="BV330" s="17"/>
      <c r="BW330" s="17"/>
      <c r="BX330" s="17"/>
      <c r="BY330" s="17"/>
      <c r="BZ330" s="17"/>
      <c r="CA330" s="17"/>
      <c r="CB330" s="17"/>
      <c r="CC330" s="17"/>
      <c r="CD330" s="17"/>
      <c r="CE330" s="17"/>
      <c r="CF330" s="17"/>
      <c r="CG330" s="17"/>
    </row>
    <row r="331" spans="1:85" ht="16.5" customHeight="1" x14ac:dyDescent="0.25">
      <c r="A331" s="24" t="e">
        <f>COUNTIF(#REF!,"Y")</f>
        <v>#REF!</v>
      </c>
      <c r="B331" s="25">
        <v>80300</v>
      </c>
      <c r="C331" s="24" t="s">
        <v>1074</v>
      </c>
      <c r="AF331" s="17"/>
      <c r="AK331" s="16"/>
      <c r="AQ331" s="17"/>
      <c r="BB331" s="16" t="s">
        <v>243</v>
      </c>
      <c r="BC331" s="16"/>
      <c r="BD331" s="16"/>
      <c r="BE331" s="38"/>
    </row>
    <row r="332" spans="1:85" s="13" customFormat="1" ht="16.5" customHeight="1" x14ac:dyDescent="0.25">
      <c r="A332" s="24" t="e">
        <f>COUNTIF(#REF!,"Y")</f>
        <v>#REF!</v>
      </c>
      <c r="B332" s="27">
        <v>81100</v>
      </c>
      <c r="C332" s="28" t="s">
        <v>252</v>
      </c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G332" s="12"/>
      <c r="AH332" s="12"/>
      <c r="AI332" s="12"/>
      <c r="AJ332" s="12"/>
      <c r="AK332" s="12"/>
      <c r="AL332" s="12"/>
      <c r="AM332" s="12"/>
      <c r="AN332" s="12"/>
      <c r="AO332" s="12"/>
      <c r="AP332" s="12"/>
      <c r="AR332" s="12"/>
      <c r="AS332" s="12"/>
      <c r="AT332" s="12"/>
      <c r="AU332" s="12"/>
      <c r="AV332" s="12"/>
      <c r="AW332" s="12"/>
      <c r="AX332" s="12"/>
      <c r="AY332" s="12"/>
      <c r="AZ332" s="12"/>
      <c r="BA332" s="12"/>
      <c r="BB332" s="12" t="s">
        <v>243</v>
      </c>
      <c r="BC332" s="12"/>
      <c r="BD332" s="12"/>
      <c r="BE332" s="14"/>
      <c r="BF332" s="17"/>
      <c r="BG332" s="17"/>
      <c r="BH332" s="17"/>
      <c r="BI332" s="17"/>
      <c r="BJ332" s="17"/>
      <c r="BK332" s="17"/>
      <c r="BL332" s="17"/>
      <c r="BM332" s="17"/>
      <c r="BN332" s="17"/>
      <c r="BO332" s="17"/>
      <c r="BP332" s="17"/>
      <c r="BQ332" s="17"/>
      <c r="BR332" s="17"/>
      <c r="BS332" s="17"/>
      <c r="BT332" s="17"/>
      <c r="BU332" s="17"/>
      <c r="BV332" s="17"/>
      <c r="BW332" s="17"/>
      <c r="BX332" s="17"/>
      <c r="BY332" s="17"/>
      <c r="BZ332" s="17"/>
      <c r="CA332" s="17"/>
      <c r="CB332" s="17"/>
      <c r="CC332" s="17"/>
      <c r="CD332" s="17"/>
      <c r="CE332" s="17"/>
      <c r="CF332" s="17"/>
      <c r="CG332" s="17"/>
    </row>
    <row r="333" spans="1:85" ht="16.5" customHeight="1" x14ac:dyDescent="0.25">
      <c r="A333" s="24" t="e">
        <f>COUNTIF(#REF!,"Y")</f>
        <v>#REF!</v>
      </c>
      <c r="B333" s="25">
        <v>81200</v>
      </c>
      <c r="C333" s="24" t="s">
        <v>253</v>
      </c>
      <c r="AF333" s="17"/>
      <c r="AK333" s="16"/>
      <c r="AQ333" s="17"/>
      <c r="BB333" s="16" t="s">
        <v>243</v>
      </c>
      <c r="BC333" s="16"/>
      <c r="BD333" s="16"/>
      <c r="BE333" s="38"/>
    </row>
    <row r="334" spans="1:85" s="13" customFormat="1" ht="16.5" customHeight="1" x14ac:dyDescent="0.25">
      <c r="A334" s="24" t="e">
        <f>COUNTIF(#REF!,"Y")</f>
        <v>#REF!</v>
      </c>
      <c r="B334" s="27">
        <v>82100</v>
      </c>
      <c r="C334" s="28" t="s">
        <v>818</v>
      </c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G334" s="12"/>
      <c r="AH334" s="12"/>
      <c r="AI334" s="12"/>
      <c r="AJ334" s="12"/>
      <c r="AK334" s="12"/>
      <c r="AL334" s="12"/>
      <c r="AM334" s="12"/>
      <c r="AN334" s="12"/>
      <c r="AO334" s="12"/>
      <c r="AP334" s="12"/>
      <c r="AR334" s="12"/>
      <c r="AS334" s="12"/>
      <c r="AT334" s="12"/>
      <c r="AU334" s="12"/>
      <c r="AV334" s="12"/>
      <c r="AW334" s="12"/>
      <c r="AX334" s="12"/>
      <c r="AY334" s="12"/>
      <c r="AZ334" s="12"/>
      <c r="BA334" s="12"/>
      <c r="BB334" s="12" t="s">
        <v>243</v>
      </c>
      <c r="BC334" s="12"/>
      <c r="BD334" s="12"/>
      <c r="BE334" s="14"/>
      <c r="BF334" s="17"/>
      <c r="BG334" s="17"/>
      <c r="BH334" s="17"/>
      <c r="BI334" s="17"/>
      <c r="BJ334" s="17"/>
      <c r="BK334" s="17"/>
      <c r="BL334" s="17"/>
      <c r="BM334" s="17"/>
      <c r="BN334" s="17"/>
      <c r="BO334" s="17"/>
      <c r="BP334" s="17"/>
      <c r="BQ334" s="17"/>
      <c r="BR334" s="17"/>
      <c r="BS334" s="17"/>
      <c r="BT334" s="17"/>
      <c r="BU334" s="17"/>
      <c r="BV334" s="17"/>
      <c r="BW334" s="17"/>
      <c r="BX334" s="17"/>
      <c r="BY334" s="17"/>
      <c r="BZ334" s="17"/>
      <c r="CA334" s="17"/>
      <c r="CB334" s="17"/>
      <c r="CC334" s="17"/>
      <c r="CD334" s="17"/>
      <c r="CE334" s="17"/>
      <c r="CF334" s="17"/>
      <c r="CG334" s="17"/>
    </row>
    <row r="335" spans="1:85" ht="16.5" customHeight="1" x14ac:dyDescent="0.25">
      <c r="A335" s="24" t="e">
        <f>COUNTIF(#REF!,"Y")</f>
        <v>#REF!</v>
      </c>
      <c r="B335" s="25">
        <v>82200</v>
      </c>
      <c r="C335" s="24" t="s">
        <v>820</v>
      </c>
      <c r="AF335" s="17"/>
      <c r="AK335" s="16"/>
      <c r="AQ335" s="17"/>
      <c r="BB335" s="16" t="s">
        <v>243</v>
      </c>
      <c r="BC335" s="16"/>
      <c r="BD335" s="16"/>
      <c r="BE335" s="38"/>
    </row>
    <row r="336" spans="1:85" s="13" customFormat="1" ht="16.5" customHeight="1" x14ac:dyDescent="0.25">
      <c r="A336" s="24" t="e">
        <f>COUNTIF(#REF!,"Y")</f>
        <v>#REF!</v>
      </c>
      <c r="B336" s="27">
        <v>82300</v>
      </c>
      <c r="C336" s="28" t="s">
        <v>822</v>
      </c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G336" s="12"/>
      <c r="AH336" s="12"/>
      <c r="AI336" s="12"/>
      <c r="AJ336" s="12"/>
      <c r="AK336" s="12"/>
      <c r="AL336" s="12"/>
      <c r="AM336" s="12"/>
      <c r="AN336" s="12"/>
      <c r="AO336" s="12"/>
      <c r="AP336" s="12"/>
      <c r="AR336" s="12"/>
      <c r="AS336" s="12"/>
      <c r="AT336" s="12"/>
      <c r="AU336" s="12"/>
      <c r="AV336" s="12"/>
      <c r="AW336" s="12"/>
      <c r="AX336" s="12"/>
      <c r="AY336" s="12"/>
      <c r="AZ336" s="12"/>
      <c r="BA336" s="12"/>
      <c r="BB336" s="12" t="s">
        <v>243</v>
      </c>
      <c r="BC336" s="12"/>
      <c r="BD336" s="12"/>
      <c r="BE336" s="14"/>
      <c r="BF336" s="17"/>
      <c r="BG336" s="17"/>
      <c r="BH336" s="17"/>
      <c r="BI336" s="17"/>
      <c r="BJ336" s="17"/>
      <c r="BK336" s="17"/>
      <c r="BL336" s="17"/>
      <c r="BM336" s="17"/>
      <c r="BN336" s="17"/>
      <c r="BO336" s="17"/>
      <c r="BP336" s="17"/>
      <c r="BQ336" s="17"/>
      <c r="BR336" s="17"/>
      <c r="BS336" s="17"/>
      <c r="BT336" s="17"/>
      <c r="BU336" s="17"/>
      <c r="BV336" s="17"/>
      <c r="BW336" s="17"/>
      <c r="BX336" s="17"/>
      <c r="BY336" s="17"/>
      <c r="BZ336" s="17"/>
      <c r="CA336" s="17"/>
      <c r="CB336" s="17"/>
      <c r="CC336" s="17"/>
      <c r="CD336" s="17"/>
      <c r="CE336" s="17"/>
      <c r="CF336" s="17"/>
      <c r="CG336" s="17"/>
    </row>
    <row r="337" spans="1:85" ht="16.5" customHeight="1" x14ac:dyDescent="0.25">
      <c r="A337" s="24" t="e">
        <f>COUNTIF(#REF!,"Y")</f>
        <v>#REF!</v>
      </c>
      <c r="B337" s="25">
        <v>82400</v>
      </c>
      <c r="C337" s="24" t="s">
        <v>256</v>
      </c>
      <c r="AF337" s="17"/>
      <c r="AK337" s="16"/>
      <c r="AQ337" s="17"/>
      <c r="BB337" s="16" t="s">
        <v>243</v>
      </c>
      <c r="BC337" s="16"/>
      <c r="BD337" s="16"/>
      <c r="BE337" s="38"/>
    </row>
    <row r="338" spans="1:85" s="13" customFormat="1" ht="16.5" customHeight="1" x14ac:dyDescent="0.25">
      <c r="A338" s="24" t="e">
        <f>COUNTIF(#REF!,"Y")</f>
        <v>#REF!</v>
      </c>
      <c r="B338" s="27">
        <v>83100</v>
      </c>
      <c r="C338" s="28" t="s">
        <v>1557</v>
      </c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G338" s="12"/>
      <c r="AH338" s="12"/>
      <c r="AI338" s="12"/>
      <c r="AJ338" s="12"/>
      <c r="AK338" s="12"/>
      <c r="AL338" s="12"/>
      <c r="AM338" s="12"/>
      <c r="AN338" s="12"/>
      <c r="AO338" s="12"/>
      <c r="AP338" s="12"/>
      <c r="AR338" s="12"/>
      <c r="AS338" s="12"/>
      <c r="AT338" s="12"/>
      <c r="AU338" s="12"/>
      <c r="AV338" s="12"/>
      <c r="AW338" s="12"/>
      <c r="AX338" s="12"/>
      <c r="AY338" s="12"/>
      <c r="AZ338" s="12"/>
      <c r="BA338" s="12"/>
      <c r="BB338" s="12" t="s">
        <v>243</v>
      </c>
      <c r="BC338" s="12"/>
      <c r="BD338" s="12"/>
      <c r="BE338" s="14"/>
      <c r="BF338" s="17"/>
      <c r="BG338" s="17"/>
      <c r="BH338" s="17"/>
      <c r="BI338" s="17"/>
      <c r="BJ338" s="17"/>
      <c r="BK338" s="17"/>
      <c r="BL338" s="17"/>
      <c r="BM338" s="17"/>
      <c r="BN338" s="17"/>
      <c r="BO338" s="17"/>
      <c r="BP338" s="17"/>
      <c r="BQ338" s="17"/>
      <c r="BR338" s="17"/>
      <c r="BS338" s="17"/>
      <c r="BT338" s="17"/>
      <c r="BU338" s="17"/>
      <c r="BV338" s="17"/>
      <c r="BW338" s="17"/>
      <c r="BX338" s="17"/>
      <c r="BY338" s="17"/>
      <c r="BZ338" s="17"/>
      <c r="CA338" s="17"/>
      <c r="CB338" s="17"/>
      <c r="CC338" s="17"/>
      <c r="CD338" s="17"/>
      <c r="CE338" s="17"/>
      <c r="CF338" s="17"/>
      <c r="CG338" s="17"/>
    </row>
    <row r="339" spans="1:85" ht="16.5" customHeight="1" x14ac:dyDescent="0.25">
      <c r="A339" s="24" t="e">
        <f>COUNTIF(#REF!,"Y")</f>
        <v>#REF!</v>
      </c>
      <c r="B339" s="25">
        <v>83200</v>
      </c>
      <c r="C339" s="24" t="s">
        <v>1558</v>
      </c>
      <c r="AF339" s="17"/>
      <c r="AK339" s="16"/>
      <c r="AQ339" s="17"/>
      <c r="BB339" s="16" t="s">
        <v>243</v>
      </c>
      <c r="BC339" s="16"/>
      <c r="BD339" s="16"/>
      <c r="BE339" s="38"/>
    </row>
    <row r="340" spans="1:85" s="13" customFormat="1" ht="16.5" customHeight="1" x14ac:dyDescent="0.25">
      <c r="A340" s="24" t="e">
        <f>COUNTIF(#REF!,"Y")</f>
        <v>#REF!</v>
      </c>
      <c r="B340" s="27">
        <v>83300</v>
      </c>
      <c r="C340" s="28" t="s">
        <v>1559</v>
      </c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R340" s="12"/>
      <c r="AS340" s="12"/>
      <c r="AT340" s="12"/>
      <c r="AU340" s="12"/>
      <c r="AV340" s="12"/>
      <c r="AW340" s="12"/>
      <c r="AX340" s="12"/>
      <c r="AY340" s="12"/>
      <c r="AZ340" s="12"/>
      <c r="BA340" s="12"/>
      <c r="BB340" s="12" t="s">
        <v>243</v>
      </c>
      <c r="BC340" s="12"/>
      <c r="BD340" s="12"/>
      <c r="BE340" s="14"/>
      <c r="BF340" s="17"/>
      <c r="BG340" s="17"/>
      <c r="BH340" s="17"/>
      <c r="BI340" s="17"/>
      <c r="BJ340" s="17"/>
      <c r="BK340" s="17"/>
      <c r="BL340" s="17"/>
      <c r="BM340" s="17"/>
      <c r="BN340" s="17"/>
      <c r="BO340" s="17"/>
      <c r="BP340" s="17"/>
      <c r="BQ340" s="17"/>
      <c r="BR340" s="17"/>
      <c r="BS340" s="17"/>
      <c r="BT340" s="17"/>
      <c r="BU340" s="17"/>
      <c r="BV340" s="17"/>
      <c r="BW340" s="17"/>
      <c r="BX340" s="17"/>
      <c r="BY340" s="17"/>
      <c r="BZ340" s="17"/>
      <c r="CA340" s="17"/>
      <c r="CB340" s="17"/>
      <c r="CC340" s="17"/>
      <c r="CD340" s="17"/>
      <c r="CE340" s="17"/>
      <c r="CF340" s="17"/>
      <c r="CG340" s="17"/>
    </row>
    <row r="341" spans="1:85" ht="16.5" customHeight="1" x14ac:dyDescent="0.25">
      <c r="A341" s="24" t="e">
        <f>COUNTIF(#REF!,"Y")</f>
        <v>#REF!</v>
      </c>
      <c r="B341" s="25">
        <v>84100</v>
      </c>
      <c r="C341" s="24" t="s">
        <v>1065</v>
      </c>
      <c r="AF341" s="17"/>
      <c r="AK341" s="16"/>
      <c r="AQ341" s="17"/>
      <c r="BB341" s="16" t="s">
        <v>243</v>
      </c>
      <c r="BC341" s="16"/>
      <c r="BD341" s="16"/>
      <c r="BE341" s="38"/>
    </row>
    <row r="342" spans="1:85" s="13" customFormat="1" ht="16.5" customHeight="1" x14ac:dyDescent="0.25">
      <c r="A342" s="24" t="e">
        <f>COUNTIF(#REF!,"Y")</f>
        <v>#REF!</v>
      </c>
      <c r="B342" s="27">
        <v>84200</v>
      </c>
      <c r="C342" s="28" t="s">
        <v>825</v>
      </c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R342" s="12"/>
      <c r="AS342" s="12"/>
      <c r="AT342" s="12"/>
      <c r="AU342" s="12"/>
      <c r="AV342" s="12"/>
      <c r="AW342" s="12"/>
      <c r="AX342" s="12"/>
      <c r="AY342" s="12"/>
      <c r="AZ342" s="12"/>
      <c r="BA342" s="12"/>
      <c r="BB342" s="12" t="s">
        <v>243</v>
      </c>
      <c r="BC342" s="12"/>
      <c r="BD342" s="12"/>
      <c r="BE342" s="14"/>
      <c r="BF342" s="17"/>
      <c r="BG342" s="17"/>
      <c r="BH342" s="17"/>
      <c r="BI342" s="17"/>
      <c r="BJ342" s="17"/>
      <c r="BK342" s="17"/>
      <c r="BL342" s="17"/>
      <c r="BM342" s="17"/>
      <c r="BN342" s="17"/>
      <c r="BO342" s="17"/>
      <c r="BP342" s="17"/>
      <c r="BQ342" s="17"/>
      <c r="BR342" s="17"/>
      <c r="BS342" s="17"/>
      <c r="BT342" s="17"/>
      <c r="BU342" s="17"/>
      <c r="BV342" s="17"/>
      <c r="BW342" s="17"/>
      <c r="BX342" s="17"/>
      <c r="BY342" s="17"/>
      <c r="BZ342" s="17"/>
      <c r="CA342" s="17"/>
      <c r="CB342" s="17"/>
      <c r="CC342" s="17"/>
      <c r="CD342" s="17"/>
      <c r="CE342" s="17"/>
      <c r="CF342" s="17"/>
      <c r="CG342" s="17"/>
    </row>
    <row r="343" spans="1:85" ht="16.5" customHeight="1" x14ac:dyDescent="0.25">
      <c r="A343" s="24" t="e">
        <f>COUNTIF(#REF!,"Y")</f>
        <v>#REF!</v>
      </c>
      <c r="B343" s="25">
        <v>84300</v>
      </c>
      <c r="C343" s="24" t="s">
        <v>827</v>
      </c>
      <c r="AF343" s="17"/>
      <c r="AK343" s="16"/>
      <c r="AQ343" s="17"/>
      <c r="BB343" s="16" t="s">
        <v>243</v>
      </c>
      <c r="BC343" s="16"/>
      <c r="BD343" s="16"/>
      <c r="BE343" s="38"/>
    </row>
    <row r="344" spans="1:85" s="13" customFormat="1" ht="16.5" customHeight="1" x14ac:dyDescent="0.25">
      <c r="A344" s="24" t="e">
        <f>COUNTIF(#REF!,"Y")</f>
        <v>#REF!</v>
      </c>
      <c r="B344" s="27">
        <v>84400</v>
      </c>
      <c r="C344" s="28" t="s">
        <v>829</v>
      </c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G344" s="12"/>
      <c r="AH344" s="12"/>
      <c r="AI344" s="12"/>
      <c r="AJ344" s="12"/>
      <c r="AK344" s="12"/>
      <c r="AL344" s="12"/>
      <c r="AM344" s="12"/>
      <c r="AN344" s="12"/>
      <c r="AO344" s="12"/>
      <c r="AP344" s="12"/>
      <c r="AR344" s="12"/>
      <c r="AS344" s="12"/>
      <c r="AT344" s="12"/>
      <c r="AU344" s="12"/>
      <c r="AV344" s="12"/>
      <c r="AW344" s="12"/>
      <c r="AX344" s="12"/>
      <c r="AY344" s="12"/>
      <c r="AZ344" s="12"/>
      <c r="BA344" s="12"/>
      <c r="BB344" s="12"/>
      <c r="BC344" s="12"/>
      <c r="BD344" s="12" t="s">
        <v>243</v>
      </c>
      <c r="BE344" s="14"/>
      <c r="BF344" s="17"/>
      <c r="BG344" s="17"/>
      <c r="BH344" s="17"/>
      <c r="BI344" s="17"/>
      <c r="BJ344" s="17"/>
      <c r="BK344" s="17"/>
      <c r="BL344" s="17"/>
      <c r="BM344" s="17"/>
      <c r="BN344" s="17"/>
      <c r="BO344" s="17"/>
      <c r="BP344" s="17"/>
      <c r="BQ344" s="17"/>
      <c r="BR344" s="17"/>
      <c r="BS344" s="17"/>
      <c r="BT344" s="17"/>
      <c r="BU344" s="17"/>
      <c r="BV344" s="17"/>
      <c r="BW344" s="17"/>
      <c r="BX344" s="17"/>
      <c r="BY344" s="17"/>
      <c r="BZ344" s="17"/>
      <c r="CA344" s="17"/>
      <c r="CB344" s="17"/>
      <c r="CC344" s="17"/>
      <c r="CD344" s="17"/>
      <c r="CE344" s="17"/>
      <c r="CF344" s="17"/>
      <c r="CG344" s="17"/>
    </row>
    <row r="345" spans="1:85" ht="16.5" customHeight="1" x14ac:dyDescent="0.25">
      <c r="A345" s="24" t="e">
        <f>COUNTIF(#REF!,"Y")</f>
        <v>#REF!</v>
      </c>
      <c r="B345" s="25">
        <v>85000</v>
      </c>
      <c r="C345" s="24" t="s">
        <v>281</v>
      </c>
      <c r="AF345" s="17"/>
      <c r="AK345" s="16"/>
      <c r="AQ345" s="17"/>
      <c r="BB345" s="16"/>
      <c r="BC345" s="16"/>
      <c r="BD345" s="16" t="s">
        <v>243</v>
      </c>
      <c r="BE345" s="38"/>
    </row>
    <row r="346" spans="1:85" s="13" customFormat="1" ht="16.5" customHeight="1" x14ac:dyDescent="0.25">
      <c r="A346" s="24">
        <f t="shared" ref="A346:A377" si="16">COUNTIF(D361:BE361,"Y")</f>
        <v>1</v>
      </c>
      <c r="B346" s="27">
        <v>90010</v>
      </c>
      <c r="C346" s="28" t="s">
        <v>204</v>
      </c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G346" s="12"/>
      <c r="AH346" s="12"/>
      <c r="AI346" s="12"/>
      <c r="AJ346" s="12"/>
      <c r="AK346" s="12"/>
      <c r="AL346" s="12"/>
      <c r="AM346" s="12"/>
      <c r="AN346" s="12"/>
      <c r="AO346" s="12"/>
      <c r="AP346" s="12"/>
      <c r="AR346" s="12"/>
      <c r="AS346" s="12"/>
      <c r="AT346" s="12"/>
      <c r="AU346" s="12"/>
      <c r="AV346" s="12"/>
      <c r="AW346" s="12"/>
      <c r="AX346" s="12"/>
      <c r="AY346" s="12"/>
      <c r="AZ346" s="12"/>
      <c r="BA346" s="12"/>
      <c r="BB346" s="12"/>
      <c r="BC346" s="12"/>
      <c r="BD346" s="12"/>
      <c r="BE346" s="14"/>
      <c r="BF346" s="17"/>
      <c r="BG346" s="17"/>
      <c r="BH346" s="17"/>
      <c r="BI346" s="17"/>
      <c r="BJ346" s="17"/>
      <c r="BK346" s="17"/>
      <c r="BL346" s="17"/>
      <c r="BM346" s="17"/>
      <c r="BN346" s="17"/>
      <c r="BO346" s="17"/>
      <c r="BP346" s="17"/>
      <c r="BQ346" s="17"/>
      <c r="BR346" s="17"/>
      <c r="BS346" s="17"/>
      <c r="BT346" s="17"/>
      <c r="BU346" s="17"/>
      <c r="BV346" s="17"/>
      <c r="BW346" s="17"/>
      <c r="BX346" s="17"/>
      <c r="BY346" s="17"/>
      <c r="BZ346" s="17"/>
      <c r="CA346" s="17"/>
      <c r="CB346" s="17"/>
      <c r="CC346" s="17"/>
      <c r="CD346" s="17"/>
      <c r="CE346" s="17"/>
      <c r="CF346" s="17"/>
      <c r="CG346" s="17"/>
    </row>
    <row r="347" spans="1:85" ht="16.5" customHeight="1" x14ac:dyDescent="0.25">
      <c r="A347" s="24">
        <f t="shared" si="16"/>
        <v>1</v>
      </c>
      <c r="B347" s="25">
        <v>90020</v>
      </c>
      <c r="C347" s="24" t="s">
        <v>162</v>
      </c>
      <c r="AF347" s="17"/>
      <c r="AK347" s="16"/>
      <c r="AQ347" s="17"/>
      <c r="BB347" s="16"/>
      <c r="BC347" s="16"/>
      <c r="BD347" s="16"/>
      <c r="BE347" s="38"/>
    </row>
    <row r="348" spans="1:85" s="13" customFormat="1" ht="16.5" customHeight="1" x14ac:dyDescent="0.25">
      <c r="A348" s="24">
        <f t="shared" si="16"/>
        <v>1</v>
      </c>
      <c r="B348" s="27">
        <v>90030</v>
      </c>
      <c r="C348" s="28" t="s">
        <v>163</v>
      </c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G348" s="12"/>
      <c r="AH348" s="12"/>
      <c r="AI348" s="12"/>
      <c r="AJ348" s="12"/>
      <c r="AK348" s="12"/>
      <c r="AL348" s="12"/>
      <c r="AM348" s="12"/>
      <c r="AN348" s="12"/>
      <c r="AO348" s="12"/>
      <c r="AP348" s="12"/>
      <c r="AR348" s="12"/>
      <c r="AS348" s="12"/>
      <c r="AT348" s="12"/>
      <c r="AU348" s="12"/>
      <c r="AV348" s="12"/>
      <c r="AW348" s="12"/>
      <c r="AX348" s="12"/>
      <c r="AY348" s="12"/>
      <c r="AZ348" s="12"/>
      <c r="BA348" s="12"/>
      <c r="BB348" s="12"/>
      <c r="BC348" s="12"/>
      <c r="BD348" s="12"/>
      <c r="BE348" s="14"/>
      <c r="BF348" s="17"/>
      <c r="BG348" s="17"/>
      <c r="BH348" s="17"/>
      <c r="BI348" s="17"/>
      <c r="BJ348" s="17"/>
      <c r="BK348" s="17"/>
      <c r="BL348" s="17"/>
      <c r="BM348" s="17"/>
      <c r="BN348" s="17"/>
      <c r="BO348" s="17"/>
      <c r="BP348" s="17"/>
      <c r="BQ348" s="17"/>
      <c r="BR348" s="17"/>
      <c r="BS348" s="17"/>
      <c r="BT348" s="17"/>
      <c r="BU348" s="17"/>
      <c r="BV348" s="17"/>
      <c r="BW348" s="17"/>
      <c r="BX348" s="17"/>
      <c r="BY348" s="17"/>
      <c r="BZ348" s="17"/>
      <c r="CA348" s="17"/>
      <c r="CB348" s="17"/>
      <c r="CC348" s="17"/>
      <c r="CD348" s="17"/>
      <c r="CE348" s="17"/>
      <c r="CF348" s="17"/>
      <c r="CG348" s="17"/>
    </row>
    <row r="349" spans="1:85" ht="16.5" customHeight="1" x14ac:dyDescent="0.25">
      <c r="A349" s="24">
        <f t="shared" si="16"/>
        <v>1</v>
      </c>
      <c r="B349" s="25">
        <v>90040</v>
      </c>
      <c r="C349" s="24" t="s">
        <v>207</v>
      </c>
      <c r="AF349" s="17"/>
      <c r="AK349" s="16"/>
      <c r="AQ349" s="17"/>
      <c r="BB349" s="16"/>
      <c r="BC349" s="16"/>
      <c r="BD349" s="16"/>
      <c r="BE349" s="38"/>
    </row>
    <row r="350" spans="1:85" s="13" customFormat="1" ht="16.5" customHeight="1" x14ac:dyDescent="0.25">
      <c r="A350" s="24">
        <f t="shared" si="16"/>
        <v>1</v>
      </c>
      <c r="B350" s="27">
        <v>90050</v>
      </c>
      <c r="C350" s="28" t="s">
        <v>944</v>
      </c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G350" s="12"/>
      <c r="AH350" s="12"/>
      <c r="AI350" s="12"/>
      <c r="AJ350" s="12"/>
      <c r="AK350" s="12"/>
      <c r="AL350" s="12"/>
      <c r="AM350" s="12"/>
      <c r="AN350" s="12"/>
      <c r="AO350" s="12"/>
      <c r="AP350" s="12"/>
      <c r="AR350" s="12"/>
      <c r="AS350" s="12"/>
      <c r="AT350" s="12"/>
      <c r="AU350" s="12"/>
      <c r="AV350" s="12"/>
      <c r="AW350" s="12"/>
      <c r="AX350" s="12"/>
      <c r="AY350" s="12"/>
      <c r="AZ350" s="12"/>
      <c r="BA350" s="12"/>
      <c r="BB350" s="12"/>
      <c r="BC350" s="12"/>
      <c r="BD350" s="12"/>
      <c r="BE350" s="14"/>
      <c r="BF350" s="17"/>
      <c r="BG350" s="17"/>
      <c r="BH350" s="17"/>
      <c r="BI350" s="17"/>
      <c r="BJ350" s="17"/>
      <c r="BK350" s="17"/>
      <c r="BL350" s="17"/>
      <c r="BM350" s="17"/>
      <c r="BN350" s="17"/>
      <c r="BO350" s="17"/>
      <c r="BP350" s="17"/>
      <c r="BQ350" s="17"/>
      <c r="BR350" s="17"/>
      <c r="BS350" s="17"/>
      <c r="BT350" s="17"/>
      <c r="BU350" s="17"/>
      <c r="BV350" s="17"/>
      <c r="BW350" s="17"/>
      <c r="BX350" s="17"/>
      <c r="BY350" s="17"/>
      <c r="BZ350" s="17"/>
      <c r="CA350" s="17"/>
      <c r="CB350" s="17"/>
      <c r="CC350" s="17"/>
      <c r="CD350" s="17"/>
      <c r="CE350" s="17"/>
      <c r="CF350" s="17"/>
      <c r="CG350" s="17"/>
    </row>
    <row r="351" spans="1:85" ht="16.5" customHeight="1" x14ac:dyDescent="0.25">
      <c r="A351" s="24">
        <f t="shared" si="16"/>
        <v>1</v>
      </c>
      <c r="B351" s="25">
        <v>90060</v>
      </c>
      <c r="C351" s="24" t="s">
        <v>205</v>
      </c>
      <c r="AF351" s="17"/>
      <c r="AK351" s="16"/>
      <c r="AQ351" s="17"/>
      <c r="BB351" s="16"/>
      <c r="BC351" s="16"/>
      <c r="BD351" s="16"/>
      <c r="BE351" s="38"/>
    </row>
    <row r="352" spans="1:85" s="13" customFormat="1" ht="16.5" customHeight="1" x14ac:dyDescent="0.25">
      <c r="A352" s="24">
        <f t="shared" si="16"/>
        <v>1</v>
      </c>
      <c r="B352" s="27">
        <v>90070</v>
      </c>
      <c r="C352" s="28" t="s">
        <v>203</v>
      </c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G352" s="12"/>
      <c r="AH352" s="12"/>
      <c r="AI352" s="12"/>
      <c r="AJ352" s="12"/>
      <c r="AK352" s="12"/>
      <c r="AL352" s="12"/>
      <c r="AM352" s="12"/>
      <c r="AN352" s="12"/>
      <c r="AO352" s="12"/>
      <c r="AP352" s="12"/>
      <c r="AR352" s="12"/>
      <c r="AS352" s="12"/>
      <c r="AT352" s="12"/>
      <c r="AU352" s="12"/>
      <c r="AV352" s="12"/>
      <c r="AW352" s="12"/>
      <c r="AX352" s="12"/>
      <c r="AY352" s="12"/>
      <c r="AZ352" s="12"/>
      <c r="BA352" s="12"/>
      <c r="BB352" s="12"/>
      <c r="BC352" s="12"/>
      <c r="BD352" s="12"/>
      <c r="BE352" s="14"/>
      <c r="BF352" s="17"/>
      <c r="BG352" s="17"/>
      <c r="BH352" s="17"/>
      <c r="BI352" s="17"/>
      <c r="BJ352" s="17"/>
      <c r="BK352" s="17"/>
      <c r="BL352" s="17"/>
      <c r="BM352" s="17"/>
      <c r="BN352" s="17"/>
      <c r="BO352" s="17"/>
      <c r="BP352" s="17"/>
      <c r="BQ352" s="17"/>
      <c r="BR352" s="17"/>
      <c r="BS352" s="17"/>
      <c r="BT352" s="17"/>
      <c r="BU352" s="17"/>
      <c r="BV352" s="17"/>
      <c r="BW352" s="17"/>
      <c r="BX352" s="17"/>
      <c r="BY352" s="17"/>
      <c r="BZ352" s="17"/>
      <c r="CA352" s="17"/>
      <c r="CB352" s="17"/>
      <c r="CC352" s="17"/>
      <c r="CD352" s="17"/>
      <c r="CE352" s="17"/>
      <c r="CF352" s="17"/>
      <c r="CG352" s="17"/>
    </row>
    <row r="353" spans="1:85" ht="16.5" customHeight="1" x14ac:dyDescent="0.25">
      <c r="A353" s="24">
        <f t="shared" si="16"/>
        <v>1</v>
      </c>
      <c r="B353" s="25">
        <v>90080</v>
      </c>
      <c r="C353" s="24" t="s">
        <v>209</v>
      </c>
      <c r="AF353" s="17"/>
      <c r="AK353" s="16"/>
      <c r="AQ353" s="17"/>
      <c r="BB353" s="16"/>
      <c r="BC353" s="16"/>
      <c r="BD353" s="16"/>
      <c r="BE353" s="38"/>
    </row>
    <row r="354" spans="1:85" s="13" customFormat="1" ht="16.5" customHeight="1" x14ac:dyDescent="0.25">
      <c r="A354" s="24">
        <f t="shared" si="16"/>
        <v>1</v>
      </c>
      <c r="B354" s="27">
        <v>90090</v>
      </c>
      <c r="C354" s="28" t="s">
        <v>208</v>
      </c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G354" s="12"/>
      <c r="AH354" s="12"/>
      <c r="AI354" s="12"/>
      <c r="AJ354" s="12"/>
      <c r="AK354" s="12"/>
      <c r="AL354" s="12"/>
      <c r="AM354" s="12"/>
      <c r="AN354" s="12"/>
      <c r="AO354" s="12"/>
      <c r="AP354" s="12"/>
      <c r="AR354" s="12"/>
      <c r="AS354" s="12"/>
      <c r="AT354" s="12"/>
      <c r="AU354" s="12"/>
      <c r="AV354" s="12"/>
      <c r="AW354" s="12"/>
      <c r="AX354" s="12"/>
      <c r="AY354" s="12"/>
      <c r="AZ354" s="12"/>
      <c r="BA354" s="12"/>
      <c r="BB354" s="12"/>
      <c r="BC354" s="12"/>
      <c r="BD354" s="12"/>
      <c r="BE354" s="14"/>
      <c r="BF354" s="17"/>
      <c r="BG354" s="17"/>
      <c r="BH354" s="17"/>
      <c r="BI354" s="17"/>
      <c r="BJ354" s="17"/>
      <c r="BK354" s="17"/>
      <c r="BL354" s="17"/>
      <c r="BM354" s="17"/>
      <c r="BN354" s="17"/>
      <c r="BO354" s="17"/>
      <c r="BP354" s="17"/>
      <c r="BQ354" s="17"/>
      <c r="BR354" s="17"/>
      <c r="BS354" s="17"/>
      <c r="BT354" s="17"/>
      <c r="BU354" s="17"/>
      <c r="BV354" s="17"/>
      <c r="BW354" s="17"/>
      <c r="BX354" s="17"/>
      <c r="BY354" s="17"/>
      <c r="BZ354" s="17"/>
      <c r="CA354" s="17"/>
      <c r="CB354" s="17"/>
      <c r="CC354" s="17"/>
      <c r="CD354" s="17"/>
      <c r="CE354" s="17"/>
      <c r="CF354" s="17"/>
      <c r="CG354" s="17"/>
    </row>
    <row r="355" spans="1:85" ht="16.5" customHeight="1" x14ac:dyDescent="0.25">
      <c r="A355" s="24">
        <f t="shared" si="16"/>
        <v>1</v>
      </c>
      <c r="B355" s="25">
        <v>90100</v>
      </c>
      <c r="C355" s="24" t="s">
        <v>206</v>
      </c>
      <c r="AF355" s="17"/>
      <c r="AK355" s="16"/>
      <c r="AQ355" s="17"/>
      <c r="BB355" s="16"/>
      <c r="BC355" s="16"/>
      <c r="BD355" s="16"/>
      <c r="BE355" s="38"/>
    </row>
    <row r="356" spans="1:85" s="13" customFormat="1" ht="16.5" customHeight="1" x14ac:dyDescent="0.25">
      <c r="A356" s="24">
        <f t="shared" si="16"/>
        <v>1</v>
      </c>
      <c r="B356" s="27">
        <v>90110</v>
      </c>
      <c r="C356" s="28" t="s">
        <v>210</v>
      </c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G356" s="12"/>
      <c r="AH356" s="12"/>
      <c r="AI356" s="12"/>
      <c r="AJ356" s="12"/>
      <c r="AK356" s="12"/>
      <c r="AL356" s="12"/>
      <c r="AM356" s="12"/>
      <c r="AN356" s="12"/>
      <c r="AO356" s="12"/>
      <c r="AP356" s="12"/>
      <c r="AR356" s="12"/>
      <c r="AS356" s="12"/>
      <c r="AT356" s="12"/>
      <c r="AU356" s="12"/>
      <c r="AV356" s="12"/>
      <c r="AW356" s="12"/>
      <c r="AX356" s="12"/>
      <c r="AY356" s="12"/>
      <c r="AZ356" s="12"/>
      <c r="BA356" s="12"/>
      <c r="BB356" s="12"/>
      <c r="BC356" s="12"/>
      <c r="BD356" s="12"/>
      <c r="BE356" s="14"/>
      <c r="BF356" s="17"/>
      <c r="BG356" s="17"/>
      <c r="BH356" s="17"/>
      <c r="BI356" s="17"/>
      <c r="BJ356" s="17"/>
      <c r="BK356" s="17"/>
      <c r="BL356" s="17"/>
      <c r="BM356" s="17"/>
      <c r="BN356" s="17"/>
      <c r="BO356" s="17"/>
      <c r="BP356" s="17"/>
      <c r="BQ356" s="17"/>
      <c r="BR356" s="17"/>
      <c r="BS356" s="17"/>
      <c r="BT356" s="17"/>
      <c r="BU356" s="17"/>
      <c r="BV356" s="17"/>
      <c r="BW356" s="17"/>
      <c r="BX356" s="17"/>
      <c r="BY356" s="17"/>
      <c r="BZ356" s="17"/>
      <c r="CA356" s="17"/>
      <c r="CB356" s="17"/>
      <c r="CC356" s="17"/>
      <c r="CD356" s="17"/>
      <c r="CE356" s="17"/>
      <c r="CF356" s="17"/>
      <c r="CG356" s="17"/>
    </row>
    <row r="357" spans="1:85" ht="16.5" customHeight="1" x14ac:dyDescent="0.25">
      <c r="A357" s="24">
        <f t="shared" si="16"/>
        <v>1</v>
      </c>
      <c r="B357" s="25">
        <v>91010</v>
      </c>
      <c r="C357" s="24" t="s">
        <v>952</v>
      </c>
      <c r="D357" s="16" t="s">
        <v>243</v>
      </c>
      <c r="AF357" s="17"/>
      <c r="AK357" s="16"/>
      <c r="AQ357" s="17"/>
      <c r="BB357" s="16"/>
      <c r="BC357" s="16"/>
      <c r="BD357" s="16"/>
      <c r="BE357" s="38"/>
    </row>
    <row r="358" spans="1:85" s="13" customFormat="1" ht="16.5" customHeight="1" x14ac:dyDescent="0.25">
      <c r="A358" s="24">
        <f t="shared" si="16"/>
        <v>1</v>
      </c>
      <c r="B358" s="27">
        <v>91020</v>
      </c>
      <c r="C358" s="28" t="s">
        <v>161</v>
      </c>
      <c r="D358" s="12" t="s">
        <v>243</v>
      </c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G358" s="12"/>
      <c r="AH358" s="12"/>
      <c r="AI358" s="12"/>
      <c r="AJ358" s="12"/>
      <c r="AK358" s="12"/>
      <c r="AL358" s="12"/>
      <c r="AM358" s="12"/>
      <c r="AN358" s="12"/>
      <c r="AO358" s="12"/>
      <c r="AP358" s="12"/>
      <c r="AR358" s="12"/>
      <c r="AS358" s="12"/>
      <c r="AT358" s="12"/>
      <c r="AU358" s="12"/>
      <c r="AV358" s="12"/>
      <c r="AW358" s="12"/>
      <c r="AX358" s="12"/>
      <c r="AY358" s="12"/>
      <c r="AZ358" s="12"/>
      <c r="BA358" s="12"/>
      <c r="BB358" s="12"/>
      <c r="BC358" s="12"/>
      <c r="BD358" s="12"/>
      <c r="BE358" s="14"/>
      <c r="BF358" s="17"/>
      <c r="BG358" s="17"/>
      <c r="BH358" s="17"/>
      <c r="BI358" s="17"/>
      <c r="BJ358" s="17"/>
      <c r="BK358" s="17"/>
      <c r="BL358" s="17"/>
      <c r="BM358" s="17"/>
      <c r="BN358" s="17"/>
      <c r="BO358" s="17"/>
      <c r="BP358" s="17"/>
      <c r="BQ358" s="17"/>
      <c r="BR358" s="17"/>
      <c r="BS358" s="17"/>
      <c r="BT358" s="17"/>
      <c r="BU358" s="17"/>
      <c r="BV358" s="17"/>
      <c r="BW358" s="17"/>
      <c r="BX358" s="17"/>
      <c r="BY358" s="17"/>
      <c r="BZ358" s="17"/>
      <c r="CA358" s="17"/>
      <c r="CB358" s="17"/>
      <c r="CC358" s="17"/>
      <c r="CD358" s="17"/>
      <c r="CE358" s="17"/>
      <c r="CF358" s="17"/>
      <c r="CG358" s="17"/>
    </row>
    <row r="359" spans="1:85" ht="16.5" customHeight="1" x14ac:dyDescent="0.25">
      <c r="A359" s="24">
        <f t="shared" si="16"/>
        <v>1</v>
      </c>
      <c r="B359" s="25">
        <v>91030</v>
      </c>
      <c r="C359" s="24" t="s">
        <v>955</v>
      </c>
      <c r="D359" s="16" t="s">
        <v>243</v>
      </c>
      <c r="AF359" s="17"/>
      <c r="AK359" s="16"/>
      <c r="AQ359" s="17"/>
      <c r="BB359" s="16"/>
      <c r="BC359" s="16"/>
      <c r="BD359" s="16"/>
      <c r="BE359" s="38"/>
    </row>
    <row r="360" spans="1:85" s="13" customFormat="1" ht="16.5" customHeight="1" x14ac:dyDescent="0.25">
      <c r="A360" s="24">
        <f t="shared" si="16"/>
        <v>1</v>
      </c>
      <c r="B360" s="27">
        <v>91040</v>
      </c>
      <c r="C360" s="28" t="s">
        <v>957</v>
      </c>
      <c r="D360" s="12" t="s">
        <v>243</v>
      </c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G360" s="12"/>
      <c r="AH360" s="12"/>
      <c r="AI360" s="12"/>
      <c r="AJ360" s="12"/>
      <c r="AK360" s="12"/>
      <c r="AL360" s="12"/>
      <c r="AM360" s="12"/>
      <c r="AN360" s="12"/>
      <c r="AO360" s="12"/>
      <c r="AP360" s="12"/>
      <c r="AR360" s="12"/>
      <c r="AS360" s="12"/>
      <c r="AT360" s="12"/>
      <c r="AU360" s="12"/>
      <c r="AV360" s="12"/>
      <c r="AW360" s="12"/>
      <c r="AX360" s="12"/>
      <c r="AY360" s="12"/>
      <c r="AZ360" s="12"/>
      <c r="BA360" s="12"/>
      <c r="BB360" s="12"/>
      <c r="BC360" s="12"/>
      <c r="BD360" s="12"/>
      <c r="BE360" s="14"/>
      <c r="BF360" s="17"/>
      <c r="BG360" s="17"/>
      <c r="BH360" s="17"/>
      <c r="BI360" s="17"/>
      <c r="BJ360" s="17"/>
      <c r="BK360" s="17"/>
      <c r="BL360" s="17"/>
      <c r="BM360" s="17"/>
      <c r="BN360" s="17"/>
      <c r="BO360" s="17"/>
      <c r="BP360" s="17"/>
      <c r="BQ360" s="17"/>
      <c r="BR360" s="17"/>
      <c r="BS360" s="17"/>
      <c r="BT360" s="17"/>
      <c r="BU360" s="17"/>
      <c r="BV360" s="17"/>
      <c r="BW360" s="17"/>
      <c r="BX360" s="17"/>
      <c r="BY360" s="17"/>
      <c r="BZ360" s="17"/>
      <c r="CA360" s="17"/>
      <c r="CB360" s="17"/>
      <c r="CC360" s="17"/>
      <c r="CD360" s="17"/>
      <c r="CE360" s="17"/>
      <c r="CF360" s="17"/>
      <c r="CG360" s="17"/>
    </row>
    <row r="361" spans="1:85" ht="16.5" customHeight="1" x14ac:dyDescent="0.25">
      <c r="A361" s="24">
        <f t="shared" si="16"/>
        <v>1</v>
      </c>
      <c r="B361" s="25">
        <v>91050</v>
      </c>
      <c r="C361" s="24" t="s">
        <v>959</v>
      </c>
      <c r="D361" s="16" t="s">
        <v>243</v>
      </c>
      <c r="AF361" s="17"/>
      <c r="AK361" s="16"/>
      <c r="AQ361" s="17"/>
      <c r="BB361" s="16"/>
      <c r="BC361" s="16"/>
      <c r="BD361" s="16"/>
      <c r="BE361" s="38"/>
    </row>
    <row r="362" spans="1:85" s="13" customFormat="1" ht="16.5" customHeight="1" x14ac:dyDescent="0.25">
      <c r="A362" s="24">
        <f t="shared" si="16"/>
        <v>1</v>
      </c>
      <c r="B362" s="27">
        <v>91060</v>
      </c>
      <c r="C362" s="28" t="s">
        <v>961</v>
      </c>
      <c r="D362" s="12" t="s">
        <v>243</v>
      </c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G362" s="12"/>
      <c r="AH362" s="12"/>
      <c r="AI362" s="12"/>
      <c r="AJ362" s="12"/>
      <c r="AK362" s="12"/>
      <c r="AL362" s="12"/>
      <c r="AM362" s="12"/>
      <c r="AN362" s="12"/>
      <c r="AO362" s="12"/>
      <c r="AP362" s="12"/>
      <c r="AR362" s="12"/>
      <c r="AS362" s="12"/>
      <c r="AT362" s="12"/>
      <c r="AU362" s="12"/>
      <c r="AV362" s="12"/>
      <c r="AW362" s="12"/>
      <c r="AX362" s="12"/>
      <c r="AY362" s="12"/>
      <c r="AZ362" s="12"/>
      <c r="BA362" s="12"/>
      <c r="BB362" s="12"/>
      <c r="BC362" s="12"/>
      <c r="BD362" s="12"/>
      <c r="BE362" s="14"/>
      <c r="BF362" s="17"/>
      <c r="BG362" s="17"/>
      <c r="BH362" s="17"/>
      <c r="BI362" s="17"/>
      <c r="BJ362" s="17"/>
      <c r="BK362" s="17"/>
      <c r="BL362" s="17"/>
      <c r="BM362" s="17"/>
      <c r="BN362" s="17"/>
      <c r="BO362" s="17"/>
      <c r="BP362" s="17"/>
      <c r="BQ362" s="17"/>
      <c r="BR362" s="17"/>
      <c r="BS362" s="17"/>
      <c r="BT362" s="17"/>
      <c r="BU362" s="17"/>
      <c r="BV362" s="17"/>
      <c r="BW362" s="17"/>
      <c r="BX362" s="17"/>
      <c r="BY362" s="17"/>
      <c r="BZ362" s="17"/>
      <c r="CA362" s="17"/>
      <c r="CB362" s="17"/>
      <c r="CC362" s="17"/>
      <c r="CD362" s="17"/>
      <c r="CE362" s="17"/>
      <c r="CF362" s="17"/>
      <c r="CG362" s="17"/>
    </row>
    <row r="363" spans="1:85" ht="16.5" customHeight="1" x14ac:dyDescent="0.25">
      <c r="A363" s="24">
        <f t="shared" si="16"/>
        <v>1</v>
      </c>
      <c r="B363" s="25">
        <v>91070</v>
      </c>
      <c r="C363" s="24" t="s">
        <v>963</v>
      </c>
      <c r="D363" s="16" t="s">
        <v>243</v>
      </c>
      <c r="AF363" s="17"/>
      <c r="AK363" s="16"/>
      <c r="AQ363" s="17"/>
      <c r="BB363" s="16"/>
      <c r="BC363" s="16"/>
      <c r="BD363" s="16"/>
      <c r="BE363" s="38"/>
    </row>
    <row r="364" spans="1:85" s="13" customFormat="1" ht="16.5" customHeight="1" x14ac:dyDescent="0.25">
      <c r="A364" s="24">
        <f t="shared" si="16"/>
        <v>13</v>
      </c>
      <c r="B364" s="27">
        <v>91080</v>
      </c>
      <c r="C364" s="28" t="s">
        <v>965</v>
      </c>
      <c r="D364" s="12" t="s">
        <v>243</v>
      </c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G364" s="12"/>
      <c r="AH364" s="12"/>
      <c r="AI364" s="12"/>
      <c r="AJ364" s="12"/>
      <c r="AK364" s="12"/>
      <c r="AL364" s="12"/>
      <c r="AM364" s="12"/>
      <c r="AN364" s="12"/>
      <c r="AO364" s="12"/>
      <c r="AP364" s="12"/>
      <c r="AR364" s="12"/>
      <c r="AS364" s="12"/>
      <c r="AT364" s="12"/>
      <c r="AU364" s="12"/>
      <c r="AV364" s="12"/>
      <c r="AW364" s="12"/>
      <c r="AX364" s="12"/>
      <c r="AY364" s="12"/>
      <c r="AZ364" s="12"/>
      <c r="BA364" s="12"/>
      <c r="BB364" s="12"/>
      <c r="BC364" s="12"/>
      <c r="BD364" s="12"/>
      <c r="BE364" s="14"/>
      <c r="BF364" s="17"/>
      <c r="BG364" s="17"/>
      <c r="BH364" s="17"/>
      <c r="BI364" s="17"/>
      <c r="BJ364" s="17"/>
      <c r="BK364" s="17"/>
      <c r="BL364" s="17"/>
      <c r="BM364" s="17"/>
      <c r="BN364" s="17"/>
      <c r="BO364" s="17"/>
      <c r="BP364" s="17"/>
      <c r="BQ364" s="17"/>
      <c r="BR364" s="17"/>
      <c r="BS364" s="17"/>
      <c r="BT364" s="17"/>
      <c r="BU364" s="17"/>
      <c r="BV364" s="17"/>
      <c r="BW364" s="17"/>
      <c r="BX364" s="17"/>
      <c r="BY364" s="17"/>
      <c r="BZ364" s="17"/>
      <c r="CA364" s="17"/>
      <c r="CB364" s="17"/>
      <c r="CC364" s="17"/>
      <c r="CD364" s="17"/>
      <c r="CE364" s="17"/>
      <c r="CF364" s="17"/>
      <c r="CG364" s="17"/>
    </row>
    <row r="365" spans="1:85" ht="16.5" customHeight="1" x14ac:dyDescent="0.25">
      <c r="A365" s="24">
        <f t="shared" si="16"/>
        <v>13</v>
      </c>
      <c r="B365" s="25">
        <v>91090</v>
      </c>
      <c r="C365" s="24" t="s">
        <v>967</v>
      </c>
      <c r="D365" s="16" t="s">
        <v>243</v>
      </c>
      <c r="AF365" s="17"/>
      <c r="AK365" s="16"/>
      <c r="AQ365" s="17"/>
      <c r="BB365" s="16"/>
      <c r="BC365" s="16"/>
      <c r="BD365" s="16"/>
      <c r="BE365" s="38"/>
    </row>
    <row r="366" spans="1:85" s="13" customFormat="1" ht="16.5" customHeight="1" x14ac:dyDescent="0.25">
      <c r="A366" s="24">
        <f t="shared" si="16"/>
        <v>13</v>
      </c>
      <c r="B366" s="27">
        <v>91100</v>
      </c>
      <c r="C366" s="28" t="s">
        <v>969</v>
      </c>
      <c r="D366" s="12" t="s">
        <v>243</v>
      </c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G366" s="12"/>
      <c r="AH366" s="12"/>
      <c r="AI366" s="12"/>
      <c r="AJ366" s="12"/>
      <c r="AK366" s="12"/>
      <c r="AL366" s="12"/>
      <c r="AM366" s="12"/>
      <c r="AN366" s="12"/>
      <c r="AO366" s="12"/>
      <c r="AP366" s="12"/>
      <c r="AR366" s="12"/>
      <c r="AS366" s="12"/>
      <c r="AT366" s="12"/>
      <c r="AU366" s="12"/>
      <c r="AV366" s="12"/>
      <c r="AW366" s="12"/>
      <c r="AX366" s="12"/>
      <c r="AY366" s="12"/>
      <c r="AZ366" s="12"/>
      <c r="BA366" s="12"/>
      <c r="BB366" s="12"/>
      <c r="BC366" s="12"/>
      <c r="BD366" s="12"/>
      <c r="BE366" s="14"/>
      <c r="BF366" s="17"/>
      <c r="BG366" s="17"/>
      <c r="BH366" s="17"/>
      <c r="BI366" s="17"/>
      <c r="BJ366" s="17"/>
      <c r="BK366" s="17"/>
      <c r="BL366" s="17"/>
      <c r="BM366" s="17"/>
      <c r="BN366" s="17"/>
      <c r="BO366" s="17"/>
      <c r="BP366" s="17"/>
      <c r="BQ366" s="17"/>
      <c r="BR366" s="17"/>
      <c r="BS366" s="17"/>
      <c r="BT366" s="17"/>
      <c r="BU366" s="17"/>
      <c r="BV366" s="17"/>
      <c r="BW366" s="17"/>
      <c r="BX366" s="17"/>
      <c r="BY366" s="17"/>
      <c r="BZ366" s="17"/>
      <c r="CA366" s="17"/>
      <c r="CB366" s="17"/>
      <c r="CC366" s="17"/>
      <c r="CD366" s="17"/>
      <c r="CE366" s="17"/>
      <c r="CF366" s="17"/>
      <c r="CG366" s="17"/>
    </row>
    <row r="367" spans="1:85" ht="16.5" customHeight="1" x14ac:dyDescent="0.25">
      <c r="A367" s="24">
        <f t="shared" si="16"/>
        <v>13</v>
      </c>
      <c r="B367" s="25">
        <v>91110</v>
      </c>
      <c r="C367" s="24" t="s">
        <v>971</v>
      </c>
      <c r="D367" s="16" t="s">
        <v>243</v>
      </c>
      <c r="AF367" s="17"/>
      <c r="AK367" s="16"/>
      <c r="AQ367" s="17"/>
      <c r="BB367" s="16"/>
      <c r="BC367" s="16"/>
      <c r="BD367" s="16"/>
      <c r="BE367" s="38"/>
    </row>
    <row r="368" spans="1:85" s="13" customFormat="1" ht="16.5" customHeight="1" x14ac:dyDescent="0.25">
      <c r="A368" s="24">
        <f t="shared" si="16"/>
        <v>13</v>
      </c>
      <c r="B368" s="27">
        <v>91120</v>
      </c>
      <c r="C368" s="28" t="s">
        <v>973</v>
      </c>
      <c r="D368" s="12" t="s">
        <v>243</v>
      </c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G368" s="12"/>
      <c r="AH368" s="12"/>
      <c r="AI368" s="12"/>
      <c r="AJ368" s="12"/>
      <c r="AK368" s="12"/>
      <c r="AL368" s="12"/>
      <c r="AM368" s="12"/>
      <c r="AN368" s="12"/>
      <c r="AO368" s="12"/>
      <c r="AP368" s="12"/>
      <c r="AR368" s="12"/>
      <c r="AS368" s="12"/>
      <c r="AT368" s="12"/>
      <c r="AU368" s="12"/>
      <c r="AV368" s="12"/>
      <c r="AW368" s="12"/>
      <c r="AX368" s="12"/>
      <c r="AY368" s="12"/>
      <c r="AZ368" s="12"/>
      <c r="BA368" s="12"/>
      <c r="BB368" s="12"/>
      <c r="BC368" s="12"/>
      <c r="BD368" s="12"/>
      <c r="BE368" s="14"/>
      <c r="BF368" s="17"/>
      <c r="BG368" s="17"/>
      <c r="BH368" s="17"/>
      <c r="BI368" s="17"/>
      <c r="BJ368" s="17"/>
      <c r="BK368" s="17"/>
      <c r="BL368" s="17"/>
      <c r="BM368" s="17"/>
      <c r="BN368" s="17"/>
      <c r="BO368" s="17"/>
      <c r="BP368" s="17"/>
      <c r="BQ368" s="17"/>
      <c r="BR368" s="17"/>
      <c r="BS368" s="17"/>
      <c r="BT368" s="17"/>
      <c r="BU368" s="17"/>
      <c r="BV368" s="17"/>
      <c r="BW368" s="17"/>
      <c r="BX368" s="17"/>
      <c r="BY368" s="17"/>
      <c r="BZ368" s="17"/>
      <c r="CA368" s="17"/>
      <c r="CB368" s="17"/>
      <c r="CC368" s="17"/>
      <c r="CD368" s="17"/>
      <c r="CE368" s="17"/>
      <c r="CF368" s="17"/>
      <c r="CG368" s="17"/>
    </row>
    <row r="369" spans="1:85" ht="16.5" customHeight="1" x14ac:dyDescent="0.25">
      <c r="A369" s="24">
        <f t="shared" si="16"/>
        <v>13</v>
      </c>
      <c r="B369" s="25">
        <v>91130</v>
      </c>
      <c r="C369" s="24" t="s">
        <v>1560</v>
      </c>
      <c r="D369" s="16" t="s">
        <v>243</v>
      </c>
      <c r="AF369" s="17"/>
      <c r="AK369" s="16"/>
      <c r="AQ369" s="17"/>
      <c r="BB369" s="16"/>
      <c r="BC369" s="16"/>
      <c r="BD369" s="16"/>
      <c r="BE369" s="38"/>
    </row>
    <row r="370" spans="1:85" s="13" customFormat="1" ht="16.5" customHeight="1" x14ac:dyDescent="0.25">
      <c r="A370" s="24">
        <f t="shared" si="16"/>
        <v>13</v>
      </c>
      <c r="B370" s="27">
        <v>91140</v>
      </c>
      <c r="C370" s="29" t="s">
        <v>181</v>
      </c>
      <c r="D370" s="12" t="s">
        <v>243</v>
      </c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G370" s="12"/>
      <c r="AH370" s="12"/>
      <c r="AI370" s="12"/>
      <c r="AJ370" s="12"/>
      <c r="AK370" s="12"/>
      <c r="AL370" s="12"/>
      <c r="AM370" s="12"/>
      <c r="AN370" s="12"/>
      <c r="AO370" s="12"/>
      <c r="AP370" s="12"/>
      <c r="AR370" s="12"/>
      <c r="AS370" s="12"/>
      <c r="AT370" s="12"/>
      <c r="AU370" s="12"/>
      <c r="AV370" s="12"/>
      <c r="AW370" s="12"/>
      <c r="AX370" s="12"/>
      <c r="AY370" s="12"/>
      <c r="AZ370" s="12"/>
      <c r="BA370" s="12"/>
      <c r="BB370" s="12"/>
      <c r="BC370" s="12"/>
      <c r="BD370" s="12"/>
      <c r="BE370" s="14"/>
      <c r="BF370" s="17"/>
      <c r="BG370" s="17"/>
      <c r="BH370" s="17"/>
      <c r="BI370" s="17"/>
      <c r="BJ370" s="17"/>
      <c r="BK370" s="17"/>
      <c r="BL370" s="17"/>
      <c r="BM370" s="17"/>
      <c r="BN370" s="17"/>
      <c r="BO370" s="17"/>
      <c r="BP370" s="17"/>
      <c r="BQ370" s="17"/>
      <c r="BR370" s="17"/>
      <c r="BS370" s="17"/>
      <c r="BT370" s="17"/>
      <c r="BU370" s="17"/>
      <c r="BV370" s="17"/>
      <c r="BW370" s="17"/>
      <c r="BX370" s="17"/>
      <c r="BY370" s="17"/>
      <c r="BZ370" s="17"/>
      <c r="CA370" s="17"/>
      <c r="CB370" s="17"/>
      <c r="CC370" s="17"/>
      <c r="CD370" s="17"/>
      <c r="CE370" s="17"/>
      <c r="CF370" s="17"/>
      <c r="CG370" s="17"/>
    </row>
    <row r="371" spans="1:85" ht="16.5" customHeight="1" x14ac:dyDescent="0.25">
      <c r="A371" s="24">
        <f t="shared" si="16"/>
        <v>13</v>
      </c>
      <c r="B371" s="25">
        <v>91150</v>
      </c>
      <c r="C371" s="26" t="s">
        <v>182</v>
      </c>
      <c r="D371" s="16" t="s">
        <v>243</v>
      </c>
      <c r="AF371" s="17"/>
      <c r="AK371" s="16"/>
      <c r="AQ371" s="17"/>
      <c r="BB371" s="16"/>
      <c r="BC371" s="16"/>
      <c r="BD371" s="16"/>
      <c r="BE371" s="38"/>
    </row>
    <row r="372" spans="1:85" s="13" customFormat="1" ht="16.5" customHeight="1" x14ac:dyDescent="0.25">
      <c r="A372" s="24">
        <f t="shared" si="16"/>
        <v>13</v>
      </c>
      <c r="B372" s="25">
        <v>91160</v>
      </c>
      <c r="C372" s="26" t="s">
        <v>979</v>
      </c>
      <c r="D372" s="16" t="s">
        <v>243</v>
      </c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7"/>
      <c r="AG372" s="16"/>
      <c r="AH372" s="16"/>
      <c r="AI372" s="16"/>
      <c r="AJ372" s="16"/>
      <c r="AK372" s="16"/>
      <c r="AL372" s="16"/>
      <c r="AM372" s="16"/>
      <c r="AN372" s="16"/>
      <c r="AO372" s="16"/>
      <c r="AP372" s="16"/>
      <c r="AQ372" s="17"/>
      <c r="AR372" s="16"/>
      <c r="AS372" s="16"/>
      <c r="AT372" s="16"/>
      <c r="AU372" s="16"/>
      <c r="AV372" s="16"/>
      <c r="AW372" s="16"/>
      <c r="AX372" s="16"/>
      <c r="AY372" s="16"/>
      <c r="AZ372" s="16"/>
      <c r="BA372" s="16"/>
      <c r="BB372" s="16"/>
      <c r="BC372" s="16"/>
      <c r="BD372" s="16"/>
      <c r="BE372" s="14"/>
      <c r="BF372" s="17"/>
      <c r="BG372" s="17"/>
      <c r="BH372" s="17"/>
      <c r="BI372" s="17"/>
      <c r="BJ372" s="17"/>
      <c r="BK372" s="17"/>
      <c r="BL372" s="17"/>
      <c r="BM372" s="17"/>
      <c r="BN372" s="17"/>
      <c r="BO372" s="17"/>
      <c r="BP372" s="17"/>
      <c r="BQ372" s="17"/>
      <c r="BR372" s="17"/>
      <c r="BS372" s="17"/>
      <c r="BT372" s="17"/>
      <c r="BU372" s="17"/>
      <c r="BV372" s="17"/>
      <c r="BW372" s="17"/>
      <c r="BX372" s="17"/>
      <c r="BY372" s="17"/>
      <c r="BZ372" s="17"/>
      <c r="CA372" s="17"/>
      <c r="CB372" s="17"/>
      <c r="CC372" s="17"/>
      <c r="CD372" s="17"/>
      <c r="CE372" s="17"/>
      <c r="CF372" s="17"/>
      <c r="CG372" s="17"/>
    </row>
    <row r="373" spans="1:85" ht="16.5" customHeight="1" x14ac:dyDescent="0.25">
      <c r="A373" s="24">
        <f t="shared" si="16"/>
        <v>1</v>
      </c>
      <c r="B373" s="27">
        <v>91170</v>
      </c>
      <c r="C373" s="28" t="s">
        <v>981</v>
      </c>
      <c r="D373" s="12" t="s">
        <v>243</v>
      </c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3"/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13"/>
      <c r="AR373" s="12"/>
      <c r="AS373" s="12"/>
      <c r="AT373" s="12"/>
      <c r="AU373" s="12"/>
      <c r="AV373" s="12"/>
      <c r="AW373" s="12"/>
      <c r="AX373" s="12"/>
      <c r="AY373" s="12"/>
      <c r="AZ373" s="12"/>
      <c r="BA373" s="12"/>
      <c r="BB373" s="12"/>
      <c r="BC373" s="12"/>
      <c r="BD373" s="12"/>
      <c r="BE373" s="38"/>
    </row>
    <row r="374" spans="1:85" s="13" customFormat="1" ht="16.5" customHeight="1" x14ac:dyDescent="0.25">
      <c r="A374" s="24">
        <f t="shared" si="16"/>
        <v>1</v>
      </c>
      <c r="B374" s="25">
        <v>91180</v>
      </c>
      <c r="C374" s="24" t="s">
        <v>983</v>
      </c>
      <c r="D374" s="16" t="s">
        <v>243</v>
      </c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7"/>
      <c r="AG374" s="16"/>
      <c r="AH374" s="16"/>
      <c r="AI374" s="16"/>
      <c r="AJ374" s="16"/>
      <c r="AK374" s="16"/>
      <c r="AL374" s="16"/>
      <c r="AM374" s="16"/>
      <c r="AN374" s="16"/>
      <c r="AO374" s="16"/>
      <c r="AP374" s="16"/>
      <c r="AQ374" s="17"/>
      <c r="AR374" s="16"/>
      <c r="AS374" s="16"/>
      <c r="AT374" s="16"/>
      <c r="AU374" s="16"/>
      <c r="AV374" s="16"/>
      <c r="AW374" s="16"/>
      <c r="AX374" s="16"/>
      <c r="AY374" s="16"/>
      <c r="AZ374" s="16"/>
      <c r="BA374" s="16"/>
      <c r="BB374" s="16"/>
      <c r="BC374" s="16"/>
      <c r="BD374" s="16"/>
      <c r="BE374" s="14"/>
      <c r="BF374" s="17"/>
      <c r="BG374" s="17"/>
      <c r="BH374" s="17"/>
      <c r="BI374" s="17"/>
      <c r="BJ374" s="17"/>
      <c r="BK374" s="17"/>
      <c r="BL374" s="17"/>
      <c r="BM374" s="17"/>
      <c r="BN374" s="17"/>
      <c r="BO374" s="17"/>
      <c r="BP374" s="17"/>
      <c r="BQ374" s="17"/>
      <c r="BR374" s="17"/>
      <c r="BS374" s="17"/>
      <c r="BT374" s="17"/>
      <c r="BU374" s="17"/>
      <c r="BV374" s="17"/>
      <c r="BW374" s="17"/>
      <c r="BX374" s="17"/>
      <c r="BY374" s="17"/>
      <c r="BZ374" s="17"/>
      <c r="CA374" s="17"/>
      <c r="CB374" s="17"/>
      <c r="CC374" s="17"/>
      <c r="CD374" s="17"/>
      <c r="CE374" s="17"/>
      <c r="CF374" s="17"/>
      <c r="CG374" s="17"/>
    </row>
    <row r="375" spans="1:85" ht="16.5" customHeight="1" x14ac:dyDescent="0.25">
      <c r="A375" s="24">
        <f t="shared" si="16"/>
        <v>1</v>
      </c>
      <c r="B375" s="27">
        <v>91190</v>
      </c>
      <c r="C375" s="28" t="s">
        <v>985</v>
      </c>
      <c r="D375" s="12" t="s">
        <v>243</v>
      </c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3"/>
      <c r="AG375" s="12"/>
      <c r="AH375" s="12"/>
      <c r="AI375" s="12"/>
      <c r="AJ375" s="12"/>
      <c r="AK375" s="12"/>
      <c r="AL375" s="12"/>
      <c r="AM375" s="12"/>
      <c r="AN375" s="12"/>
      <c r="AO375" s="12"/>
      <c r="AP375" s="12"/>
      <c r="AQ375" s="13"/>
      <c r="AR375" s="12"/>
      <c r="AS375" s="12"/>
      <c r="AT375" s="12"/>
      <c r="AU375" s="12"/>
      <c r="AV375" s="12"/>
      <c r="AW375" s="12"/>
      <c r="AX375" s="12"/>
      <c r="AY375" s="12"/>
      <c r="AZ375" s="12"/>
      <c r="BA375" s="12"/>
      <c r="BB375" s="12"/>
      <c r="BC375" s="12"/>
      <c r="BD375" s="12"/>
      <c r="BE375" s="38"/>
    </row>
    <row r="376" spans="1:85" s="13" customFormat="1" ht="16.5" customHeight="1" x14ac:dyDescent="0.25">
      <c r="A376" s="24">
        <f t="shared" si="16"/>
        <v>1</v>
      </c>
      <c r="B376" s="25">
        <v>91200</v>
      </c>
      <c r="C376" s="24" t="s">
        <v>987</v>
      </c>
      <c r="D376" s="16" t="s">
        <v>243</v>
      </c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7"/>
      <c r="AG376" s="16"/>
      <c r="AH376" s="16"/>
      <c r="AI376" s="16"/>
      <c r="AJ376" s="16"/>
      <c r="AK376" s="16"/>
      <c r="AL376" s="16"/>
      <c r="AM376" s="16"/>
      <c r="AN376" s="16"/>
      <c r="AO376" s="16"/>
      <c r="AP376" s="16"/>
      <c r="AQ376" s="17"/>
      <c r="AR376" s="16"/>
      <c r="AS376" s="16"/>
      <c r="AT376" s="16"/>
      <c r="AU376" s="16"/>
      <c r="AV376" s="16"/>
      <c r="AW376" s="16"/>
      <c r="AX376" s="16"/>
      <c r="AY376" s="16"/>
      <c r="AZ376" s="16"/>
      <c r="BA376" s="16"/>
      <c r="BB376" s="16"/>
      <c r="BC376" s="16"/>
      <c r="BD376" s="16"/>
      <c r="BE376" s="14"/>
      <c r="BF376" s="17"/>
      <c r="BG376" s="17"/>
      <c r="BH376" s="17"/>
      <c r="BI376" s="17"/>
      <c r="BJ376" s="17"/>
      <c r="BK376" s="17"/>
      <c r="BL376" s="17"/>
      <c r="BM376" s="17"/>
      <c r="BN376" s="17"/>
      <c r="BO376" s="17"/>
      <c r="BP376" s="17"/>
      <c r="BQ376" s="17"/>
      <c r="BR376" s="17"/>
      <c r="BS376" s="17"/>
      <c r="BT376" s="17"/>
      <c r="BU376" s="17"/>
      <c r="BV376" s="17"/>
      <c r="BW376" s="17"/>
      <c r="BX376" s="17"/>
      <c r="BY376" s="17"/>
      <c r="BZ376" s="17"/>
      <c r="CA376" s="17"/>
      <c r="CB376" s="17"/>
      <c r="CC376" s="17"/>
      <c r="CD376" s="17"/>
      <c r="CE376" s="17"/>
      <c r="CF376" s="17"/>
      <c r="CG376" s="17"/>
    </row>
    <row r="377" spans="1:85" ht="16.5" customHeight="1" x14ac:dyDescent="0.25">
      <c r="A377" s="24">
        <f t="shared" si="16"/>
        <v>1</v>
      </c>
      <c r="B377" s="27">
        <v>91210</v>
      </c>
      <c r="C377" s="28" t="s">
        <v>1561</v>
      </c>
      <c r="D377" s="12" t="s">
        <v>243</v>
      </c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3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3"/>
      <c r="AR377" s="12"/>
      <c r="AS377" s="12"/>
      <c r="AT377" s="12"/>
      <c r="AU377" s="12"/>
      <c r="AV377" s="12"/>
      <c r="AW377" s="12"/>
      <c r="AX377" s="12"/>
      <c r="AY377" s="12"/>
      <c r="AZ377" s="12"/>
      <c r="BA377" s="12"/>
      <c r="BB377" s="12"/>
      <c r="BC377" s="12"/>
      <c r="BD377" s="12"/>
      <c r="BE377" s="38"/>
    </row>
    <row r="378" spans="1:85" s="13" customFormat="1" ht="16.5" customHeight="1" x14ac:dyDescent="0.25">
      <c r="A378" s="24">
        <f t="shared" ref="A378:A409" si="17">COUNTIF(D393:BE393,"Y")</f>
        <v>1</v>
      </c>
      <c r="B378" s="25">
        <v>91220</v>
      </c>
      <c r="C378" s="24" t="s">
        <v>111</v>
      </c>
      <c r="D378" s="16" t="s">
        <v>243</v>
      </c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7"/>
      <c r="AG378" s="16"/>
      <c r="AH378" s="16"/>
      <c r="AI378" s="16"/>
      <c r="AJ378" s="16"/>
      <c r="AK378" s="16"/>
      <c r="AL378" s="16"/>
      <c r="AM378" s="16"/>
      <c r="AN378" s="16"/>
      <c r="AO378" s="16"/>
      <c r="AP378" s="16"/>
      <c r="AQ378" s="17"/>
      <c r="AR378" s="16"/>
      <c r="AS378" s="16"/>
      <c r="AT378" s="16"/>
      <c r="AU378" s="16"/>
      <c r="AV378" s="16"/>
      <c r="AW378" s="16"/>
      <c r="AX378" s="16"/>
      <c r="AY378" s="16"/>
      <c r="AZ378" s="16"/>
      <c r="BA378" s="16"/>
      <c r="BB378" s="16"/>
      <c r="BC378" s="16"/>
      <c r="BD378" s="16"/>
      <c r="BE378" s="14"/>
      <c r="BF378" s="17"/>
      <c r="BG378" s="17"/>
      <c r="BH378" s="17"/>
      <c r="BI378" s="17"/>
      <c r="BJ378" s="17"/>
      <c r="BK378" s="17"/>
      <c r="BL378" s="17"/>
      <c r="BM378" s="17"/>
      <c r="BN378" s="17"/>
      <c r="BO378" s="17"/>
      <c r="BP378" s="17"/>
      <c r="BQ378" s="17"/>
      <c r="BR378" s="17"/>
      <c r="BS378" s="17"/>
      <c r="BT378" s="17"/>
      <c r="BU378" s="17"/>
      <c r="BV378" s="17"/>
      <c r="BW378" s="17"/>
      <c r="BX378" s="17"/>
      <c r="BY378" s="17"/>
      <c r="BZ378" s="17"/>
      <c r="CA378" s="17"/>
      <c r="CB378" s="17"/>
      <c r="CC378" s="17"/>
      <c r="CD378" s="17"/>
      <c r="CE378" s="17"/>
      <c r="CF378" s="17"/>
      <c r="CG378" s="17"/>
    </row>
    <row r="379" spans="1:85" ht="16.5" customHeight="1" x14ac:dyDescent="0.25">
      <c r="A379" s="24">
        <f t="shared" si="17"/>
        <v>1</v>
      </c>
      <c r="B379" s="27">
        <v>92010</v>
      </c>
      <c r="C379" s="28" t="s">
        <v>75</v>
      </c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 t="s">
        <v>243</v>
      </c>
      <c r="S379" s="12" t="s">
        <v>243</v>
      </c>
      <c r="T379" s="12" t="s">
        <v>243</v>
      </c>
      <c r="U379" s="12" t="s">
        <v>243</v>
      </c>
      <c r="V379" s="12" t="s">
        <v>243</v>
      </c>
      <c r="W379" s="12" t="s">
        <v>243</v>
      </c>
      <c r="X379" s="12" t="s">
        <v>243</v>
      </c>
      <c r="Y379" s="12" t="s">
        <v>243</v>
      </c>
      <c r="Z379" s="12" t="s">
        <v>243</v>
      </c>
      <c r="AA379" s="12" t="s">
        <v>243</v>
      </c>
      <c r="AB379" s="12" t="s">
        <v>243</v>
      </c>
      <c r="AC379" s="12" t="s">
        <v>243</v>
      </c>
      <c r="AD379" s="12" t="s">
        <v>243</v>
      </c>
      <c r="AE379" s="12"/>
      <c r="AF379" s="13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3"/>
      <c r="AR379" s="12"/>
      <c r="AS379" s="12"/>
      <c r="AT379" s="12"/>
      <c r="AU379" s="12"/>
      <c r="AV379" s="12"/>
      <c r="AW379" s="12"/>
      <c r="AX379" s="12"/>
      <c r="AY379" s="12"/>
      <c r="AZ379" s="12"/>
      <c r="BA379" s="12"/>
      <c r="BB379" s="12"/>
      <c r="BC379" s="12"/>
      <c r="BD379" s="12"/>
      <c r="BE379" s="38"/>
    </row>
    <row r="380" spans="1:85" s="13" customFormat="1" ht="16.5" customHeight="1" x14ac:dyDescent="0.25">
      <c r="A380" s="24">
        <f t="shared" si="17"/>
        <v>1</v>
      </c>
      <c r="B380" s="25">
        <v>92020</v>
      </c>
      <c r="C380" s="24" t="s">
        <v>202</v>
      </c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 t="s">
        <v>243</v>
      </c>
      <c r="S380" s="16" t="s">
        <v>243</v>
      </c>
      <c r="T380" s="16" t="s">
        <v>243</v>
      </c>
      <c r="U380" s="16" t="s">
        <v>243</v>
      </c>
      <c r="V380" s="16" t="s">
        <v>243</v>
      </c>
      <c r="W380" s="16" t="s">
        <v>243</v>
      </c>
      <c r="X380" s="16" t="s">
        <v>243</v>
      </c>
      <c r="Y380" s="16" t="s">
        <v>243</v>
      </c>
      <c r="Z380" s="16" t="s">
        <v>243</v>
      </c>
      <c r="AA380" s="16" t="s">
        <v>243</v>
      </c>
      <c r="AB380" s="16" t="s">
        <v>243</v>
      </c>
      <c r="AC380" s="16" t="s">
        <v>243</v>
      </c>
      <c r="AD380" s="16" t="s">
        <v>243</v>
      </c>
      <c r="AE380" s="16"/>
      <c r="AF380" s="17"/>
      <c r="AG380" s="16"/>
      <c r="AH380" s="16"/>
      <c r="AI380" s="16"/>
      <c r="AJ380" s="16"/>
      <c r="AK380" s="16"/>
      <c r="AL380" s="16"/>
      <c r="AM380" s="16"/>
      <c r="AN380" s="16"/>
      <c r="AO380" s="16"/>
      <c r="AP380" s="16"/>
      <c r="AQ380" s="17"/>
      <c r="AR380" s="16"/>
      <c r="AS380" s="16"/>
      <c r="AT380" s="16"/>
      <c r="AU380" s="16"/>
      <c r="AV380" s="16"/>
      <c r="AW380" s="16"/>
      <c r="AX380" s="16"/>
      <c r="AY380" s="16"/>
      <c r="AZ380" s="16"/>
      <c r="BA380" s="16"/>
      <c r="BB380" s="16"/>
      <c r="BC380" s="16"/>
      <c r="BD380" s="16"/>
      <c r="BE380" s="14"/>
      <c r="BF380" s="17"/>
      <c r="BG380" s="17"/>
      <c r="BH380" s="17"/>
      <c r="BI380" s="17"/>
      <c r="BJ380" s="17"/>
      <c r="BK380" s="17"/>
      <c r="BL380" s="17"/>
      <c r="BM380" s="17"/>
      <c r="BN380" s="17"/>
      <c r="BO380" s="17"/>
      <c r="BP380" s="17"/>
      <c r="BQ380" s="17"/>
      <c r="BR380" s="17"/>
      <c r="BS380" s="17"/>
      <c r="BT380" s="17"/>
      <c r="BU380" s="17"/>
      <c r="BV380" s="17"/>
      <c r="BW380" s="17"/>
      <c r="BX380" s="17"/>
      <c r="BY380" s="17"/>
      <c r="BZ380" s="17"/>
      <c r="CA380" s="17"/>
      <c r="CB380" s="17"/>
      <c r="CC380" s="17"/>
      <c r="CD380" s="17"/>
      <c r="CE380" s="17"/>
      <c r="CF380" s="17"/>
      <c r="CG380" s="17"/>
    </row>
    <row r="381" spans="1:85" ht="16.5" customHeight="1" x14ac:dyDescent="0.25">
      <c r="A381" s="24">
        <f t="shared" si="17"/>
        <v>1</v>
      </c>
      <c r="B381" s="27">
        <v>92030</v>
      </c>
      <c r="C381" s="28" t="s">
        <v>199</v>
      </c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 t="s">
        <v>243</v>
      </c>
      <c r="S381" s="12" t="s">
        <v>243</v>
      </c>
      <c r="T381" s="12" t="s">
        <v>243</v>
      </c>
      <c r="U381" s="12" t="s">
        <v>243</v>
      </c>
      <c r="V381" s="12" t="s">
        <v>243</v>
      </c>
      <c r="W381" s="12" t="s">
        <v>243</v>
      </c>
      <c r="X381" s="12" t="s">
        <v>243</v>
      </c>
      <c r="Y381" s="12" t="s">
        <v>243</v>
      </c>
      <c r="Z381" s="12" t="s">
        <v>243</v>
      </c>
      <c r="AA381" s="12" t="s">
        <v>243</v>
      </c>
      <c r="AB381" s="12" t="s">
        <v>243</v>
      </c>
      <c r="AC381" s="12" t="s">
        <v>243</v>
      </c>
      <c r="AD381" s="12" t="s">
        <v>243</v>
      </c>
      <c r="AE381" s="12"/>
      <c r="AF381" s="13"/>
      <c r="AG381" s="12"/>
      <c r="AH381" s="12"/>
      <c r="AI381" s="12"/>
      <c r="AJ381" s="12"/>
      <c r="AK381" s="12"/>
      <c r="AL381" s="12"/>
      <c r="AM381" s="12"/>
      <c r="AN381" s="12"/>
      <c r="AO381" s="12"/>
      <c r="AP381" s="12"/>
      <c r="AQ381" s="13"/>
      <c r="AR381" s="12"/>
      <c r="AS381" s="12"/>
      <c r="AT381" s="12"/>
      <c r="AU381" s="12"/>
      <c r="AV381" s="12"/>
      <c r="AW381" s="12"/>
      <c r="AX381" s="12"/>
      <c r="AY381" s="12"/>
      <c r="AZ381" s="12"/>
      <c r="BA381" s="12"/>
      <c r="BB381" s="12"/>
      <c r="BC381" s="12"/>
      <c r="BD381" s="12"/>
      <c r="BE381" s="38"/>
    </row>
    <row r="382" spans="1:85" s="13" customFormat="1" ht="16.5" customHeight="1" x14ac:dyDescent="0.25">
      <c r="A382" s="24">
        <f t="shared" si="17"/>
        <v>1</v>
      </c>
      <c r="B382" s="25">
        <v>92040</v>
      </c>
      <c r="C382" s="24" t="s">
        <v>198</v>
      </c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 t="s">
        <v>243</v>
      </c>
      <c r="S382" s="16" t="s">
        <v>243</v>
      </c>
      <c r="T382" s="16" t="s">
        <v>243</v>
      </c>
      <c r="U382" s="16" t="s">
        <v>243</v>
      </c>
      <c r="V382" s="16" t="s">
        <v>243</v>
      </c>
      <c r="W382" s="16" t="s">
        <v>243</v>
      </c>
      <c r="X382" s="16" t="s">
        <v>243</v>
      </c>
      <c r="Y382" s="16" t="s">
        <v>243</v>
      </c>
      <c r="Z382" s="16" t="s">
        <v>243</v>
      </c>
      <c r="AA382" s="16" t="s">
        <v>243</v>
      </c>
      <c r="AB382" s="16" t="s">
        <v>243</v>
      </c>
      <c r="AC382" s="16" t="s">
        <v>243</v>
      </c>
      <c r="AD382" s="16" t="s">
        <v>243</v>
      </c>
      <c r="AE382" s="16"/>
      <c r="AF382" s="17"/>
      <c r="AG382" s="16"/>
      <c r="AH382" s="16"/>
      <c r="AI382" s="16"/>
      <c r="AJ382" s="16"/>
      <c r="AK382" s="16"/>
      <c r="AL382" s="16"/>
      <c r="AM382" s="16"/>
      <c r="AN382" s="16"/>
      <c r="AO382" s="16"/>
      <c r="AP382" s="16"/>
      <c r="AQ382" s="17"/>
      <c r="AR382" s="16"/>
      <c r="AS382" s="16"/>
      <c r="AT382" s="16"/>
      <c r="AU382" s="16"/>
      <c r="AV382" s="16"/>
      <c r="AW382" s="16"/>
      <c r="AX382" s="16"/>
      <c r="AY382" s="16"/>
      <c r="AZ382" s="16"/>
      <c r="BA382" s="16"/>
      <c r="BB382" s="16"/>
      <c r="BC382" s="16"/>
      <c r="BD382" s="16"/>
      <c r="BE382" s="14"/>
      <c r="BF382" s="17"/>
      <c r="BG382" s="17"/>
      <c r="BH382" s="17"/>
      <c r="BI382" s="17"/>
      <c r="BJ382" s="17"/>
      <c r="BK382" s="17"/>
      <c r="BL382" s="17"/>
      <c r="BM382" s="17"/>
      <c r="BN382" s="17"/>
      <c r="BO382" s="17"/>
      <c r="BP382" s="17"/>
      <c r="BQ382" s="17"/>
      <c r="BR382" s="17"/>
      <c r="BS382" s="17"/>
      <c r="BT382" s="17"/>
      <c r="BU382" s="17"/>
      <c r="BV382" s="17"/>
      <c r="BW382" s="17"/>
      <c r="BX382" s="17"/>
      <c r="BY382" s="17"/>
      <c r="BZ382" s="17"/>
      <c r="CA382" s="17"/>
      <c r="CB382" s="17"/>
      <c r="CC382" s="17"/>
      <c r="CD382" s="17"/>
      <c r="CE382" s="17"/>
      <c r="CF382" s="17"/>
      <c r="CG382" s="17"/>
    </row>
    <row r="383" spans="1:85" ht="16.5" customHeight="1" x14ac:dyDescent="0.25">
      <c r="A383" s="24">
        <f t="shared" si="17"/>
        <v>1</v>
      </c>
      <c r="B383" s="27">
        <v>92050</v>
      </c>
      <c r="C383" s="28" t="s">
        <v>996</v>
      </c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 t="s">
        <v>243</v>
      </c>
      <c r="S383" s="12" t="s">
        <v>243</v>
      </c>
      <c r="T383" s="12" t="s">
        <v>243</v>
      </c>
      <c r="U383" s="12" t="s">
        <v>243</v>
      </c>
      <c r="V383" s="12" t="s">
        <v>243</v>
      </c>
      <c r="W383" s="12" t="s">
        <v>243</v>
      </c>
      <c r="X383" s="12" t="s">
        <v>243</v>
      </c>
      <c r="Y383" s="12" t="s">
        <v>243</v>
      </c>
      <c r="Z383" s="12" t="s">
        <v>243</v>
      </c>
      <c r="AA383" s="12" t="s">
        <v>243</v>
      </c>
      <c r="AB383" s="12" t="s">
        <v>243</v>
      </c>
      <c r="AC383" s="12" t="s">
        <v>243</v>
      </c>
      <c r="AD383" s="12" t="s">
        <v>243</v>
      </c>
      <c r="AE383" s="12"/>
      <c r="AF383" s="13"/>
      <c r="AG383" s="12"/>
      <c r="AH383" s="12"/>
      <c r="AI383" s="12"/>
      <c r="AJ383" s="12"/>
      <c r="AK383" s="12"/>
      <c r="AL383" s="12"/>
      <c r="AM383" s="12"/>
      <c r="AN383" s="12"/>
      <c r="AO383" s="12"/>
      <c r="AP383" s="12"/>
      <c r="AQ383" s="13"/>
      <c r="AR383" s="12"/>
      <c r="AS383" s="12"/>
      <c r="AT383" s="12"/>
      <c r="AU383" s="12"/>
      <c r="AV383" s="12"/>
      <c r="AW383" s="12"/>
      <c r="AX383" s="12"/>
      <c r="AY383" s="12"/>
      <c r="AZ383" s="12"/>
      <c r="BA383" s="12"/>
      <c r="BB383" s="12"/>
      <c r="BC383" s="12"/>
      <c r="BD383" s="12"/>
      <c r="BE383" s="38"/>
    </row>
    <row r="384" spans="1:85" s="13" customFormat="1" ht="16.5" customHeight="1" x14ac:dyDescent="0.25">
      <c r="A384" s="24">
        <f t="shared" si="17"/>
        <v>1</v>
      </c>
      <c r="B384" s="25">
        <v>92060</v>
      </c>
      <c r="C384" s="24" t="s">
        <v>998</v>
      </c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 t="s">
        <v>243</v>
      </c>
      <c r="S384" s="16" t="s">
        <v>243</v>
      </c>
      <c r="T384" s="16" t="s">
        <v>243</v>
      </c>
      <c r="U384" s="16" t="s">
        <v>243</v>
      </c>
      <c r="V384" s="16" t="s">
        <v>243</v>
      </c>
      <c r="W384" s="16" t="s">
        <v>243</v>
      </c>
      <c r="X384" s="16" t="s">
        <v>243</v>
      </c>
      <c r="Y384" s="16" t="s">
        <v>243</v>
      </c>
      <c r="Z384" s="16" t="s">
        <v>243</v>
      </c>
      <c r="AA384" s="16" t="s">
        <v>243</v>
      </c>
      <c r="AB384" s="16" t="s">
        <v>243</v>
      </c>
      <c r="AC384" s="16" t="s">
        <v>243</v>
      </c>
      <c r="AD384" s="16" t="s">
        <v>243</v>
      </c>
      <c r="AE384" s="16"/>
      <c r="AF384" s="17"/>
      <c r="AG384" s="16"/>
      <c r="AH384" s="16"/>
      <c r="AI384" s="16"/>
      <c r="AJ384" s="16"/>
      <c r="AK384" s="16"/>
      <c r="AL384" s="16"/>
      <c r="AM384" s="16"/>
      <c r="AN384" s="16"/>
      <c r="AO384" s="16"/>
      <c r="AP384" s="16"/>
      <c r="AQ384" s="17"/>
      <c r="AR384" s="16"/>
      <c r="AS384" s="16"/>
      <c r="AT384" s="16"/>
      <c r="AU384" s="16"/>
      <c r="AV384" s="16"/>
      <c r="AW384" s="16"/>
      <c r="AX384" s="16"/>
      <c r="AY384" s="16"/>
      <c r="AZ384" s="16"/>
      <c r="BA384" s="16"/>
      <c r="BB384" s="16"/>
      <c r="BC384" s="16"/>
      <c r="BD384" s="16"/>
      <c r="BE384" s="14"/>
      <c r="BF384" s="17"/>
      <c r="BG384" s="17"/>
      <c r="BH384" s="17"/>
      <c r="BI384" s="17"/>
      <c r="BJ384" s="17"/>
      <c r="BK384" s="17"/>
      <c r="BL384" s="17"/>
      <c r="BM384" s="17"/>
      <c r="BN384" s="17"/>
      <c r="BO384" s="17"/>
      <c r="BP384" s="17"/>
      <c r="BQ384" s="17"/>
      <c r="BR384" s="17"/>
      <c r="BS384" s="17"/>
      <c r="BT384" s="17"/>
      <c r="BU384" s="17"/>
      <c r="BV384" s="17"/>
      <c r="BW384" s="17"/>
      <c r="BX384" s="17"/>
      <c r="BY384" s="17"/>
      <c r="BZ384" s="17"/>
      <c r="CA384" s="17"/>
      <c r="CB384" s="17"/>
      <c r="CC384" s="17"/>
      <c r="CD384" s="17"/>
      <c r="CE384" s="17"/>
      <c r="CF384" s="17"/>
      <c r="CG384" s="17"/>
    </row>
    <row r="385" spans="1:85" ht="16.5" customHeight="1" x14ac:dyDescent="0.25">
      <c r="A385" s="24">
        <f t="shared" si="17"/>
        <v>1</v>
      </c>
      <c r="B385" s="27">
        <v>92070</v>
      </c>
      <c r="C385" s="28" t="s">
        <v>1000</v>
      </c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 t="s">
        <v>243</v>
      </c>
      <c r="S385" s="12" t="s">
        <v>243</v>
      </c>
      <c r="T385" s="12" t="s">
        <v>243</v>
      </c>
      <c r="U385" s="12" t="s">
        <v>243</v>
      </c>
      <c r="V385" s="12" t="s">
        <v>243</v>
      </c>
      <c r="W385" s="12" t="s">
        <v>243</v>
      </c>
      <c r="X385" s="12" t="s">
        <v>243</v>
      </c>
      <c r="Y385" s="12" t="s">
        <v>243</v>
      </c>
      <c r="Z385" s="12" t="s">
        <v>243</v>
      </c>
      <c r="AA385" s="12" t="s">
        <v>243</v>
      </c>
      <c r="AB385" s="12" t="s">
        <v>243</v>
      </c>
      <c r="AC385" s="12" t="s">
        <v>243</v>
      </c>
      <c r="AD385" s="12" t="s">
        <v>243</v>
      </c>
      <c r="AE385" s="12"/>
      <c r="AF385" s="13"/>
      <c r="AG385" s="12"/>
      <c r="AH385" s="12"/>
      <c r="AI385" s="12"/>
      <c r="AJ385" s="12"/>
      <c r="AK385" s="12"/>
      <c r="AL385" s="12"/>
      <c r="AM385" s="12"/>
      <c r="AN385" s="12"/>
      <c r="AO385" s="12"/>
      <c r="AP385" s="12"/>
      <c r="AQ385" s="13"/>
      <c r="AR385" s="12"/>
      <c r="AS385" s="12"/>
      <c r="AT385" s="12"/>
      <c r="AU385" s="12"/>
      <c r="AV385" s="12"/>
      <c r="AW385" s="12"/>
      <c r="AX385" s="12"/>
      <c r="AY385" s="12"/>
      <c r="AZ385" s="12"/>
      <c r="BA385" s="12"/>
      <c r="BB385" s="12"/>
      <c r="BC385" s="12"/>
      <c r="BD385" s="12"/>
      <c r="BE385" s="38"/>
    </row>
    <row r="386" spans="1:85" s="13" customFormat="1" ht="16.5" customHeight="1" x14ac:dyDescent="0.25">
      <c r="A386" s="24">
        <f t="shared" si="17"/>
        <v>1</v>
      </c>
      <c r="B386" s="25">
        <v>92080</v>
      </c>
      <c r="C386" s="24" t="s">
        <v>1562</v>
      </c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 t="s">
        <v>243</v>
      </c>
      <c r="S386" s="16" t="s">
        <v>243</v>
      </c>
      <c r="T386" s="16" t="s">
        <v>243</v>
      </c>
      <c r="U386" s="16" t="s">
        <v>243</v>
      </c>
      <c r="V386" s="16" t="s">
        <v>243</v>
      </c>
      <c r="W386" s="16" t="s">
        <v>243</v>
      </c>
      <c r="X386" s="16" t="s">
        <v>243</v>
      </c>
      <c r="Y386" s="16" t="s">
        <v>243</v>
      </c>
      <c r="Z386" s="16" t="s">
        <v>243</v>
      </c>
      <c r="AA386" s="16" t="s">
        <v>243</v>
      </c>
      <c r="AB386" s="16" t="s">
        <v>243</v>
      </c>
      <c r="AC386" s="16" t="s">
        <v>243</v>
      </c>
      <c r="AD386" s="16" t="s">
        <v>243</v>
      </c>
      <c r="AE386" s="16"/>
      <c r="AF386" s="17"/>
      <c r="AG386" s="16"/>
      <c r="AH386" s="16"/>
      <c r="AI386" s="16"/>
      <c r="AJ386" s="16"/>
      <c r="AK386" s="16"/>
      <c r="AL386" s="16"/>
      <c r="AM386" s="16"/>
      <c r="AN386" s="16"/>
      <c r="AO386" s="16"/>
      <c r="AP386" s="16"/>
      <c r="AQ386" s="17"/>
      <c r="AR386" s="16"/>
      <c r="AS386" s="16"/>
      <c r="AT386" s="16"/>
      <c r="AU386" s="16"/>
      <c r="AV386" s="16"/>
      <c r="AW386" s="16"/>
      <c r="AX386" s="16"/>
      <c r="AY386" s="16"/>
      <c r="AZ386" s="16"/>
      <c r="BA386" s="16"/>
      <c r="BB386" s="16"/>
      <c r="BC386" s="16"/>
      <c r="BD386" s="16"/>
      <c r="BE386" s="14"/>
      <c r="BF386" s="17"/>
      <c r="BG386" s="17"/>
      <c r="BH386" s="17"/>
      <c r="BI386" s="17"/>
      <c r="BJ386" s="17"/>
      <c r="BK386" s="17"/>
      <c r="BL386" s="17"/>
      <c r="BM386" s="17"/>
      <c r="BN386" s="17"/>
      <c r="BO386" s="17"/>
      <c r="BP386" s="17"/>
      <c r="BQ386" s="17"/>
      <c r="BR386" s="17"/>
      <c r="BS386" s="17"/>
      <c r="BT386" s="17"/>
      <c r="BU386" s="17"/>
      <c r="BV386" s="17"/>
      <c r="BW386" s="17"/>
      <c r="BX386" s="17"/>
      <c r="BY386" s="17"/>
      <c r="BZ386" s="17"/>
      <c r="CA386" s="17"/>
      <c r="CB386" s="17"/>
      <c r="CC386" s="17"/>
      <c r="CD386" s="17"/>
      <c r="CE386" s="17"/>
      <c r="CF386" s="17"/>
      <c r="CG386" s="17"/>
    </row>
    <row r="387" spans="1:85" ht="16.5" customHeight="1" x14ac:dyDescent="0.25">
      <c r="A387" s="24">
        <f t="shared" si="17"/>
        <v>1</v>
      </c>
      <c r="B387" s="27">
        <v>92090</v>
      </c>
      <c r="C387" s="28" t="s">
        <v>200</v>
      </c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 t="s">
        <v>243</v>
      </c>
      <c r="S387" s="12" t="s">
        <v>243</v>
      </c>
      <c r="T387" s="12" t="s">
        <v>243</v>
      </c>
      <c r="U387" s="12" t="s">
        <v>243</v>
      </c>
      <c r="V387" s="12" t="s">
        <v>243</v>
      </c>
      <c r="W387" s="12" t="s">
        <v>243</v>
      </c>
      <c r="X387" s="12" t="s">
        <v>243</v>
      </c>
      <c r="Y387" s="12" t="s">
        <v>243</v>
      </c>
      <c r="Z387" s="12" t="s">
        <v>243</v>
      </c>
      <c r="AA387" s="12" t="s">
        <v>243</v>
      </c>
      <c r="AB387" s="12" t="s">
        <v>243</v>
      </c>
      <c r="AC387" s="12" t="s">
        <v>243</v>
      </c>
      <c r="AD387" s="12" t="s">
        <v>243</v>
      </c>
      <c r="AE387" s="12"/>
      <c r="AF387" s="13"/>
      <c r="AG387" s="12"/>
      <c r="AH387" s="12"/>
      <c r="AI387" s="12"/>
      <c r="AJ387" s="12"/>
      <c r="AK387" s="12"/>
      <c r="AL387" s="12"/>
      <c r="AM387" s="12"/>
      <c r="AN387" s="12"/>
      <c r="AO387" s="12"/>
      <c r="AP387" s="12"/>
      <c r="AQ387" s="13"/>
      <c r="AR387" s="12"/>
      <c r="AS387" s="12"/>
      <c r="AT387" s="12"/>
      <c r="AU387" s="12"/>
      <c r="AV387" s="12"/>
      <c r="AW387" s="12"/>
      <c r="AX387" s="12"/>
      <c r="AY387" s="12"/>
      <c r="AZ387" s="12"/>
      <c r="BA387" s="12"/>
      <c r="BB387" s="12"/>
      <c r="BC387" s="12"/>
      <c r="BD387" s="12"/>
      <c r="BE387" s="38"/>
    </row>
    <row r="388" spans="1:85" s="13" customFormat="1" ht="16.5" customHeight="1" x14ac:dyDescent="0.25">
      <c r="A388" s="24">
        <f t="shared" si="17"/>
        <v>1</v>
      </c>
      <c r="B388" s="25">
        <v>93010</v>
      </c>
      <c r="C388" s="24" t="s">
        <v>112</v>
      </c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7"/>
      <c r="AG388" s="16"/>
      <c r="AH388" s="16"/>
      <c r="AI388" s="16"/>
      <c r="AJ388" s="16" t="s">
        <v>243</v>
      </c>
      <c r="AK388" s="16"/>
      <c r="AL388" s="16"/>
      <c r="AM388" s="16"/>
      <c r="AN388" s="16"/>
      <c r="AO388" s="16"/>
      <c r="AP388" s="16"/>
      <c r="AQ388" s="17"/>
      <c r="AR388" s="16"/>
      <c r="AS388" s="16"/>
      <c r="AT388" s="16"/>
      <c r="AU388" s="16"/>
      <c r="AV388" s="16"/>
      <c r="AW388" s="16"/>
      <c r="AX388" s="16"/>
      <c r="AY388" s="16"/>
      <c r="AZ388" s="16"/>
      <c r="BA388" s="16"/>
      <c r="BB388" s="16"/>
      <c r="BC388" s="16"/>
      <c r="BD388" s="16"/>
      <c r="BE388" s="14"/>
      <c r="BF388" s="17"/>
      <c r="BG388" s="17"/>
      <c r="BH388" s="17"/>
      <c r="BI388" s="17"/>
      <c r="BJ388" s="17"/>
      <c r="BK388" s="17"/>
      <c r="BL388" s="17"/>
      <c r="BM388" s="17"/>
      <c r="BN388" s="17"/>
      <c r="BO388" s="17"/>
      <c r="BP388" s="17"/>
      <c r="BQ388" s="17"/>
      <c r="BR388" s="17"/>
      <c r="BS388" s="17"/>
      <c r="BT388" s="17"/>
      <c r="BU388" s="17"/>
      <c r="BV388" s="17"/>
      <c r="BW388" s="17"/>
      <c r="BX388" s="17"/>
      <c r="BY388" s="17"/>
      <c r="BZ388" s="17"/>
      <c r="CA388" s="17"/>
      <c r="CB388" s="17"/>
      <c r="CC388" s="17"/>
      <c r="CD388" s="17"/>
      <c r="CE388" s="17"/>
      <c r="CF388" s="17"/>
      <c r="CG388" s="17"/>
    </row>
    <row r="389" spans="1:85" ht="16.5" customHeight="1" x14ac:dyDescent="0.25">
      <c r="A389" s="24">
        <f t="shared" si="17"/>
        <v>1</v>
      </c>
      <c r="B389" s="27">
        <v>94010</v>
      </c>
      <c r="C389" s="28" t="s">
        <v>113</v>
      </c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3"/>
      <c r="AG389" s="12"/>
      <c r="AH389" s="12" t="s">
        <v>243</v>
      </c>
      <c r="AI389" s="12"/>
      <c r="AJ389" s="12"/>
      <c r="AK389" s="12"/>
      <c r="AL389" s="12"/>
      <c r="AM389" s="12"/>
      <c r="AN389" s="12"/>
      <c r="AO389" s="12"/>
      <c r="AP389" s="12"/>
      <c r="AQ389" s="13"/>
      <c r="AR389" s="12"/>
      <c r="AS389" s="12"/>
      <c r="AT389" s="12"/>
      <c r="AU389" s="12"/>
      <c r="AV389" s="12"/>
      <c r="AW389" s="12"/>
      <c r="AX389" s="12"/>
      <c r="AY389" s="12"/>
      <c r="AZ389" s="12"/>
      <c r="BA389" s="12"/>
      <c r="BB389" s="12"/>
      <c r="BC389" s="12"/>
      <c r="BD389" s="12"/>
      <c r="BE389" s="38"/>
    </row>
    <row r="390" spans="1:85" s="13" customFormat="1" ht="16.5" customHeight="1" x14ac:dyDescent="0.25">
      <c r="A390" s="24">
        <f t="shared" si="17"/>
        <v>1</v>
      </c>
      <c r="B390" s="25">
        <v>95010</v>
      </c>
      <c r="C390" s="24" t="s">
        <v>76</v>
      </c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 t="s">
        <v>243</v>
      </c>
      <c r="AF390" s="17"/>
      <c r="AG390" s="16"/>
      <c r="AH390" s="16"/>
      <c r="AI390" s="16"/>
      <c r="AJ390" s="16"/>
      <c r="AK390" s="16"/>
      <c r="AL390" s="16"/>
      <c r="AM390" s="16"/>
      <c r="AN390" s="16"/>
      <c r="AO390" s="16"/>
      <c r="AP390" s="16"/>
      <c r="AQ390" s="17"/>
      <c r="AR390" s="16"/>
      <c r="AS390" s="16"/>
      <c r="AT390" s="16"/>
      <c r="AU390" s="16"/>
      <c r="AV390" s="16"/>
      <c r="AW390" s="16"/>
      <c r="AX390" s="16"/>
      <c r="AY390" s="16"/>
      <c r="AZ390" s="16"/>
      <c r="BA390" s="16"/>
      <c r="BB390" s="16"/>
      <c r="BC390" s="16"/>
      <c r="BD390" s="16"/>
      <c r="BE390" s="14"/>
      <c r="BF390" s="17"/>
      <c r="BG390" s="17"/>
      <c r="BH390" s="17"/>
      <c r="BI390" s="17"/>
      <c r="BJ390" s="17"/>
      <c r="BK390" s="17"/>
      <c r="BL390" s="17"/>
      <c r="BM390" s="17"/>
      <c r="BN390" s="17"/>
      <c r="BO390" s="17"/>
      <c r="BP390" s="17"/>
      <c r="BQ390" s="17"/>
      <c r="BR390" s="17"/>
      <c r="BS390" s="17"/>
      <c r="BT390" s="17"/>
      <c r="BU390" s="17"/>
      <c r="BV390" s="17"/>
      <c r="BW390" s="17"/>
      <c r="BX390" s="17"/>
      <c r="BY390" s="17"/>
      <c r="BZ390" s="17"/>
      <c r="CA390" s="17"/>
      <c r="CB390" s="17"/>
      <c r="CC390" s="17"/>
      <c r="CD390" s="17"/>
      <c r="CE390" s="17"/>
      <c r="CF390" s="17"/>
      <c r="CG390" s="17"/>
    </row>
    <row r="391" spans="1:85" ht="16.5" customHeight="1" x14ac:dyDescent="0.25">
      <c r="A391" s="24">
        <f t="shared" si="17"/>
        <v>1</v>
      </c>
      <c r="B391" s="27">
        <v>95020</v>
      </c>
      <c r="C391" s="28" t="s">
        <v>77</v>
      </c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 t="s">
        <v>243</v>
      </c>
      <c r="AF391" s="13"/>
      <c r="AG391" s="12"/>
      <c r="AH391" s="12"/>
      <c r="AI391" s="12"/>
      <c r="AJ391" s="12"/>
      <c r="AK391" s="12"/>
      <c r="AL391" s="12"/>
      <c r="AM391" s="12"/>
      <c r="AN391" s="12"/>
      <c r="AO391" s="12"/>
      <c r="AP391" s="12"/>
      <c r="AQ391" s="13"/>
      <c r="AR391" s="12"/>
      <c r="AS391" s="12"/>
      <c r="AT391" s="12"/>
      <c r="AU391" s="12"/>
      <c r="AV391" s="12"/>
      <c r="AW391" s="12"/>
      <c r="AX391" s="12"/>
      <c r="AY391" s="12"/>
      <c r="AZ391" s="12"/>
      <c r="BA391" s="12"/>
      <c r="BB391" s="12"/>
      <c r="BC391" s="12"/>
      <c r="BD391" s="12"/>
      <c r="BE391" s="38"/>
    </row>
    <row r="392" spans="1:85" s="13" customFormat="1" ht="16.5" customHeight="1" x14ac:dyDescent="0.25">
      <c r="A392" s="24">
        <f t="shared" si="17"/>
        <v>1</v>
      </c>
      <c r="B392" s="25">
        <v>95030</v>
      </c>
      <c r="C392" s="24" t="s">
        <v>197</v>
      </c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 t="s">
        <v>243</v>
      </c>
      <c r="AF392" s="17"/>
      <c r="AG392" s="16"/>
      <c r="AH392" s="16"/>
      <c r="AI392" s="16"/>
      <c r="AJ392" s="16"/>
      <c r="AK392" s="16"/>
      <c r="AL392" s="16"/>
      <c r="AM392" s="16"/>
      <c r="AN392" s="16"/>
      <c r="AO392" s="16"/>
      <c r="AP392" s="16"/>
      <c r="AQ392" s="17"/>
      <c r="AR392" s="16"/>
      <c r="AS392" s="16"/>
      <c r="AT392" s="16"/>
      <c r="AU392" s="16"/>
      <c r="AV392" s="16"/>
      <c r="AW392" s="16"/>
      <c r="AX392" s="16"/>
      <c r="AY392" s="16"/>
      <c r="AZ392" s="16"/>
      <c r="BA392" s="16"/>
      <c r="BB392" s="16"/>
      <c r="BC392" s="16"/>
      <c r="BD392" s="16"/>
      <c r="BE392" s="14"/>
      <c r="BF392" s="17"/>
      <c r="BG392" s="17"/>
      <c r="BH392" s="17"/>
      <c r="BI392" s="17"/>
      <c r="BJ392" s="17"/>
      <c r="BK392" s="17"/>
      <c r="BL392" s="17"/>
      <c r="BM392" s="17"/>
      <c r="BN392" s="17"/>
      <c r="BO392" s="17"/>
      <c r="BP392" s="17"/>
      <c r="BQ392" s="17"/>
      <c r="BR392" s="17"/>
      <c r="BS392" s="17"/>
      <c r="BT392" s="17"/>
      <c r="BU392" s="17"/>
      <c r="BV392" s="17"/>
      <c r="BW392" s="17"/>
      <c r="BX392" s="17"/>
      <c r="BY392" s="17"/>
      <c r="BZ392" s="17"/>
      <c r="CA392" s="17"/>
      <c r="CB392" s="17"/>
      <c r="CC392" s="17"/>
      <c r="CD392" s="17"/>
      <c r="CE392" s="17"/>
      <c r="CF392" s="17"/>
      <c r="CG392" s="17"/>
    </row>
    <row r="393" spans="1:85" ht="16.5" customHeight="1" x14ac:dyDescent="0.25">
      <c r="A393" s="24">
        <f t="shared" si="17"/>
        <v>1</v>
      </c>
      <c r="B393" s="27">
        <v>95040</v>
      </c>
      <c r="C393" s="28" t="s">
        <v>196</v>
      </c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 t="s">
        <v>243</v>
      </c>
      <c r="AF393" s="13"/>
      <c r="AG393" s="12"/>
      <c r="AH393" s="12"/>
      <c r="AI393" s="12"/>
      <c r="AJ393" s="12"/>
      <c r="AK393" s="12"/>
      <c r="AL393" s="12"/>
      <c r="AM393" s="12"/>
      <c r="AN393" s="12"/>
      <c r="AO393" s="12"/>
      <c r="AP393" s="12"/>
      <c r="AQ393" s="13"/>
      <c r="AR393" s="12"/>
      <c r="AS393" s="12"/>
      <c r="AT393" s="12"/>
      <c r="AU393" s="12"/>
      <c r="AV393" s="12"/>
      <c r="AW393" s="12"/>
      <c r="AX393" s="12"/>
      <c r="AY393" s="12"/>
      <c r="AZ393" s="12"/>
      <c r="BA393" s="12"/>
      <c r="BB393" s="12"/>
      <c r="BC393" s="12"/>
      <c r="BD393" s="12"/>
      <c r="BE393" s="38"/>
    </row>
    <row r="394" spans="1:85" s="13" customFormat="1" ht="16.5" customHeight="1" x14ac:dyDescent="0.25">
      <c r="A394" s="24">
        <f t="shared" si="17"/>
        <v>1</v>
      </c>
      <c r="B394" s="25">
        <v>95050</v>
      </c>
      <c r="C394" s="24" t="s">
        <v>195</v>
      </c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 t="s">
        <v>243</v>
      </c>
      <c r="AF394" s="17"/>
      <c r="AG394" s="16"/>
      <c r="AH394" s="16"/>
      <c r="AI394" s="16"/>
      <c r="AJ394" s="16"/>
      <c r="AK394" s="16"/>
      <c r="AL394" s="16"/>
      <c r="AM394" s="16"/>
      <c r="AN394" s="16"/>
      <c r="AO394" s="16"/>
      <c r="AP394" s="16"/>
      <c r="AQ394" s="17"/>
      <c r="AR394" s="16"/>
      <c r="AS394" s="16"/>
      <c r="AT394" s="16"/>
      <c r="AU394" s="16"/>
      <c r="AV394" s="16"/>
      <c r="AW394" s="16"/>
      <c r="AX394" s="16"/>
      <c r="AY394" s="16"/>
      <c r="AZ394" s="16"/>
      <c r="BA394" s="16"/>
      <c r="BB394" s="16"/>
      <c r="BC394" s="16"/>
      <c r="BD394" s="16"/>
      <c r="BE394" s="14"/>
      <c r="BF394" s="17"/>
      <c r="BG394" s="17"/>
      <c r="BH394" s="17"/>
      <c r="BI394" s="17"/>
      <c r="BJ394" s="17"/>
      <c r="BK394" s="17"/>
      <c r="BL394" s="17"/>
      <c r="BM394" s="17"/>
      <c r="BN394" s="17"/>
      <c r="BO394" s="17"/>
      <c r="BP394" s="17"/>
      <c r="BQ394" s="17"/>
      <c r="BR394" s="17"/>
      <c r="BS394" s="17"/>
      <c r="BT394" s="17"/>
      <c r="BU394" s="17"/>
      <c r="BV394" s="17"/>
      <c r="BW394" s="17"/>
      <c r="BX394" s="17"/>
      <c r="BY394" s="17"/>
      <c r="BZ394" s="17"/>
      <c r="CA394" s="17"/>
      <c r="CB394" s="17"/>
      <c r="CC394" s="17"/>
      <c r="CD394" s="17"/>
      <c r="CE394" s="17"/>
      <c r="CF394" s="17"/>
      <c r="CG394" s="17"/>
    </row>
    <row r="395" spans="1:85" ht="16.5" customHeight="1" x14ac:dyDescent="0.25">
      <c r="A395" s="24">
        <f t="shared" si="17"/>
        <v>1</v>
      </c>
      <c r="B395" s="27">
        <v>95060</v>
      </c>
      <c r="C395" s="28" t="s">
        <v>194</v>
      </c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 t="s">
        <v>243</v>
      </c>
      <c r="AF395" s="13"/>
      <c r="AG395" s="12"/>
      <c r="AH395" s="12"/>
      <c r="AI395" s="12"/>
      <c r="AJ395" s="12"/>
      <c r="AK395" s="12"/>
      <c r="AL395" s="12"/>
      <c r="AM395" s="12"/>
      <c r="AN395" s="12"/>
      <c r="AO395" s="12"/>
      <c r="AP395" s="12"/>
      <c r="AQ395" s="13"/>
      <c r="AR395" s="12"/>
      <c r="AS395" s="12"/>
      <c r="AT395" s="12"/>
      <c r="AU395" s="12"/>
      <c r="AV395" s="12"/>
      <c r="AW395" s="12"/>
      <c r="AX395" s="12"/>
      <c r="AY395" s="12"/>
      <c r="AZ395" s="12"/>
      <c r="BA395" s="12"/>
      <c r="BB395" s="12"/>
      <c r="BC395" s="12"/>
      <c r="BD395" s="12"/>
      <c r="BE395" s="38"/>
    </row>
    <row r="396" spans="1:85" s="13" customFormat="1" ht="16.5" customHeight="1" x14ac:dyDescent="0.25">
      <c r="A396" s="24">
        <f t="shared" si="17"/>
        <v>1</v>
      </c>
      <c r="B396" s="25">
        <v>95070</v>
      </c>
      <c r="C396" s="24" t="s">
        <v>193</v>
      </c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 t="s">
        <v>243</v>
      </c>
      <c r="AF396" s="17"/>
      <c r="AG396" s="16"/>
      <c r="AH396" s="16"/>
      <c r="AI396" s="16"/>
      <c r="AJ396" s="16"/>
      <c r="AK396" s="16"/>
      <c r="AL396" s="16"/>
      <c r="AM396" s="16"/>
      <c r="AN396" s="16"/>
      <c r="AO396" s="16"/>
      <c r="AP396" s="16"/>
      <c r="AQ396" s="17"/>
      <c r="AR396" s="16"/>
      <c r="AS396" s="16"/>
      <c r="AT396" s="16"/>
      <c r="AU396" s="16"/>
      <c r="AV396" s="16"/>
      <c r="AW396" s="16"/>
      <c r="AX396" s="16"/>
      <c r="AY396" s="16"/>
      <c r="AZ396" s="16"/>
      <c r="BA396" s="16"/>
      <c r="BB396" s="16"/>
      <c r="BC396" s="16"/>
      <c r="BD396" s="16"/>
      <c r="BE396" s="14"/>
      <c r="BF396" s="17"/>
      <c r="BG396" s="17"/>
      <c r="BH396" s="17"/>
      <c r="BI396" s="17"/>
      <c r="BJ396" s="17"/>
      <c r="BK396" s="17"/>
      <c r="BL396" s="17"/>
      <c r="BM396" s="17"/>
      <c r="BN396" s="17"/>
      <c r="BO396" s="17"/>
      <c r="BP396" s="17"/>
      <c r="BQ396" s="17"/>
      <c r="BR396" s="17"/>
      <c r="BS396" s="17"/>
      <c r="BT396" s="17"/>
      <c r="BU396" s="17"/>
      <c r="BV396" s="17"/>
      <c r="BW396" s="17"/>
      <c r="BX396" s="17"/>
      <c r="BY396" s="17"/>
      <c r="BZ396" s="17"/>
      <c r="CA396" s="17"/>
      <c r="CB396" s="17"/>
      <c r="CC396" s="17"/>
      <c r="CD396" s="17"/>
      <c r="CE396" s="17"/>
      <c r="CF396" s="17"/>
      <c r="CG396" s="17"/>
    </row>
    <row r="397" spans="1:85" ht="16.5" customHeight="1" x14ac:dyDescent="0.25">
      <c r="A397" s="24">
        <f t="shared" si="17"/>
        <v>34</v>
      </c>
      <c r="B397" s="27">
        <v>95080</v>
      </c>
      <c r="C397" s="28" t="s">
        <v>192</v>
      </c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 t="s">
        <v>243</v>
      </c>
      <c r="AF397" s="13"/>
      <c r="AG397" s="12"/>
      <c r="AH397" s="12"/>
      <c r="AI397" s="12"/>
      <c r="AJ397" s="12"/>
      <c r="AK397" s="12"/>
      <c r="AL397" s="12"/>
      <c r="AM397" s="12"/>
      <c r="AN397" s="12"/>
      <c r="AO397" s="12"/>
      <c r="AP397" s="12"/>
      <c r="AQ397" s="13"/>
      <c r="AR397" s="12"/>
      <c r="AS397" s="12"/>
      <c r="AT397" s="12"/>
      <c r="AU397" s="12"/>
      <c r="AV397" s="12"/>
      <c r="AW397" s="12"/>
      <c r="AX397" s="12"/>
      <c r="AY397" s="12"/>
      <c r="AZ397" s="12"/>
      <c r="BA397" s="12"/>
      <c r="BB397" s="12"/>
      <c r="BC397" s="12"/>
      <c r="BD397" s="12"/>
      <c r="BE397" s="38"/>
    </row>
    <row r="398" spans="1:85" s="13" customFormat="1" ht="16.5" customHeight="1" x14ac:dyDescent="0.25">
      <c r="A398" s="24">
        <f t="shared" si="17"/>
        <v>34</v>
      </c>
      <c r="B398" s="25">
        <v>95090</v>
      </c>
      <c r="C398" s="24" t="s">
        <v>191</v>
      </c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 t="s">
        <v>243</v>
      </c>
      <c r="AF398" s="17"/>
      <c r="AG398" s="16"/>
      <c r="AH398" s="16"/>
      <c r="AI398" s="16"/>
      <c r="AJ398" s="16"/>
      <c r="AK398" s="16"/>
      <c r="AL398" s="16"/>
      <c r="AM398" s="16"/>
      <c r="AN398" s="16"/>
      <c r="AO398" s="16"/>
      <c r="AP398" s="16"/>
      <c r="AQ398" s="17"/>
      <c r="AR398" s="16"/>
      <c r="AS398" s="16"/>
      <c r="AT398" s="16"/>
      <c r="AU398" s="16"/>
      <c r="AV398" s="16"/>
      <c r="AW398" s="16"/>
      <c r="AX398" s="16"/>
      <c r="AY398" s="16"/>
      <c r="AZ398" s="16"/>
      <c r="BA398" s="16"/>
      <c r="BB398" s="16"/>
      <c r="BC398" s="16"/>
      <c r="BD398" s="16"/>
      <c r="BE398" s="14"/>
      <c r="BF398" s="17"/>
      <c r="BG398" s="17"/>
      <c r="BH398" s="17"/>
      <c r="BI398" s="17"/>
      <c r="BJ398" s="17"/>
      <c r="BK398" s="17"/>
      <c r="BL398" s="17"/>
      <c r="BM398" s="17"/>
      <c r="BN398" s="17"/>
      <c r="BO398" s="17"/>
      <c r="BP398" s="17"/>
      <c r="BQ398" s="17"/>
      <c r="BR398" s="17"/>
      <c r="BS398" s="17"/>
      <c r="BT398" s="17"/>
      <c r="BU398" s="17"/>
      <c r="BV398" s="17"/>
      <c r="BW398" s="17"/>
      <c r="BX398" s="17"/>
      <c r="BY398" s="17"/>
      <c r="BZ398" s="17"/>
      <c r="CA398" s="17"/>
      <c r="CB398" s="17"/>
      <c r="CC398" s="17"/>
      <c r="CD398" s="17"/>
      <c r="CE398" s="17"/>
      <c r="CF398" s="17"/>
      <c r="CG398" s="17"/>
    </row>
    <row r="399" spans="1:85" ht="16.5" customHeight="1" x14ac:dyDescent="0.25">
      <c r="A399" s="24">
        <f t="shared" si="17"/>
        <v>34</v>
      </c>
      <c r="B399" s="27">
        <v>95100</v>
      </c>
      <c r="C399" s="28" t="s">
        <v>190</v>
      </c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 t="s">
        <v>243</v>
      </c>
      <c r="AF399" s="13"/>
      <c r="AG399" s="12"/>
      <c r="AH399" s="12"/>
      <c r="AI399" s="12"/>
      <c r="AJ399" s="12"/>
      <c r="AK399" s="12"/>
      <c r="AL399" s="12"/>
      <c r="AM399" s="12"/>
      <c r="AN399" s="12"/>
      <c r="AO399" s="12"/>
      <c r="AP399" s="12"/>
      <c r="AQ399" s="13"/>
      <c r="AR399" s="12"/>
      <c r="AS399" s="12"/>
      <c r="AT399" s="12"/>
      <c r="AU399" s="12"/>
      <c r="AV399" s="12"/>
      <c r="AW399" s="12"/>
      <c r="AX399" s="12"/>
      <c r="AY399" s="12"/>
      <c r="AZ399" s="12"/>
      <c r="BA399" s="12"/>
      <c r="BB399" s="12"/>
      <c r="BC399" s="12"/>
      <c r="BD399" s="12"/>
      <c r="BE399" s="38"/>
    </row>
    <row r="400" spans="1:85" s="13" customFormat="1" ht="16.5" customHeight="1" x14ac:dyDescent="0.25">
      <c r="A400" s="24">
        <f t="shared" si="17"/>
        <v>34</v>
      </c>
      <c r="B400" s="25">
        <v>95110</v>
      </c>
      <c r="C400" s="24" t="s">
        <v>189</v>
      </c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 t="s">
        <v>243</v>
      </c>
      <c r="AF400" s="17"/>
      <c r="AG400" s="16"/>
      <c r="AH400" s="16"/>
      <c r="AI400" s="16"/>
      <c r="AJ400" s="16"/>
      <c r="AK400" s="16"/>
      <c r="AL400" s="16"/>
      <c r="AM400" s="16"/>
      <c r="AN400" s="16"/>
      <c r="AO400" s="16"/>
      <c r="AP400" s="16"/>
      <c r="AQ400" s="17"/>
      <c r="AR400" s="16"/>
      <c r="AS400" s="16"/>
      <c r="AT400" s="16"/>
      <c r="AU400" s="16"/>
      <c r="AV400" s="16"/>
      <c r="AW400" s="16"/>
      <c r="AX400" s="16"/>
      <c r="AY400" s="16"/>
      <c r="AZ400" s="16"/>
      <c r="BA400" s="16"/>
      <c r="BB400" s="16"/>
      <c r="BC400" s="16"/>
      <c r="BD400" s="16"/>
      <c r="BE400" s="14"/>
      <c r="BF400" s="17"/>
      <c r="BG400" s="17"/>
      <c r="BH400" s="17"/>
      <c r="BI400" s="17"/>
      <c r="BJ400" s="17"/>
      <c r="BK400" s="17"/>
      <c r="BL400" s="17"/>
      <c r="BM400" s="17"/>
      <c r="BN400" s="17"/>
      <c r="BO400" s="17"/>
      <c r="BP400" s="17"/>
      <c r="BQ400" s="17"/>
      <c r="BR400" s="17"/>
      <c r="BS400" s="17"/>
      <c r="BT400" s="17"/>
      <c r="BU400" s="17"/>
      <c r="BV400" s="17"/>
      <c r="BW400" s="17"/>
      <c r="BX400" s="17"/>
      <c r="BY400" s="17"/>
      <c r="BZ400" s="17"/>
      <c r="CA400" s="17"/>
      <c r="CB400" s="17"/>
      <c r="CC400" s="17"/>
      <c r="CD400" s="17"/>
      <c r="CE400" s="17"/>
      <c r="CF400" s="17"/>
      <c r="CG400" s="17"/>
    </row>
    <row r="401" spans="1:85" ht="16.5" customHeight="1" x14ac:dyDescent="0.25">
      <c r="A401" s="24">
        <f t="shared" si="17"/>
        <v>34</v>
      </c>
      <c r="B401" s="27">
        <v>95120</v>
      </c>
      <c r="C401" s="28" t="s">
        <v>188</v>
      </c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 t="s">
        <v>243</v>
      </c>
      <c r="AF401" s="13"/>
      <c r="AG401" s="12"/>
      <c r="AH401" s="12"/>
      <c r="AI401" s="12"/>
      <c r="AJ401" s="12"/>
      <c r="AK401" s="12"/>
      <c r="AL401" s="12"/>
      <c r="AM401" s="12"/>
      <c r="AN401" s="12"/>
      <c r="AO401" s="12"/>
      <c r="AP401" s="12"/>
      <c r="AQ401" s="13"/>
      <c r="AR401" s="12"/>
      <c r="AS401" s="12"/>
      <c r="AT401" s="12"/>
      <c r="AU401" s="12"/>
      <c r="AV401" s="12"/>
      <c r="AW401" s="12"/>
      <c r="AX401" s="12"/>
      <c r="AY401" s="12"/>
      <c r="AZ401" s="12"/>
      <c r="BA401" s="12"/>
      <c r="BB401" s="12"/>
      <c r="BC401" s="12"/>
      <c r="BD401" s="12"/>
      <c r="BE401" s="38"/>
    </row>
    <row r="402" spans="1:85" s="13" customFormat="1" ht="16.5" customHeight="1" x14ac:dyDescent="0.25">
      <c r="A402" s="24">
        <f t="shared" si="17"/>
        <v>34</v>
      </c>
      <c r="B402" s="25">
        <v>95130</v>
      </c>
      <c r="C402" s="24" t="s">
        <v>187</v>
      </c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 t="s">
        <v>243</v>
      </c>
      <c r="AF402" s="17"/>
      <c r="AG402" s="16"/>
      <c r="AH402" s="16"/>
      <c r="AI402" s="16"/>
      <c r="AJ402" s="16"/>
      <c r="AK402" s="16"/>
      <c r="AL402" s="16"/>
      <c r="AM402" s="16"/>
      <c r="AN402" s="16"/>
      <c r="AO402" s="16"/>
      <c r="AP402" s="16"/>
      <c r="AQ402" s="17"/>
      <c r="AR402" s="16"/>
      <c r="AS402" s="16"/>
      <c r="AT402" s="16"/>
      <c r="AU402" s="16"/>
      <c r="AV402" s="16"/>
      <c r="AW402" s="16"/>
      <c r="AX402" s="16"/>
      <c r="AY402" s="16"/>
      <c r="AZ402" s="16"/>
      <c r="BA402" s="16"/>
      <c r="BB402" s="16"/>
      <c r="BC402" s="16"/>
      <c r="BD402" s="16"/>
      <c r="BE402" s="14"/>
      <c r="BF402" s="17"/>
      <c r="BG402" s="17"/>
      <c r="BH402" s="17"/>
      <c r="BI402" s="17"/>
      <c r="BJ402" s="17"/>
      <c r="BK402" s="17"/>
      <c r="BL402" s="17"/>
      <c r="BM402" s="17"/>
      <c r="BN402" s="17"/>
      <c r="BO402" s="17"/>
      <c r="BP402" s="17"/>
      <c r="BQ402" s="17"/>
      <c r="BR402" s="17"/>
      <c r="BS402" s="17"/>
      <c r="BT402" s="17"/>
      <c r="BU402" s="17"/>
      <c r="BV402" s="17"/>
      <c r="BW402" s="17"/>
      <c r="BX402" s="17"/>
      <c r="BY402" s="17"/>
      <c r="BZ402" s="17"/>
      <c r="CA402" s="17"/>
      <c r="CB402" s="17"/>
      <c r="CC402" s="17"/>
      <c r="CD402" s="17"/>
      <c r="CE402" s="17"/>
      <c r="CF402" s="17"/>
      <c r="CG402" s="17"/>
    </row>
    <row r="403" spans="1:85" ht="16.5" customHeight="1" x14ac:dyDescent="0.25">
      <c r="A403" s="24">
        <f t="shared" si="17"/>
        <v>34</v>
      </c>
      <c r="B403" s="27">
        <v>95140</v>
      </c>
      <c r="C403" s="28" t="s">
        <v>186</v>
      </c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 t="s">
        <v>243</v>
      </c>
      <c r="AF403" s="13"/>
      <c r="AG403" s="12"/>
      <c r="AH403" s="12"/>
      <c r="AI403" s="12"/>
      <c r="AJ403" s="12"/>
      <c r="AK403" s="12"/>
      <c r="AL403" s="12"/>
      <c r="AM403" s="12"/>
      <c r="AN403" s="12"/>
      <c r="AO403" s="12"/>
      <c r="AP403" s="12"/>
      <c r="AQ403" s="13"/>
      <c r="AR403" s="12"/>
      <c r="AS403" s="12"/>
      <c r="AT403" s="12"/>
      <c r="AU403" s="12"/>
      <c r="AV403" s="12"/>
      <c r="AW403" s="12"/>
      <c r="AX403" s="12"/>
      <c r="AY403" s="12"/>
      <c r="AZ403" s="12"/>
      <c r="BA403" s="12"/>
      <c r="BB403" s="12"/>
      <c r="BC403" s="12"/>
      <c r="BD403" s="12"/>
      <c r="BE403" s="38"/>
    </row>
    <row r="404" spans="1:85" s="13" customFormat="1" ht="16.5" customHeight="1" x14ac:dyDescent="0.25">
      <c r="A404" s="24">
        <f t="shared" si="17"/>
        <v>34</v>
      </c>
      <c r="B404" s="25">
        <v>95150</v>
      </c>
      <c r="C404" s="24" t="s">
        <v>180</v>
      </c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 t="s">
        <v>243</v>
      </c>
      <c r="AF404" s="17"/>
      <c r="AG404" s="16"/>
      <c r="AH404" s="16"/>
      <c r="AI404" s="16"/>
      <c r="AJ404" s="16"/>
      <c r="AK404" s="16"/>
      <c r="AL404" s="16"/>
      <c r="AM404" s="16"/>
      <c r="AN404" s="16"/>
      <c r="AO404" s="16"/>
      <c r="AP404" s="16"/>
      <c r="AQ404" s="17"/>
      <c r="AR404" s="16"/>
      <c r="AS404" s="16"/>
      <c r="AT404" s="16"/>
      <c r="AU404" s="16"/>
      <c r="AV404" s="16"/>
      <c r="AW404" s="16"/>
      <c r="AX404" s="16"/>
      <c r="AY404" s="16"/>
      <c r="AZ404" s="16"/>
      <c r="BA404" s="16"/>
      <c r="BB404" s="16"/>
      <c r="BC404" s="16"/>
      <c r="BD404" s="16"/>
      <c r="BE404" s="14"/>
      <c r="BF404" s="17"/>
      <c r="BG404" s="17"/>
      <c r="BH404" s="17"/>
      <c r="BI404" s="17"/>
      <c r="BJ404" s="17"/>
      <c r="BK404" s="17"/>
      <c r="BL404" s="17"/>
      <c r="BM404" s="17"/>
      <c r="BN404" s="17"/>
      <c r="BO404" s="17"/>
      <c r="BP404" s="17"/>
      <c r="BQ404" s="17"/>
      <c r="BR404" s="17"/>
      <c r="BS404" s="17"/>
      <c r="BT404" s="17"/>
      <c r="BU404" s="17"/>
      <c r="BV404" s="17"/>
      <c r="BW404" s="17"/>
      <c r="BX404" s="17"/>
      <c r="BY404" s="17"/>
      <c r="BZ404" s="17"/>
      <c r="CA404" s="17"/>
      <c r="CB404" s="17"/>
      <c r="CC404" s="17"/>
      <c r="CD404" s="17"/>
      <c r="CE404" s="17"/>
      <c r="CF404" s="17"/>
      <c r="CG404" s="17"/>
    </row>
    <row r="405" spans="1:85" ht="16.5" customHeight="1" x14ac:dyDescent="0.25">
      <c r="A405" s="24">
        <f t="shared" si="17"/>
        <v>34</v>
      </c>
      <c r="B405" s="27">
        <v>95160</v>
      </c>
      <c r="C405" s="28" t="s">
        <v>179</v>
      </c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 t="s">
        <v>243</v>
      </c>
      <c r="AF405" s="13"/>
      <c r="AG405" s="12"/>
      <c r="AH405" s="12"/>
      <c r="AI405" s="12"/>
      <c r="AJ405" s="12"/>
      <c r="AK405" s="12"/>
      <c r="AL405" s="12"/>
      <c r="AM405" s="12"/>
      <c r="AN405" s="12"/>
      <c r="AO405" s="12"/>
      <c r="AP405" s="12"/>
      <c r="AQ405" s="13"/>
      <c r="AR405" s="12"/>
      <c r="AS405" s="12"/>
      <c r="AT405" s="12"/>
      <c r="AU405" s="12"/>
      <c r="AV405" s="12"/>
      <c r="AW405" s="12"/>
      <c r="AX405" s="12"/>
      <c r="AY405" s="12"/>
      <c r="AZ405" s="12"/>
      <c r="BA405" s="12"/>
      <c r="BB405" s="12"/>
      <c r="BC405" s="12"/>
      <c r="BD405" s="12"/>
      <c r="BE405" s="38"/>
    </row>
    <row r="406" spans="1:85" s="13" customFormat="1" ht="16.5" customHeight="1" x14ac:dyDescent="0.25">
      <c r="A406" s="24">
        <f t="shared" si="17"/>
        <v>34</v>
      </c>
      <c r="B406" s="25">
        <v>95170</v>
      </c>
      <c r="C406" s="24" t="s">
        <v>178</v>
      </c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 t="s">
        <v>243</v>
      </c>
      <c r="AF406" s="17"/>
      <c r="AG406" s="16"/>
      <c r="AH406" s="16"/>
      <c r="AI406" s="16"/>
      <c r="AJ406" s="16"/>
      <c r="AK406" s="16"/>
      <c r="AL406" s="16"/>
      <c r="AM406" s="16"/>
      <c r="AN406" s="16"/>
      <c r="AO406" s="16"/>
      <c r="AP406" s="16"/>
      <c r="AQ406" s="17"/>
      <c r="AR406" s="16"/>
      <c r="AS406" s="16"/>
      <c r="AT406" s="16"/>
      <c r="AU406" s="16"/>
      <c r="AV406" s="16"/>
      <c r="AW406" s="16"/>
      <c r="AX406" s="16"/>
      <c r="AY406" s="16"/>
      <c r="AZ406" s="16"/>
      <c r="BA406" s="16"/>
      <c r="BB406" s="16"/>
      <c r="BC406" s="16"/>
      <c r="BD406" s="16"/>
      <c r="BE406" s="14"/>
      <c r="BF406" s="17"/>
      <c r="BG406" s="17"/>
      <c r="BH406" s="17"/>
      <c r="BI406" s="17"/>
      <c r="BJ406" s="17"/>
      <c r="BK406" s="17"/>
      <c r="BL406" s="17"/>
      <c r="BM406" s="17"/>
      <c r="BN406" s="17"/>
      <c r="BO406" s="17"/>
      <c r="BP406" s="17"/>
      <c r="BQ406" s="17"/>
      <c r="BR406" s="17"/>
      <c r="BS406" s="17"/>
      <c r="BT406" s="17"/>
      <c r="BU406" s="17"/>
      <c r="BV406" s="17"/>
      <c r="BW406" s="17"/>
      <c r="BX406" s="17"/>
      <c r="BY406" s="17"/>
      <c r="BZ406" s="17"/>
      <c r="CA406" s="17"/>
      <c r="CB406" s="17"/>
      <c r="CC406" s="17"/>
      <c r="CD406" s="17"/>
      <c r="CE406" s="17"/>
      <c r="CF406" s="17"/>
      <c r="CG406" s="17"/>
    </row>
    <row r="407" spans="1:85" ht="16.5" customHeight="1" x14ac:dyDescent="0.25">
      <c r="A407" s="24">
        <f t="shared" si="17"/>
        <v>34</v>
      </c>
      <c r="B407" s="27">
        <v>95180</v>
      </c>
      <c r="C407" s="28" t="s">
        <v>177</v>
      </c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 t="s">
        <v>243</v>
      </c>
      <c r="AF407" s="13"/>
      <c r="AG407" s="12"/>
      <c r="AH407" s="12"/>
      <c r="AI407" s="12"/>
      <c r="AJ407" s="12"/>
      <c r="AK407" s="12"/>
      <c r="AL407" s="12"/>
      <c r="AM407" s="12"/>
      <c r="AN407" s="12"/>
      <c r="AO407" s="12"/>
      <c r="AP407" s="12"/>
      <c r="AQ407" s="13"/>
      <c r="AR407" s="12"/>
      <c r="AS407" s="12"/>
      <c r="AT407" s="12"/>
      <c r="AU407" s="12"/>
      <c r="AV407" s="12"/>
      <c r="AW407" s="12"/>
      <c r="AX407" s="12"/>
      <c r="AY407" s="12"/>
      <c r="AZ407" s="12"/>
      <c r="BA407" s="12"/>
      <c r="BB407" s="12"/>
      <c r="BC407" s="12"/>
      <c r="BD407" s="12"/>
      <c r="BE407" s="38"/>
    </row>
    <row r="408" spans="1:85" s="13" customFormat="1" ht="16.5" customHeight="1" x14ac:dyDescent="0.25">
      <c r="A408" s="24">
        <f t="shared" si="17"/>
        <v>34</v>
      </c>
      <c r="B408" s="25">
        <v>95190</v>
      </c>
      <c r="C408" s="24" t="s">
        <v>176</v>
      </c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 t="s">
        <v>243</v>
      </c>
      <c r="AF408" s="17"/>
      <c r="AG408" s="16"/>
      <c r="AH408" s="16"/>
      <c r="AI408" s="16"/>
      <c r="AJ408" s="16"/>
      <c r="AK408" s="16"/>
      <c r="AL408" s="16"/>
      <c r="AM408" s="16"/>
      <c r="AN408" s="16"/>
      <c r="AO408" s="16"/>
      <c r="AP408" s="16"/>
      <c r="AQ408" s="17"/>
      <c r="AR408" s="16"/>
      <c r="AS408" s="16"/>
      <c r="AT408" s="16"/>
      <c r="AU408" s="16"/>
      <c r="AV408" s="16"/>
      <c r="AW408" s="16"/>
      <c r="AX408" s="16"/>
      <c r="AY408" s="16"/>
      <c r="AZ408" s="16"/>
      <c r="BA408" s="16"/>
      <c r="BB408" s="16"/>
      <c r="BC408" s="16"/>
      <c r="BD408" s="16"/>
      <c r="BE408" s="14"/>
      <c r="BF408" s="17"/>
      <c r="BG408" s="17"/>
      <c r="BH408" s="17"/>
      <c r="BI408" s="17"/>
      <c r="BJ408" s="17"/>
      <c r="BK408" s="17"/>
      <c r="BL408" s="17"/>
      <c r="BM408" s="17"/>
      <c r="BN408" s="17"/>
      <c r="BO408" s="17"/>
      <c r="BP408" s="17"/>
      <c r="BQ408" s="17"/>
      <c r="BR408" s="17"/>
      <c r="BS408" s="17"/>
      <c r="BT408" s="17"/>
      <c r="BU408" s="17"/>
      <c r="BV408" s="17"/>
      <c r="BW408" s="17"/>
      <c r="BX408" s="17"/>
      <c r="BY408" s="17"/>
      <c r="BZ408" s="17"/>
      <c r="CA408" s="17"/>
      <c r="CB408" s="17"/>
      <c r="CC408" s="17"/>
      <c r="CD408" s="17"/>
      <c r="CE408" s="17"/>
      <c r="CF408" s="17"/>
      <c r="CG408" s="17"/>
    </row>
    <row r="409" spans="1:85" ht="16.5" customHeight="1" x14ac:dyDescent="0.25">
      <c r="A409" s="24">
        <f t="shared" si="17"/>
        <v>34</v>
      </c>
      <c r="B409" s="27">
        <v>95200</v>
      </c>
      <c r="C409" s="28" t="s">
        <v>175</v>
      </c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 t="s">
        <v>243</v>
      </c>
      <c r="AF409" s="13"/>
      <c r="AG409" s="12"/>
      <c r="AH409" s="12"/>
      <c r="AI409" s="12"/>
      <c r="AJ409" s="12"/>
      <c r="AK409" s="12"/>
      <c r="AL409" s="12"/>
      <c r="AM409" s="12"/>
      <c r="AN409" s="12"/>
      <c r="AO409" s="12"/>
      <c r="AP409" s="12"/>
      <c r="AQ409" s="13"/>
      <c r="AR409" s="12"/>
      <c r="AS409" s="12"/>
      <c r="AT409" s="12"/>
      <c r="AU409" s="12"/>
      <c r="AV409" s="12"/>
      <c r="AW409" s="12"/>
      <c r="AX409" s="12"/>
      <c r="AY409" s="12"/>
      <c r="AZ409" s="12"/>
      <c r="BA409" s="12"/>
      <c r="BB409" s="12"/>
      <c r="BC409" s="12"/>
      <c r="BD409" s="12"/>
      <c r="BE409" s="38"/>
    </row>
    <row r="410" spans="1:85" s="13" customFormat="1" ht="16.5" customHeight="1" x14ac:dyDescent="0.25">
      <c r="A410" s="24">
        <f t="shared" ref="A410:A415" si="18">COUNTIF(D425:BE425,"Y")</f>
        <v>1</v>
      </c>
      <c r="B410" s="25">
        <v>95210</v>
      </c>
      <c r="C410" s="24" t="s">
        <v>174</v>
      </c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 t="s">
        <v>243</v>
      </c>
      <c r="AF410" s="17"/>
      <c r="AG410" s="16"/>
      <c r="AH410" s="16"/>
      <c r="AI410" s="16"/>
      <c r="AJ410" s="16"/>
      <c r="AK410" s="16"/>
      <c r="AL410" s="16"/>
      <c r="AM410" s="16"/>
      <c r="AN410" s="16"/>
      <c r="AO410" s="16"/>
      <c r="AP410" s="16"/>
      <c r="AQ410" s="17"/>
      <c r="AR410" s="16"/>
      <c r="AS410" s="16"/>
      <c r="AT410" s="16"/>
      <c r="AU410" s="16"/>
      <c r="AV410" s="16"/>
      <c r="AW410" s="16"/>
      <c r="AX410" s="16"/>
      <c r="AY410" s="16"/>
      <c r="AZ410" s="16"/>
      <c r="BA410" s="16"/>
      <c r="BB410" s="16"/>
      <c r="BC410" s="16"/>
      <c r="BD410" s="16"/>
      <c r="BE410" s="14"/>
      <c r="BF410" s="17"/>
      <c r="BG410" s="17"/>
      <c r="BH410" s="17"/>
      <c r="BI410" s="17"/>
      <c r="BJ410" s="17"/>
      <c r="BK410" s="17"/>
      <c r="BL410" s="17"/>
      <c r="BM410" s="17"/>
      <c r="BN410" s="17"/>
      <c r="BO410" s="17"/>
      <c r="BP410" s="17"/>
      <c r="BQ410" s="17"/>
      <c r="BR410" s="17"/>
      <c r="BS410" s="17"/>
      <c r="BT410" s="17"/>
      <c r="BU410" s="17"/>
      <c r="BV410" s="17"/>
      <c r="BW410" s="17"/>
      <c r="BX410" s="17"/>
      <c r="BY410" s="17"/>
      <c r="BZ410" s="17"/>
      <c r="CA410" s="17"/>
      <c r="CB410" s="17"/>
      <c r="CC410" s="17"/>
      <c r="CD410" s="17"/>
      <c r="CE410" s="17"/>
      <c r="CF410" s="17"/>
      <c r="CG410" s="17"/>
    </row>
    <row r="411" spans="1:85" ht="16.5" customHeight="1" x14ac:dyDescent="0.25">
      <c r="A411" s="24">
        <f t="shared" si="18"/>
        <v>1</v>
      </c>
      <c r="B411" s="27">
        <v>95220</v>
      </c>
      <c r="C411" s="28" t="s">
        <v>173</v>
      </c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 t="s">
        <v>243</v>
      </c>
      <c r="AF411" s="13"/>
      <c r="AG411" s="12"/>
      <c r="AH411" s="12"/>
      <c r="AI411" s="12"/>
      <c r="AJ411" s="12"/>
      <c r="AK411" s="12"/>
      <c r="AL411" s="12"/>
      <c r="AM411" s="12"/>
      <c r="AN411" s="12"/>
      <c r="AO411" s="12"/>
      <c r="AP411" s="12"/>
      <c r="AQ411" s="13"/>
      <c r="AR411" s="12"/>
      <c r="AS411" s="12"/>
      <c r="AT411" s="12"/>
      <c r="AU411" s="12"/>
      <c r="AV411" s="12"/>
      <c r="AW411" s="12"/>
      <c r="AX411" s="12"/>
      <c r="AY411" s="12"/>
      <c r="AZ411" s="12"/>
      <c r="BA411" s="12"/>
      <c r="BB411" s="12"/>
      <c r="BC411" s="12"/>
      <c r="BD411" s="12"/>
      <c r="BE411" s="38"/>
    </row>
    <row r="412" spans="1:85" s="13" customFormat="1" ht="16.5" customHeight="1" x14ac:dyDescent="0.25">
      <c r="A412" s="24">
        <f t="shared" si="18"/>
        <v>1</v>
      </c>
      <c r="B412" s="25">
        <v>96010</v>
      </c>
      <c r="C412" s="24" t="s">
        <v>1028</v>
      </c>
      <c r="D412" s="16"/>
      <c r="E412" s="16" t="s">
        <v>243</v>
      </c>
      <c r="F412" s="16" t="s">
        <v>243</v>
      </c>
      <c r="G412" s="16" t="s">
        <v>243</v>
      </c>
      <c r="H412" s="16"/>
      <c r="I412" s="16"/>
      <c r="J412" s="16"/>
      <c r="K412" s="16"/>
      <c r="L412" s="16"/>
      <c r="M412" s="16"/>
      <c r="N412" s="16"/>
      <c r="O412" s="16" t="s">
        <v>243</v>
      </c>
      <c r="P412" s="16" t="s">
        <v>243</v>
      </c>
      <c r="Q412" s="16" t="s">
        <v>243</v>
      </c>
      <c r="R412" s="16" t="s">
        <v>243</v>
      </c>
      <c r="S412" s="16" t="s">
        <v>243</v>
      </c>
      <c r="T412" s="16" t="s">
        <v>243</v>
      </c>
      <c r="U412" s="16" t="s">
        <v>243</v>
      </c>
      <c r="V412" s="16" t="s">
        <v>243</v>
      </c>
      <c r="W412" s="16" t="s">
        <v>243</v>
      </c>
      <c r="X412" s="16" t="s">
        <v>243</v>
      </c>
      <c r="Y412" s="16" t="s">
        <v>243</v>
      </c>
      <c r="Z412" s="16" t="s">
        <v>243</v>
      </c>
      <c r="AA412" s="16" t="s">
        <v>243</v>
      </c>
      <c r="AB412" s="16" t="s">
        <v>243</v>
      </c>
      <c r="AC412" s="16" t="s">
        <v>243</v>
      </c>
      <c r="AD412" s="16" t="s">
        <v>243</v>
      </c>
      <c r="AE412" s="16" t="s">
        <v>243</v>
      </c>
      <c r="AF412" s="17"/>
      <c r="AG412" s="16"/>
      <c r="AH412" s="16" t="s">
        <v>243</v>
      </c>
      <c r="AI412" s="16" t="s">
        <v>243</v>
      </c>
      <c r="AJ412" s="16" t="s">
        <v>243</v>
      </c>
      <c r="AK412" s="16" t="s">
        <v>243</v>
      </c>
      <c r="AL412" s="16"/>
      <c r="AM412" s="16"/>
      <c r="AN412" s="16" t="s">
        <v>243</v>
      </c>
      <c r="AO412" s="16" t="s">
        <v>243</v>
      </c>
      <c r="AP412" s="16"/>
      <c r="AQ412" s="17"/>
      <c r="AR412" s="16" t="s">
        <v>243</v>
      </c>
      <c r="AS412" s="16" t="s">
        <v>243</v>
      </c>
      <c r="AT412" s="16" t="s">
        <v>243</v>
      </c>
      <c r="AU412" s="16" t="s">
        <v>243</v>
      </c>
      <c r="AV412" s="16" t="s">
        <v>243</v>
      </c>
      <c r="AW412" s="16" t="s">
        <v>243</v>
      </c>
      <c r="AX412" s="16" t="s">
        <v>243</v>
      </c>
      <c r="AY412" s="16" t="s">
        <v>243</v>
      </c>
      <c r="AZ412" s="16"/>
      <c r="BA412" s="16"/>
      <c r="BB412" s="16"/>
      <c r="BC412" s="16"/>
      <c r="BD412" s="16"/>
      <c r="BE412" s="14"/>
      <c r="BF412" s="17"/>
      <c r="BG412" s="17"/>
      <c r="BH412" s="17"/>
      <c r="BI412" s="17"/>
      <c r="BJ412" s="17"/>
      <c r="BK412" s="17"/>
      <c r="BL412" s="17"/>
      <c r="BM412" s="17"/>
      <c r="BN412" s="17"/>
      <c r="BO412" s="17"/>
      <c r="BP412" s="17"/>
      <c r="BQ412" s="17"/>
      <c r="BR412" s="17"/>
      <c r="BS412" s="17"/>
      <c r="BT412" s="17"/>
      <c r="BU412" s="17"/>
      <c r="BV412" s="17"/>
      <c r="BW412" s="17"/>
      <c r="BX412" s="17"/>
      <c r="BY412" s="17"/>
      <c r="BZ412" s="17"/>
      <c r="CA412" s="17"/>
      <c r="CB412" s="17"/>
      <c r="CC412" s="17"/>
      <c r="CD412" s="17"/>
      <c r="CE412" s="17"/>
      <c r="CF412" s="17"/>
      <c r="CG412" s="17"/>
    </row>
    <row r="413" spans="1:85" ht="16.5" customHeight="1" x14ac:dyDescent="0.25">
      <c r="A413" s="24">
        <f t="shared" si="18"/>
        <v>1</v>
      </c>
      <c r="B413" s="27">
        <v>96020</v>
      </c>
      <c r="C413" s="28" t="s">
        <v>1030</v>
      </c>
      <c r="D413" s="12"/>
      <c r="E413" s="12" t="s">
        <v>243</v>
      </c>
      <c r="F413" s="12" t="s">
        <v>243</v>
      </c>
      <c r="G413" s="12" t="s">
        <v>243</v>
      </c>
      <c r="H413" s="12"/>
      <c r="I413" s="12"/>
      <c r="J413" s="12"/>
      <c r="K413" s="12"/>
      <c r="L413" s="12"/>
      <c r="M413" s="12"/>
      <c r="N413" s="12"/>
      <c r="O413" s="12" t="s">
        <v>243</v>
      </c>
      <c r="P413" s="12" t="s">
        <v>243</v>
      </c>
      <c r="Q413" s="12" t="s">
        <v>243</v>
      </c>
      <c r="R413" s="12" t="s">
        <v>243</v>
      </c>
      <c r="S413" s="12" t="s">
        <v>243</v>
      </c>
      <c r="T413" s="12" t="s">
        <v>243</v>
      </c>
      <c r="U413" s="12" t="s">
        <v>243</v>
      </c>
      <c r="V413" s="12" t="s">
        <v>243</v>
      </c>
      <c r="W413" s="12" t="s">
        <v>243</v>
      </c>
      <c r="X413" s="12" t="s">
        <v>243</v>
      </c>
      <c r="Y413" s="12" t="s">
        <v>243</v>
      </c>
      <c r="Z413" s="12" t="s">
        <v>243</v>
      </c>
      <c r="AA413" s="12" t="s">
        <v>243</v>
      </c>
      <c r="AB413" s="12" t="s">
        <v>243</v>
      </c>
      <c r="AC413" s="12" t="s">
        <v>243</v>
      </c>
      <c r="AD413" s="12" t="s">
        <v>243</v>
      </c>
      <c r="AE413" s="12" t="s">
        <v>243</v>
      </c>
      <c r="AF413" s="13"/>
      <c r="AG413" s="12"/>
      <c r="AH413" s="12" t="s">
        <v>243</v>
      </c>
      <c r="AI413" s="12" t="s">
        <v>243</v>
      </c>
      <c r="AJ413" s="12" t="s">
        <v>243</v>
      </c>
      <c r="AK413" s="12" t="s">
        <v>243</v>
      </c>
      <c r="AL413" s="12"/>
      <c r="AM413" s="12"/>
      <c r="AN413" s="12" t="s">
        <v>243</v>
      </c>
      <c r="AO413" s="12" t="s">
        <v>243</v>
      </c>
      <c r="AP413" s="12"/>
      <c r="AQ413" s="13"/>
      <c r="AR413" s="12" t="s">
        <v>243</v>
      </c>
      <c r="AS413" s="12" t="s">
        <v>243</v>
      </c>
      <c r="AT413" s="12" t="s">
        <v>243</v>
      </c>
      <c r="AU413" s="12" t="s">
        <v>243</v>
      </c>
      <c r="AV413" s="12" t="s">
        <v>243</v>
      </c>
      <c r="AW413" s="12" t="s">
        <v>243</v>
      </c>
      <c r="AX413" s="12" t="s">
        <v>243</v>
      </c>
      <c r="AY413" s="12" t="s">
        <v>243</v>
      </c>
      <c r="AZ413" s="12"/>
      <c r="BA413" s="12"/>
      <c r="BB413" s="12"/>
      <c r="BC413" s="12"/>
      <c r="BD413" s="12"/>
      <c r="BE413" s="38"/>
    </row>
    <row r="414" spans="1:85" s="13" customFormat="1" ht="16.5" customHeight="1" x14ac:dyDescent="0.25">
      <c r="A414" s="24">
        <f t="shared" si="18"/>
        <v>20</v>
      </c>
      <c r="B414" s="25">
        <v>96030</v>
      </c>
      <c r="C414" s="24" t="s">
        <v>1032</v>
      </c>
      <c r="D414" s="16"/>
      <c r="E414" s="16" t="s">
        <v>243</v>
      </c>
      <c r="F414" s="16" t="s">
        <v>243</v>
      </c>
      <c r="G414" s="16" t="s">
        <v>243</v>
      </c>
      <c r="H414" s="16"/>
      <c r="I414" s="16"/>
      <c r="J414" s="16"/>
      <c r="K414" s="16"/>
      <c r="L414" s="16"/>
      <c r="M414" s="16"/>
      <c r="N414" s="16"/>
      <c r="O414" s="16" t="s">
        <v>243</v>
      </c>
      <c r="P414" s="16" t="s">
        <v>243</v>
      </c>
      <c r="Q414" s="16" t="s">
        <v>243</v>
      </c>
      <c r="R414" s="16" t="s">
        <v>243</v>
      </c>
      <c r="S414" s="16" t="s">
        <v>243</v>
      </c>
      <c r="T414" s="16" t="s">
        <v>243</v>
      </c>
      <c r="U414" s="16" t="s">
        <v>243</v>
      </c>
      <c r="V414" s="16" t="s">
        <v>243</v>
      </c>
      <c r="W414" s="16" t="s">
        <v>243</v>
      </c>
      <c r="X414" s="16" t="s">
        <v>243</v>
      </c>
      <c r="Y414" s="16" t="s">
        <v>243</v>
      </c>
      <c r="Z414" s="16" t="s">
        <v>243</v>
      </c>
      <c r="AA414" s="16" t="s">
        <v>243</v>
      </c>
      <c r="AB414" s="16" t="s">
        <v>243</v>
      </c>
      <c r="AC414" s="16" t="s">
        <v>243</v>
      </c>
      <c r="AD414" s="16" t="s">
        <v>243</v>
      </c>
      <c r="AE414" s="16" t="s">
        <v>243</v>
      </c>
      <c r="AF414" s="17"/>
      <c r="AG414" s="16"/>
      <c r="AH414" s="16" t="s">
        <v>243</v>
      </c>
      <c r="AI414" s="16" t="s">
        <v>243</v>
      </c>
      <c r="AJ414" s="16" t="s">
        <v>243</v>
      </c>
      <c r="AK414" s="16" t="s">
        <v>243</v>
      </c>
      <c r="AL414" s="16"/>
      <c r="AM414" s="16"/>
      <c r="AN414" s="16" t="s">
        <v>243</v>
      </c>
      <c r="AO414" s="16" t="s">
        <v>243</v>
      </c>
      <c r="AP414" s="16"/>
      <c r="AQ414" s="17"/>
      <c r="AR414" s="16" t="s">
        <v>243</v>
      </c>
      <c r="AS414" s="16" t="s">
        <v>243</v>
      </c>
      <c r="AT414" s="16" t="s">
        <v>243</v>
      </c>
      <c r="AU414" s="16" t="s">
        <v>243</v>
      </c>
      <c r="AV414" s="16" t="s">
        <v>243</v>
      </c>
      <c r="AW414" s="16" t="s">
        <v>243</v>
      </c>
      <c r="AX414" s="16" t="s">
        <v>243</v>
      </c>
      <c r="AY414" s="16" t="s">
        <v>243</v>
      </c>
      <c r="AZ414" s="16"/>
      <c r="BA414" s="16"/>
      <c r="BB414" s="16"/>
      <c r="BC414" s="16"/>
      <c r="BD414" s="16"/>
      <c r="BE414" s="14"/>
      <c r="BF414" s="17"/>
      <c r="BG414" s="17"/>
      <c r="BH414" s="17"/>
      <c r="BI414" s="17"/>
      <c r="BJ414" s="17"/>
      <c r="BK414" s="17"/>
      <c r="BL414" s="17"/>
      <c r="BM414" s="17"/>
      <c r="BN414" s="17"/>
      <c r="BO414" s="17"/>
      <c r="BP414" s="17"/>
      <c r="BQ414" s="17"/>
      <c r="BR414" s="17"/>
      <c r="BS414" s="17"/>
      <c r="BT414" s="17"/>
      <c r="BU414" s="17"/>
      <c r="BV414" s="17"/>
      <c r="BW414" s="17"/>
      <c r="BX414" s="17"/>
      <c r="BY414" s="17"/>
      <c r="BZ414" s="17"/>
      <c r="CA414" s="17"/>
      <c r="CB414" s="17"/>
      <c r="CC414" s="17"/>
      <c r="CD414" s="17"/>
      <c r="CE414" s="17"/>
      <c r="CF414" s="17"/>
      <c r="CG414" s="17"/>
    </row>
    <row r="415" spans="1:85" ht="16.5" customHeight="1" x14ac:dyDescent="0.25">
      <c r="A415" s="24">
        <f t="shared" si="18"/>
        <v>20</v>
      </c>
      <c r="B415" s="27">
        <v>96040</v>
      </c>
      <c r="C415" s="28" t="s">
        <v>1563</v>
      </c>
      <c r="D415" s="12"/>
      <c r="E415" s="12" t="s">
        <v>243</v>
      </c>
      <c r="F415" s="12" t="s">
        <v>243</v>
      </c>
      <c r="G415" s="12" t="s">
        <v>243</v>
      </c>
      <c r="H415" s="12"/>
      <c r="I415" s="12"/>
      <c r="J415" s="12"/>
      <c r="K415" s="12"/>
      <c r="L415" s="12"/>
      <c r="M415" s="12"/>
      <c r="N415" s="12"/>
      <c r="O415" s="12" t="s">
        <v>243</v>
      </c>
      <c r="P415" s="12" t="s">
        <v>243</v>
      </c>
      <c r="Q415" s="12" t="s">
        <v>243</v>
      </c>
      <c r="R415" s="12" t="s">
        <v>243</v>
      </c>
      <c r="S415" s="12" t="s">
        <v>243</v>
      </c>
      <c r="T415" s="12" t="s">
        <v>243</v>
      </c>
      <c r="U415" s="12" t="s">
        <v>243</v>
      </c>
      <c r="V415" s="12" t="s">
        <v>243</v>
      </c>
      <c r="W415" s="12" t="s">
        <v>243</v>
      </c>
      <c r="X415" s="12" t="s">
        <v>243</v>
      </c>
      <c r="Y415" s="12" t="s">
        <v>243</v>
      </c>
      <c r="Z415" s="12" t="s">
        <v>243</v>
      </c>
      <c r="AA415" s="12" t="s">
        <v>243</v>
      </c>
      <c r="AB415" s="12" t="s">
        <v>243</v>
      </c>
      <c r="AC415" s="12" t="s">
        <v>243</v>
      </c>
      <c r="AD415" s="12" t="s">
        <v>243</v>
      </c>
      <c r="AE415" s="12" t="s">
        <v>243</v>
      </c>
      <c r="AF415" s="13"/>
      <c r="AG415" s="12"/>
      <c r="AH415" s="12" t="s">
        <v>243</v>
      </c>
      <c r="AI415" s="12" t="s">
        <v>243</v>
      </c>
      <c r="AJ415" s="12" t="s">
        <v>243</v>
      </c>
      <c r="AK415" s="12" t="s">
        <v>243</v>
      </c>
      <c r="AL415" s="12"/>
      <c r="AM415" s="12"/>
      <c r="AN415" s="12" t="s">
        <v>243</v>
      </c>
      <c r="AO415" s="12" t="s">
        <v>243</v>
      </c>
      <c r="AP415" s="12"/>
      <c r="AQ415" s="13"/>
      <c r="AR415" s="12" t="s">
        <v>243</v>
      </c>
      <c r="AS415" s="12" t="s">
        <v>243</v>
      </c>
      <c r="AT415" s="12" t="s">
        <v>243</v>
      </c>
      <c r="AU415" s="12" t="s">
        <v>243</v>
      </c>
      <c r="AV415" s="12" t="s">
        <v>243</v>
      </c>
      <c r="AW415" s="12" t="s">
        <v>243</v>
      </c>
      <c r="AX415" s="12" t="s">
        <v>243</v>
      </c>
      <c r="AY415" s="12" t="s">
        <v>243</v>
      </c>
      <c r="AZ415" s="12"/>
      <c r="BA415" s="12"/>
      <c r="BB415" s="12"/>
      <c r="BC415" s="12"/>
      <c r="BD415" s="12"/>
      <c r="BE415" s="38"/>
    </row>
    <row r="416" spans="1:85" s="13" customFormat="1" ht="16.5" customHeight="1" x14ac:dyDescent="0.25">
      <c r="A416" s="17"/>
      <c r="B416" s="25">
        <v>96050</v>
      </c>
      <c r="C416" s="24" t="s">
        <v>1564</v>
      </c>
      <c r="D416" s="16"/>
      <c r="E416" s="16" t="s">
        <v>243</v>
      </c>
      <c r="F416" s="16" t="s">
        <v>243</v>
      </c>
      <c r="G416" s="16" t="s">
        <v>243</v>
      </c>
      <c r="H416" s="16"/>
      <c r="I416" s="16"/>
      <c r="J416" s="16"/>
      <c r="K416" s="16"/>
      <c r="L416" s="16"/>
      <c r="M416" s="16"/>
      <c r="N416" s="16"/>
      <c r="O416" s="16" t="s">
        <v>243</v>
      </c>
      <c r="P416" s="16" t="s">
        <v>243</v>
      </c>
      <c r="Q416" s="16" t="s">
        <v>243</v>
      </c>
      <c r="R416" s="16" t="s">
        <v>243</v>
      </c>
      <c r="S416" s="16" t="s">
        <v>243</v>
      </c>
      <c r="T416" s="16" t="s">
        <v>243</v>
      </c>
      <c r="U416" s="16" t="s">
        <v>243</v>
      </c>
      <c r="V416" s="16" t="s">
        <v>243</v>
      </c>
      <c r="W416" s="16" t="s">
        <v>243</v>
      </c>
      <c r="X416" s="16" t="s">
        <v>243</v>
      </c>
      <c r="Y416" s="16" t="s">
        <v>243</v>
      </c>
      <c r="Z416" s="16" t="s">
        <v>243</v>
      </c>
      <c r="AA416" s="16" t="s">
        <v>243</v>
      </c>
      <c r="AB416" s="16" t="s">
        <v>243</v>
      </c>
      <c r="AC416" s="16" t="s">
        <v>243</v>
      </c>
      <c r="AD416" s="16" t="s">
        <v>243</v>
      </c>
      <c r="AE416" s="16" t="s">
        <v>243</v>
      </c>
      <c r="AF416" s="17"/>
      <c r="AG416" s="16"/>
      <c r="AH416" s="16" t="s">
        <v>243</v>
      </c>
      <c r="AI416" s="16" t="s">
        <v>243</v>
      </c>
      <c r="AJ416" s="16" t="s">
        <v>243</v>
      </c>
      <c r="AK416" s="16" t="s">
        <v>243</v>
      </c>
      <c r="AL416" s="16"/>
      <c r="AM416" s="16"/>
      <c r="AN416" s="16" t="s">
        <v>243</v>
      </c>
      <c r="AO416" s="16" t="s">
        <v>243</v>
      </c>
      <c r="AP416" s="16"/>
      <c r="AQ416" s="17"/>
      <c r="AR416" s="16" t="s">
        <v>243</v>
      </c>
      <c r="AS416" s="16" t="s">
        <v>243</v>
      </c>
      <c r="AT416" s="16" t="s">
        <v>243</v>
      </c>
      <c r="AU416" s="16" t="s">
        <v>243</v>
      </c>
      <c r="AV416" s="16" t="s">
        <v>243</v>
      </c>
      <c r="AW416" s="16" t="s">
        <v>243</v>
      </c>
      <c r="AX416" s="16" t="s">
        <v>243</v>
      </c>
      <c r="AY416" s="16" t="s">
        <v>243</v>
      </c>
      <c r="AZ416" s="16"/>
      <c r="BA416" s="16"/>
      <c r="BB416" s="16"/>
      <c r="BC416" s="16"/>
      <c r="BD416" s="16"/>
      <c r="BE416" s="14"/>
      <c r="BF416" s="17"/>
      <c r="BG416" s="17"/>
      <c r="BH416" s="17"/>
      <c r="BI416" s="17"/>
      <c r="BJ416" s="17"/>
      <c r="BK416" s="17"/>
      <c r="BL416" s="17"/>
      <c r="BM416" s="17"/>
      <c r="BN416" s="17"/>
      <c r="BO416" s="17"/>
      <c r="BP416" s="17"/>
      <c r="BQ416" s="17"/>
      <c r="BR416" s="17"/>
      <c r="BS416" s="17"/>
      <c r="BT416" s="17"/>
      <c r="BU416" s="17"/>
      <c r="BV416" s="17"/>
      <c r="BW416" s="17"/>
      <c r="BX416" s="17"/>
      <c r="BY416" s="17"/>
      <c r="BZ416" s="17"/>
      <c r="CA416" s="17"/>
      <c r="CB416" s="17"/>
      <c r="CC416" s="17"/>
      <c r="CD416" s="17"/>
      <c r="CE416" s="17"/>
      <c r="CF416" s="17"/>
      <c r="CG416" s="17"/>
    </row>
    <row r="417" spans="1:85" ht="16.5" customHeight="1" x14ac:dyDescent="0.25">
      <c r="B417" s="27">
        <v>96060</v>
      </c>
      <c r="C417" s="28" t="s">
        <v>1565</v>
      </c>
      <c r="D417" s="12"/>
      <c r="E417" s="12" t="s">
        <v>243</v>
      </c>
      <c r="F417" s="12" t="s">
        <v>243</v>
      </c>
      <c r="G417" s="12" t="s">
        <v>243</v>
      </c>
      <c r="H417" s="12"/>
      <c r="I417" s="12"/>
      <c r="J417" s="12"/>
      <c r="K417" s="12"/>
      <c r="L417" s="12"/>
      <c r="M417" s="12"/>
      <c r="N417" s="12"/>
      <c r="O417" s="12" t="s">
        <v>243</v>
      </c>
      <c r="P417" s="12" t="s">
        <v>243</v>
      </c>
      <c r="Q417" s="12" t="s">
        <v>243</v>
      </c>
      <c r="R417" s="12" t="s">
        <v>243</v>
      </c>
      <c r="S417" s="12" t="s">
        <v>243</v>
      </c>
      <c r="T417" s="12" t="s">
        <v>243</v>
      </c>
      <c r="U417" s="12" t="s">
        <v>243</v>
      </c>
      <c r="V417" s="12" t="s">
        <v>243</v>
      </c>
      <c r="W417" s="12" t="s">
        <v>243</v>
      </c>
      <c r="X417" s="12" t="s">
        <v>243</v>
      </c>
      <c r="Y417" s="12" t="s">
        <v>243</v>
      </c>
      <c r="Z417" s="12" t="s">
        <v>243</v>
      </c>
      <c r="AA417" s="12" t="s">
        <v>243</v>
      </c>
      <c r="AB417" s="12" t="s">
        <v>243</v>
      </c>
      <c r="AC417" s="12" t="s">
        <v>243</v>
      </c>
      <c r="AD417" s="12" t="s">
        <v>243</v>
      </c>
      <c r="AE417" s="12" t="s">
        <v>243</v>
      </c>
      <c r="AF417" s="13"/>
      <c r="AG417" s="12"/>
      <c r="AH417" s="12" t="s">
        <v>243</v>
      </c>
      <c r="AI417" s="12" t="s">
        <v>243</v>
      </c>
      <c r="AJ417" s="12" t="s">
        <v>243</v>
      </c>
      <c r="AK417" s="12" t="s">
        <v>243</v>
      </c>
      <c r="AL417" s="12"/>
      <c r="AM417" s="12"/>
      <c r="AN417" s="12" t="s">
        <v>243</v>
      </c>
      <c r="AO417" s="12" t="s">
        <v>243</v>
      </c>
      <c r="AP417" s="12"/>
      <c r="AQ417" s="13"/>
      <c r="AR417" s="12" t="s">
        <v>243</v>
      </c>
      <c r="AS417" s="12" t="s">
        <v>243</v>
      </c>
      <c r="AT417" s="12" t="s">
        <v>243</v>
      </c>
      <c r="AU417" s="12" t="s">
        <v>243</v>
      </c>
      <c r="AV417" s="12" t="s">
        <v>243</v>
      </c>
      <c r="AW417" s="12" t="s">
        <v>243</v>
      </c>
      <c r="AX417" s="12" t="s">
        <v>243</v>
      </c>
      <c r="AY417" s="12" t="s">
        <v>243</v>
      </c>
      <c r="AZ417" s="12"/>
      <c r="BA417" s="12"/>
      <c r="BB417" s="12"/>
      <c r="BC417" s="12"/>
      <c r="BD417" s="12"/>
      <c r="BE417" s="38"/>
    </row>
    <row r="418" spans="1:85" s="13" customFormat="1" ht="16.5" customHeight="1" x14ac:dyDescent="0.25">
      <c r="A418" s="17"/>
      <c r="B418" s="25">
        <v>96070</v>
      </c>
      <c r="C418" s="24" t="s">
        <v>1566</v>
      </c>
      <c r="D418" s="16"/>
      <c r="E418" s="16" t="s">
        <v>243</v>
      </c>
      <c r="F418" s="16" t="s">
        <v>243</v>
      </c>
      <c r="G418" s="16" t="s">
        <v>243</v>
      </c>
      <c r="H418" s="16"/>
      <c r="I418" s="16"/>
      <c r="J418" s="16"/>
      <c r="K418" s="16"/>
      <c r="L418" s="16"/>
      <c r="M418" s="16"/>
      <c r="N418" s="16"/>
      <c r="O418" s="16" t="s">
        <v>243</v>
      </c>
      <c r="P418" s="16" t="s">
        <v>243</v>
      </c>
      <c r="Q418" s="16" t="s">
        <v>243</v>
      </c>
      <c r="R418" s="16" t="s">
        <v>243</v>
      </c>
      <c r="S418" s="16" t="s">
        <v>243</v>
      </c>
      <c r="T418" s="16" t="s">
        <v>243</v>
      </c>
      <c r="U418" s="16" t="s">
        <v>243</v>
      </c>
      <c r="V418" s="16" t="s">
        <v>243</v>
      </c>
      <c r="W418" s="16" t="s">
        <v>243</v>
      </c>
      <c r="X418" s="16" t="s">
        <v>243</v>
      </c>
      <c r="Y418" s="16" t="s">
        <v>243</v>
      </c>
      <c r="Z418" s="16" t="s">
        <v>243</v>
      </c>
      <c r="AA418" s="16" t="s">
        <v>243</v>
      </c>
      <c r="AB418" s="16" t="s">
        <v>243</v>
      </c>
      <c r="AC418" s="16" t="s">
        <v>243</v>
      </c>
      <c r="AD418" s="16" t="s">
        <v>243</v>
      </c>
      <c r="AE418" s="16" t="s">
        <v>243</v>
      </c>
      <c r="AF418" s="17"/>
      <c r="AG418" s="16"/>
      <c r="AH418" s="16" t="s">
        <v>243</v>
      </c>
      <c r="AI418" s="16" t="s">
        <v>243</v>
      </c>
      <c r="AJ418" s="16" t="s">
        <v>243</v>
      </c>
      <c r="AK418" s="16" t="s">
        <v>243</v>
      </c>
      <c r="AL418" s="16"/>
      <c r="AM418" s="16"/>
      <c r="AN418" s="16" t="s">
        <v>243</v>
      </c>
      <c r="AO418" s="16" t="s">
        <v>243</v>
      </c>
      <c r="AP418" s="16"/>
      <c r="AQ418" s="17"/>
      <c r="AR418" s="16" t="s">
        <v>243</v>
      </c>
      <c r="AS418" s="16" t="s">
        <v>243</v>
      </c>
      <c r="AT418" s="16" t="s">
        <v>243</v>
      </c>
      <c r="AU418" s="16" t="s">
        <v>243</v>
      </c>
      <c r="AV418" s="16" t="s">
        <v>243</v>
      </c>
      <c r="AW418" s="16" t="s">
        <v>243</v>
      </c>
      <c r="AX418" s="16" t="s">
        <v>243</v>
      </c>
      <c r="AY418" s="16" t="s">
        <v>243</v>
      </c>
      <c r="AZ418" s="16"/>
      <c r="BA418" s="16"/>
      <c r="BB418" s="16"/>
      <c r="BC418" s="16"/>
      <c r="BD418" s="16"/>
      <c r="BE418" s="14"/>
      <c r="BF418" s="17"/>
      <c r="BG418" s="17"/>
      <c r="BH418" s="17"/>
      <c r="BI418" s="17"/>
      <c r="BJ418" s="17"/>
      <c r="BK418" s="17"/>
      <c r="BL418" s="17"/>
      <c r="BM418" s="17"/>
      <c r="BN418" s="17"/>
      <c r="BO418" s="17"/>
      <c r="BP418" s="17"/>
      <c r="BQ418" s="17"/>
      <c r="BR418" s="17"/>
      <c r="BS418" s="17"/>
      <c r="BT418" s="17"/>
      <c r="BU418" s="17"/>
      <c r="BV418" s="17"/>
      <c r="BW418" s="17"/>
      <c r="BX418" s="17"/>
      <c r="BY418" s="17"/>
      <c r="BZ418" s="17"/>
      <c r="CA418" s="17"/>
      <c r="CB418" s="17"/>
      <c r="CC418" s="17"/>
      <c r="CD418" s="17"/>
      <c r="CE418" s="17"/>
      <c r="CF418" s="17"/>
      <c r="CG418" s="17"/>
    </row>
    <row r="419" spans="1:85" ht="16.5" customHeight="1" x14ac:dyDescent="0.25">
      <c r="B419" s="27">
        <v>96080</v>
      </c>
      <c r="C419" s="28" t="s">
        <v>1567</v>
      </c>
      <c r="D419" s="12"/>
      <c r="E419" s="12" t="s">
        <v>243</v>
      </c>
      <c r="F419" s="12" t="s">
        <v>243</v>
      </c>
      <c r="G419" s="12" t="s">
        <v>243</v>
      </c>
      <c r="H419" s="12"/>
      <c r="I419" s="12"/>
      <c r="J419" s="12"/>
      <c r="K419" s="12"/>
      <c r="L419" s="12"/>
      <c r="M419" s="12"/>
      <c r="N419" s="12"/>
      <c r="O419" s="12" t="s">
        <v>243</v>
      </c>
      <c r="P419" s="12" t="s">
        <v>243</v>
      </c>
      <c r="Q419" s="12" t="s">
        <v>243</v>
      </c>
      <c r="R419" s="12" t="s">
        <v>243</v>
      </c>
      <c r="S419" s="12" t="s">
        <v>243</v>
      </c>
      <c r="T419" s="12" t="s">
        <v>243</v>
      </c>
      <c r="U419" s="12" t="s">
        <v>243</v>
      </c>
      <c r="V419" s="12" t="s">
        <v>243</v>
      </c>
      <c r="W419" s="12" t="s">
        <v>243</v>
      </c>
      <c r="X419" s="12" t="s">
        <v>243</v>
      </c>
      <c r="Y419" s="12" t="s">
        <v>243</v>
      </c>
      <c r="Z419" s="12" t="s">
        <v>243</v>
      </c>
      <c r="AA419" s="12" t="s">
        <v>243</v>
      </c>
      <c r="AB419" s="12" t="s">
        <v>243</v>
      </c>
      <c r="AC419" s="12" t="s">
        <v>243</v>
      </c>
      <c r="AD419" s="12" t="s">
        <v>243</v>
      </c>
      <c r="AE419" s="12" t="s">
        <v>243</v>
      </c>
      <c r="AF419" s="13"/>
      <c r="AG419" s="12"/>
      <c r="AH419" s="12" t="s">
        <v>243</v>
      </c>
      <c r="AI419" s="12" t="s">
        <v>243</v>
      </c>
      <c r="AJ419" s="12" t="s">
        <v>243</v>
      </c>
      <c r="AK419" s="12" t="s">
        <v>243</v>
      </c>
      <c r="AL419" s="12"/>
      <c r="AM419" s="12"/>
      <c r="AN419" s="12" t="s">
        <v>243</v>
      </c>
      <c r="AO419" s="12" t="s">
        <v>243</v>
      </c>
      <c r="AP419" s="12"/>
      <c r="AQ419" s="13"/>
      <c r="AR419" s="12" t="s">
        <v>243</v>
      </c>
      <c r="AS419" s="12" t="s">
        <v>243</v>
      </c>
      <c r="AT419" s="12" t="s">
        <v>243</v>
      </c>
      <c r="AU419" s="12" t="s">
        <v>243</v>
      </c>
      <c r="AV419" s="12" t="s">
        <v>243</v>
      </c>
      <c r="AW419" s="12" t="s">
        <v>243</v>
      </c>
      <c r="AX419" s="12" t="s">
        <v>243</v>
      </c>
      <c r="AY419" s="12" t="s">
        <v>243</v>
      </c>
      <c r="AZ419" s="12"/>
      <c r="BA419" s="12"/>
      <c r="BB419" s="12"/>
      <c r="BC419" s="12"/>
      <c r="BD419" s="12"/>
      <c r="BE419" s="38"/>
    </row>
    <row r="420" spans="1:85" s="13" customFormat="1" ht="16.5" customHeight="1" x14ac:dyDescent="0.25">
      <c r="A420" s="17"/>
      <c r="B420" s="25">
        <v>96090</v>
      </c>
      <c r="C420" s="24" t="s">
        <v>1568</v>
      </c>
      <c r="D420" s="16"/>
      <c r="E420" s="16" t="s">
        <v>243</v>
      </c>
      <c r="F420" s="16" t="s">
        <v>243</v>
      </c>
      <c r="G420" s="16" t="s">
        <v>243</v>
      </c>
      <c r="H420" s="16"/>
      <c r="I420" s="16"/>
      <c r="J420" s="16"/>
      <c r="K420" s="16"/>
      <c r="L420" s="16"/>
      <c r="M420" s="16"/>
      <c r="N420" s="16"/>
      <c r="O420" s="16" t="s">
        <v>243</v>
      </c>
      <c r="P420" s="16" t="s">
        <v>243</v>
      </c>
      <c r="Q420" s="16" t="s">
        <v>243</v>
      </c>
      <c r="R420" s="16" t="s">
        <v>243</v>
      </c>
      <c r="S420" s="16" t="s">
        <v>243</v>
      </c>
      <c r="T420" s="16" t="s">
        <v>243</v>
      </c>
      <c r="U420" s="16" t="s">
        <v>243</v>
      </c>
      <c r="V420" s="16" t="s">
        <v>243</v>
      </c>
      <c r="W420" s="16" t="s">
        <v>243</v>
      </c>
      <c r="X420" s="16" t="s">
        <v>243</v>
      </c>
      <c r="Y420" s="16" t="s">
        <v>243</v>
      </c>
      <c r="Z420" s="16" t="s">
        <v>243</v>
      </c>
      <c r="AA420" s="16" t="s">
        <v>243</v>
      </c>
      <c r="AB420" s="16" t="s">
        <v>243</v>
      </c>
      <c r="AC420" s="16" t="s">
        <v>243</v>
      </c>
      <c r="AD420" s="16" t="s">
        <v>243</v>
      </c>
      <c r="AE420" s="16" t="s">
        <v>243</v>
      </c>
      <c r="AF420" s="17"/>
      <c r="AG420" s="16"/>
      <c r="AH420" s="16" t="s">
        <v>243</v>
      </c>
      <c r="AI420" s="16" t="s">
        <v>243</v>
      </c>
      <c r="AJ420" s="16" t="s">
        <v>243</v>
      </c>
      <c r="AK420" s="16" t="s">
        <v>243</v>
      </c>
      <c r="AL420" s="16"/>
      <c r="AM420" s="16"/>
      <c r="AN420" s="16" t="s">
        <v>243</v>
      </c>
      <c r="AO420" s="16" t="s">
        <v>243</v>
      </c>
      <c r="AP420" s="16"/>
      <c r="AQ420" s="17"/>
      <c r="AR420" s="16" t="s">
        <v>243</v>
      </c>
      <c r="AS420" s="16" t="s">
        <v>243</v>
      </c>
      <c r="AT420" s="16" t="s">
        <v>243</v>
      </c>
      <c r="AU420" s="16" t="s">
        <v>243</v>
      </c>
      <c r="AV420" s="16" t="s">
        <v>243</v>
      </c>
      <c r="AW420" s="16" t="s">
        <v>243</v>
      </c>
      <c r="AX420" s="16" t="s">
        <v>243</v>
      </c>
      <c r="AY420" s="16" t="s">
        <v>243</v>
      </c>
      <c r="AZ420" s="16"/>
      <c r="BA420" s="16"/>
      <c r="BB420" s="16"/>
      <c r="BC420" s="16"/>
      <c r="BD420" s="16"/>
      <c r="BE420" s="14"/>
      <c r="BF420" s="17"/>
      <c r="BG420" s="17"/>
      <c r="BH420" s="17"/>
      <c r="BI420" s="17"/>
      <c r="BJ420" s="17"/>
      <c r="BK420" s="17"/>
      <c r="BL420" s="17"/>
      <c r="BM420" s="17"/>
      <c r="BN420" s="17"/>
      <c r="BO420" s="17"/>
      <c r="BP420" s="17"/>
      <c r="BQ420" s="17"/>
      <c r="BR420" s="17"/>
      <c r="BS420" s="17"/>
      <c r="BT420" s="17"/>
      <c r="BU420" s="17"/>
      <c r="BV420" s="17"/>
      <c r="BW420" s="17"/>
      <c r="BX420" s="17"/>
      <c r="BY420" s="17"/>
      <c r="BZ420" s="17"/>
      <c r="CA420" s="17"/>
      <c r="CB420" s="17"/>
      <c r="CC420" s="17"/>
      <c r="CD420" s="17"/>
      <c r="CE420" s="17"/>
      <c r="CF420" s="17"/>
      <c r="CG420" s="17"/>
    </row>
    <row r="421" spans="1:85" ht="16.5" customHeight="1" x14ac:dyDescent="0.25">
      <c r="B421" s="27">
        <v>96100</v>
      </c>
      <c r="C421" s="28" t="s">
        <v>1569</v>
      </c>
      <c r="D421" s="12"/>
      <c r="E421" s="12" t="s">
        <v>243</v>
      </c>
      <c r="F421" s="12" t="s">
        <v>243</v>
      </c>
      <c r="G421" s="12" t="s">
        <v>243</v>
      </c>
      <c r="H421" s="12"/>
      <c r="I421" s="12"/>
      <c r="J421" s="12"/>
      <c r="K421" s="12"/>
      <c r="L421" s="12"/>
      <c r="M421" s="12"/>
      <c r="N421" s="12"/>
      <c r="O421" s="12" t="s">
        <v>243</v>
      </c>
      <c r="P421" s="12" t="s">
        <v>243</v>
      </c>
      <c r="Q421" s="12" t="s">
        <v>243</v>
      </c>
      <c r="R421" s="12" t="s">
        <v>243</v>
      </c>
      <c r="S421" s="12" t="s">
        <v>243</v>
      </c>
      <c r="T421" s="12" t="s">
        <v>243</v>
      </c>
      <c r="U421" s="12" t="s">
        <v>243</v>
      </c>
      <c r="V421" s="12" t="s">
        <v>243</v>
      </c>
      <c r="W421" s="12" t="s">
        <v>243</v>
      </c>
      <c r="X421" s="12" t="s">
        <v>243</v>
      </c>
      <c r="Y421" s="12" t="s">
        <v>243</v>
      </c>
      <c r="Z421" s="12" t="s">
        <v>243</v>
      </c>
      <c r="AA421" s="12" t="s">
        <v>243</v>
      </c>
      <c r="AB421" s="12" t="s">
        <v>243</v>
      </c>
      <c r="AC421" s="12" t="s">
        <v>243</v>
      </c>
      <c r="AD421" s="12" t="s">
        <v>243</v>
      </c>
      <c r="AE421" s="12" t="s">
        <v>243</v>
      </c>
      <c r="AF421" s="13"/>
      <c r="AG421" s="12"/>
      <c r="AH421" s="12" t="s">
        <v>243</v>
      </c>
      <c r="AI421" s="12" t="s">
        <v>243</v>
      </c>
      <c r="AJ421" s="12" t="s">
        <v>243</v>
      </c>
      <c r="AK421" s="12" t="s">
        <v>243</v>
      </c>
      <c r="AL421" s="12"/>
      <c r="AM421" s="12"/>
      <c r="AN421" s="12" t="s">
        <v>243</v>
      </c>
      <c r="AO421" s="12" t="s">
        <v>243</v>
      </c>
      <c r="AP421" s="12"/>
      <c r="AQ421" s="13"/>
      <c r="AR421" s="12" t="s">
        <v>243</v>
      </c>
      <c r="AS421" s="12" t="s">
        <v>243</v>
      </c>
      <c r="AT421" s="12" t="s">
        <v>243</v>
      </c>
      <c r="AU421" s="12" t="s">
        <v>243</v>
      </c>
      <c r="AV421" s="12" t="s">
        <v>243</v>
      </c>
      <c r="AW421" s="12" t="s">
        <v>243</v>
      </c>
      <c r="AX421" s="12" t="s">
        <v>243</v>
      </c>
      <c r="AY421" s="12" t="s">
        <v>243</v>
      </c>
      <c r="AZ421" s="12"/>
      <c r="BA421" s="12"/>
      <c r="BB421" s="12"/>
      <c r="BC421" s="12"/>
      <c r="BD421" s="12"/>
      <c r="BE421" s="38"/>
    </row>
    <row r="422" spans="1:85" s="13" customFormat="1" ht="16.5" customHeight="1" x14ac:dyDescent="0.25">
      <c r="A422" s="17"/>
      <c r="B422" s="25">
        <v>96110</v>
      </c>
      <c r="C422" s="24" t="s">
        <v>185</v>
      </c>
      <c r="D422" s="16"/>
      <c r="E422" s="16" t="s">
        <v>243</v>
      </c>
      <c r="F422" s="16" t="s">
        <v>243</v>
      </c>
      <c r="G422" s="16" t="s">
        <v>243</v>
      </c>
      <c r="H422" s="16"/>
      <c r="I422" s="16"/>
      <c r="J422" s="16"/>
      <c r="K422" s="16"/>
      <c r="L422" s="16"/>
      <c r="M422" s="16"/>
      <c r="N422" s="16"/>
      <c r="O422" s="16" t="s">
        <v>243</v>
      </c>
      <c r="P422" s="16" t="s">
        <v>243</v>
      </c>
      <c r="Q422" s="16" t="s">
        <v>243</v>
      </c>
      <c r="R422" s="16" t="s">
        <v>243</v>
      </c>
      <c r="S422" s="16" t="s">
        <v>243</v>
      </c>
      <c r="T422" s="16" t="s">
        <v>243</v>
      </c>
      <c r="U422" s="16" t="s">
        <v>243</v>
      </c>
      <c r="V422" s="16" t="s">
        <v>243</v>
      </c>
      <c r="W422" s="16" t="s">
        <v>243</v>
      </c>
      <c r="X422" s="16" t="s">
        <v>243</v>
      </c>
      <c r="Y422" s="16" t="s">
        <v>243</v>
      </c>
      <c r="Z422" s="16" t="s">
        <v>243</v>
      </c>
      <c r="AA422" s="16" t="s">
        <v>243</v>
      </c>
      <c r="AB422" s="16" t="s">
        <v>243</v>
      </c>
      <c r="AC422" s="16" t="s">
        <v>243</v>
      </c>
      <c r="AD422" s="16" t="s">
        <v>243</v>
      </c>
      <c r="AE422" s="16" t="s">
        <v>243</v>
      </c>
      <c r="AF422" s="17"/>
      <c r="AG422" s="16"/>
      <c r="AH422" s="16" t="s">
        <v>243</v>
      </c>
      <c r="AI422" s="16" t="s">
        <v>243</v>
      </c>
      <c r="AJ422" s="16" t="s">
        <v>243</v>
      </c>
      <c r="AK422" s="16" t="s">
        <v>243</v>
      </c>
      <c r="AL422" s="16"/>
      <c r="AM422" s="16"/>
      <c r="AN422" s="16" t="s">
        <v>243</v>
      </c>
      <c r="AO422" s="16" t="s">
        <v>243</v>
      </c>
      <c r="AP422" s="16"/>
      <c r="AQ422" s="17"/>
      <c r="AR422" s="16" t="s">
        <v>243</v>
      </c>
      <c r="AS422" s="16" t="s">
        <v>243</v>
      </c>
      <c r="AT422" s="16" t="s">
        <v>243</v>
      </c>
      <c r="AU422" s="16" t="s">
        <v>243</v>
      </c>
      <c r="AV422" s="16" t="s">
        <v>243</v>
      </c>
      <c r="AW422" s="16" t="s">
        <v>243</v>
      </c>
      <c r="AX422" s="16" t="s">
        <v>243</v>
      </c>
      <c r="AY422" s="16" t="s">
        <v>243</v>
      </c>
      <c r="AZ422" s="16"/>
      <c r="BA422" s="16"/>
      <c r="BB422" s="16"/>
      <c r="BC422" s="16"/>
      <c r="BD422" s="16"/>
      <c r="BE422" s="14"/>
      <c r="BF422" s="17"/>
      <c r="BG422" s="17"/>
      <c r="BH422" s="17"/>
      <c r="BI422" s="17"/>
      <c r="BJ422" s="17"/>
      <c r="BK422" s="17"/>
      <c r="BL422" s="17"/>
      <c r="BM422" s="17"/>
      <c r="BN422" s="17"/>
      <c r="BO422" s="17"/>
      <c r="BP422" s="17"/>
      <c r="BQ422" s="17"/>
      <c r="BR422" s="17"/>
      <c r="BS422" s="17"/>
      <c r="BT422" s="17"/>
      <c r="BU422" s="17"/>
      <c r="BV422" s="17"/>
      <c r="BW422" s="17"/>
      <c r="BX422" s="17"/>
      <c r="BY422" s="17"/>
      <c r="BZ422" s="17"/>
      <c r="CA422" s="17"/>
      <c r="CB422" s="17"/>
      <c r="CC422" s="17"/>
      <c r="CD422" s="17"/>
      <c r="CE422" s="17"/>
      <c r="CF422" s="17"/>
      <c r="CG422" s="17"/>
    </row>
    <row r="423" spans="1:85" ht="16.5" customHeight="1" x14ac:dyDescent="0.25">
      <c r="B423" s="27">
        <v>96120</v>
      </c>
      <c r="C423" s="28" t="s">
        <v>184</v>
      </c>
      <c r="D423" s="12"/>
      <c r="E423" s="12" t="s">
        <v>243</v>
      </c>
      <c r="F423" s="12" t="s">
        <v>243</v>
      </c>
      <c r="G423" s="12" t="s">
        <v>243</v>
      </c>
      <c r="H423" s="12"/>
      <c r="I423" s="12"/>
      <c r="J423" s="12"/>
      <c r="K423" s="12"/>
      <c r="L423" s="12"/>
      <c r="M423" s="12"/>
      <c r="N423" s="12"/>
      <c r="O423" s="12" t="s">
        <v>243</v>
      </c>
      <c r="P423" s="12" t="s">
        <v>243</v>
      </c>
      <c r="Q423" s="12" t="s">
        <v>243</v>
      </c>
      <c r="R423" s="12" t="s">
        <v>243</v>
      </c>
      <c r="S423" s="12" t="s">
        <v>243</v>
      </c>
      <c r="T423" s="12" t="s">
        <v>243</v>
      </c>
      <c r="U423" s="12" t="s">
        <v>243</v>
      </c>
      <c r="V423" s="12" t="s">
        <v>243</v>
      </c>
      <c r="W423" s="12" t="s">
        <v>243</v>
      </c>
      <c r="X423" s="12" t="s">
        <v>243</v>
      </c>
      <c r="Y423" s="12" t="s">
        <v>243</v>
      </c>
      <c r="Z423" s="12" t="s">
        <v>243</v>
      </c>
      <c r="AA423" s="12" t="s">
        <v>243</v>
      </c>
      <c r="AB423" s="12" t="s">
        <v>243</v>
      </c>
      <c r="AC423" s="12" t="s">
        <v>243</v>
      </c>
      <c r="AD423" s="12" t="s">
        <v>243</v>
      </c>
      <c r="AE423" s="12" t="s">
        <v>243</v>
      </c>
      <c r="AF423" s="13"/>
      <c r="AG423" s="12"/>
      <c r="AH423" s="12" t="s">
        <v>243</v>
      </c>
      <c r="AI423" s="12" t="s">
        <v>243</v>
      </c>
      <c r="AJ423" s="12" t="s">
        <v>243</v>
      </c>
      <c r="AK423" s="12" t="s">
        <v>243</v>
      </c>
      <c r="AL423" s="12"/>
      <c r="AM423" s="12"/>
      <c r="AN423" s="12" t="s">
        <v>243</v>
      </c>
      <c r="AO423" s="12" t="s">
        <v>243</v>
      </c>
      <c r="AP423" s="12"/>
      <c r="AQ423" s="13"/>
      <c r="AR423" s="12" t="s">
        <v>243</v>
      </c>
      <c r="AS423" s="12" t="s">
        <v>243</v>
      </c>
      <c r="AT423" s="12" t="s">
        <v>243</v>
      </c>
      <c r="AU423" s="12" t="s">
        <v>243</v>
      </c>
      <c r="AV423" s="12" t="s">
        <v>243</v>
      </c>
      <c r="AW423" s="12" t="s">
        <v>243</v>
      </c>
      <c r="AX423" s="12" t="s">
        <v>243</v>
      </c>
      <c r="AY423" s="12" t="s">
        <v>243</v>
      </c>
      <c r="AZ423" s="12"/>
      <c r="BA423" s="12"/>
      <c r="BB423" s="12"/>
      <c r="BC423" s="12"/>
      <c r="BD423" s="12"/>
      <c r="BE423" s="38"/>
    </row>
    <row r="424" spans="1:85" s="13" customFormat="1" ht="16.5" customHeight="1" x14ac:dyDescent="0.25">
      <c r="A424" s="17"/>
      <c r="B424" s="25">
        <v>96130</v>
      </c>
      <c r="C424" s="24" t="s">
        <v>183</v>
      </c>
      <c r="D424" s="16"/>
      <c r="E424" s="16" t="s">
        <v>243</v>
      </c>
      <c r="F424" s="16" t="s">
        <v>243</v>
      </c>
      <c r="G424" s="16" t="s">
        <v>243</v>
      </c>
      <c r="H424" s="16"/>
      <c r="I424" s="16"/>
      <c r="J424" s="16"/>
      <c r="K424" s="16"/>
      <c r="L424" s="16"/>
      <c r="M424" s="16"/>
      <c r="N424" s="16"/>
      <c r="O424" s="16" t="s">
        <v>243</v>
      </c>
      <c r="P424" s="16" t="s">
        <v>243</v>
      </c>
      <c r="Q424" s="16" t="s">
        <v>243</v>
      </c>
      <c r="R424" s="16" t="s">
        <v>243</v>
      </c>
      <c r="S424" s="16" t="s">
        <v>243</v>
      </c>
      <c r="T424" s="16" t="s">
        <v>243</v>
      </c>
      <c r="U424" s="16" t="s">
        <v>243</v>
      </c>
      <c r="V424" s="16" t="s">
        <v>243</v>
      </c>
      <c r="W424" s="16" t="s">
        <v>243</v>
      </c>
      <c r="X424" s="16" t="s">
        <v>243</v>
      </c>
      <c r="Y424" s="16" t="s">
        <v>243</v>
      </c>
      <c r="Z424" s="16" t="s">
        <v>243</v>
      </c>
      <c r="AA424" s="16" t="s">
        <v>243</v>
      </c>
      <c r="AB424" s="16" t="s">
        <v>243</v>
      </c>
      <c r="AC424" s="16" t="s">
        <v>243</v>
      </c>
      <c r="AD424" s="16" t="s">
        <v>243</v>
      </c>
      <c r="AE424" s="16" t="s">
        <v>243</v>
      </c>
      <c r="AF424" s="17"/>
      <c r="AG424" s="16"/>
      <c r="AH424" s="16" t="s">
        <v>243</v>
      </c>
      <c r="AI424" s="16" t="s">
        <v>243</v>
      </c>
      <c r="AJ424" s="16" t="s">
        <v>243</v>
      </c>
      <c r="AK424" s="16" t="s">
        <v>243</v>
      </c>
      <c r="AL424" s="16"/>
      <c r="AM424" s="16"/>
      <c r="AN424" s="16" t="s">
        <v>243</v>
      </c>
      <c r="AO424" s="16" t="s">
        <v>243</v>
      </c>
      <c r="AP424" s="16"/>
      <c r="AQ424" s="17"/>
      <c r="AR424" s="16" t="s">
        <v>243</v>
      </c>
      <c r="AS424" s="16" t="s">
        <v>243</v>
      </c>
      <c r="AT424" s="16" t="s">
        <v>243</v>
      </c>
      <c r="AU424" s="16" t="s">
        <v>243</v>
      </c>
      <c r="AV424" s="16" t="s">
        <v>243</v>
      </c>
      <c r="AW424" s="16" t="s">
        <v>243</v>
      </c>
      <c r="AX424" s="16" t="s">
        <v>243</v>
      </c>
      <c r="AY424" s="16" t="s">
        <v>243</v>
      </c>
      <c r="AZ424" s="16"/>
      <c r="BA424" s="16"/>
      <c r="BB424" s="16"/>
      <c r="BC424" s="16"/>
      <c r="BD424" s="16"/>
      <c r="BE424" s="14"/>
      <c r="BF424" s="17"/>
      <c r="BG424" s="17"/>
      <c r="BH424" s="17"/>
      <c r="BI424" s="17"/>
      <c r="BJ424" s="17"/>
      <c r="BK424" s="17"/>
      <c r="BL424" s="17"/>
      <c r="BM424" s="17"/>
      <c r="BN424" s="17"/>
      <c r="BO424" s="17"/>
      <c r="BP424" s="17"/>
      <c r="BQ424" s="17"/>
      <c r="BR424" s="17"/>
      <c r="BS424" s="17"/>
      <c r="BT424" s="17"/>
      <c r="BU424" s="17"/>
      <c r="BV424" s="17"/>
      <c r="BW424" s="17"/>
      <c r="BX424" s="17"/>
      <c r="BY424" s="17"/>
      <c r="BZ424" s="17"/>
      <c r="CA424" s="17"/>
      <c r="CB424" s="17"/>
      <c r="CC424" s="17"/>
      <c r="CD424" s="17"/>
      <c r="CE424" s="17"/>
      <c r="CF424" s="17"/>
      <c r="CG424" s="17"/>
    </row>
    <row r="425" spans="1:85" ht="16.5" customHeight="1" x14ac:dyDescent="0.25">
      <c r="B425" s="27">
        <v>97010</v>
      </c>
      <c r="C425" s="28" t="s">
        <v>238</v>
      </c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3"/>
      <c r="AG425" s="12"/>
      <c r="AH425" s="12"/>
      <c r="AI425" s="12"/>
      <c r="AJ425" s="12"/>
      <c r="AK425" s="12"/>
      <c r="AL425" s="12"/>
      <c r="AM425" s="12"/>
      <c r="AN425" s="12"/>
      <c r="AO425" s="12"/>
      <c r="AP425" s="12"/>
      <c r="AQ425" s="13"/>
      <c r="AR425" s="12"/>
      <c r="AS425" s="12"/>
      <c r="AT425" s="12"/>
      <c r="AU425" s="12"/>
      <c r="AV425" s="12"/>
      <c r="AW425" s="12"/>
      <c r="AX425" s="12"/>
      <c r="AY425" s="12"/>
      <c r="AZ425" s="12" t="s">
        <v>243</v>
      </c>
      <c r="BA425" s="12"/>
      <c r="BB425" s="12"/>
      <c r="BC425" s="12"/>
      <c r="BD425" s="12"/>
      <c r="BE425" s="38"/>
    </row>
    <row r="426" spans="1:85" s="13" customFormat="1" ht="16.5" customHeight="1" x14ac:dyDescent="0.25">
      <c r="A426" s="17"/>
      <c r="B426" s="25">
        <v>97020</v>
      </c>
      <c r="C426" s="24" t="s">
        <v>239</v>
      </c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7"/>
      <c r="AG426" s="16"/>
      <c r="AH426" s="16"/>
      <c r="AI426" s="16"/>
      <c r="AJ426" s="16"/>
      <c r="AK426" s="16"/>
      <c r="AL426" s="16"/>
      <c r="AM426" s="16"/>
      <c r="AN426" s="16"/>
      <c r="AO426" s="16"/>
      <c r="AP426" s="16"/>
      <c r="AQ426" s="17"/>
      <c r="AR426" s="16"/>
      <c r="AS426" s="16"/>
      <c r="AT426" s="16"/>
      <c r="AU426" s="16"/>
      <c r="AV426" s="16"/>
      <c r="AW426" s="16"/>
      <c r="AX426" s="16"/>
      <c r="AY426" s="16"/>
      <c r="AZ426" s="16" t="s">
        <v>243</v>
      </c>
      <c r="BA426" s="16"/>
      <c r="BB426" s="16"/>
      <c r="BC426" s="16"/>
      <c r="BD426" s="16"/>
      <c r="BE426" s="14"/>
      <c r="BF426" s="17"/>
      <c r="BG426" s="17"/>
      <c r="BH426" s="17"/>
      <c r="BI426" s="17"/>
      <c r="BJ426" s="17"/>
      <c r="BK426" s="17"/>
      <c r="BL426" s="17"/>
      <c r="BM426" s="17"/>
      <c r="BN426" s="17"/>
      <c r="BO426" s="17"/>
      <c r="BP426" s="17"/>
      <c r="BQ426" s="17"/>
      <c r="BR426" s="17"/>
      <c r="BS426" s="17"/>
      <c r="BT426" s="17"/>
      <c r="BU426" s="17"/>
      <c r="BV426" s="17"/>
      <c r="BW426" s="17"/>
      <c r="BX426" s="17"/>
      <c r="BY426" s="17"/>
      <c r="BZ426" s="17"/>
      <c r="CA426" s="17"/>
      <c r="CB426" s="17"/>
      <c r="CC426" s="17"/>
      <c r="CD426" s="17"/>
      <c r="CE426" s="17"/>
      <c r="CF426" s="17"/>
      <c r="CG426" s="17"/>
    </row>
    <row r="427" spans="1:85" ht="16.5" customHeight="1" x14ac:dyDescent="0.25">
      <c r="B427" s="27">
        <v>97030</v>
      </c>
      <c r="C427" s="28" t="s">
        <v>240</v>
      </c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3"/>
      <c r="AG427" s="12"/>
      <c r="AH427" s="12"/>
      <c r="AI427" s="12"/>
      <c r="AJ427" s="12"/>
      <c r="AK427" s="12"/>
      <c r="AL427" s="12"/>
      <c r="AM427" s="12"/>
      <c r="AN427" s="12"/>
      <c r="AO427" s="12"/>
      <c r="AP427" s="12"/>
      <c r="AQ427" s="13"/>
      <c r="AR427" s="12"/>
      <c r="AS427" s="12"/>
      <c r="AT427" s="12"/>
      <c r="AU427" s="12"/>
      <c r="AV427" s="12"/>
      <c r="AW427" s="12"/>
      <c r="AX427" s="12"/>
      <c r="AY427" s="12"/>
      <c r="AZ427" s="12" t="s">
        <v>243</v>
      </c>
      <c r="BA427" s="12"/>
      <c r="BB427" s="12"/>
      <c r="BC427" s="12"/>
      <c r="BD427" s="12"/>
      <c r="BE427" s="38"/>
    </row>
    <row r="428" spans="1:85" s="13" customFormat="1" ht="16.5" customHeight="1" x14ac:dyDescent="0.25">
      <c r="A428" s="17"/>
      <c r="B428" s="25">
        <v>97040</v>
      </c>
      <c r="C428" s="24" t="s">
        <v>241</v>
      </c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7"/>
      <c r="AG428" s="16"/>
      <c r="AH428" s="16"/>
      <c r="AI428" s="16"/>
      <c r="AJ428" s="16"/>
      <c r="AK428" s="16"/>
      <c r="AL428" s="16"/>
      <c r="AM428" s="16"/>
      <c r="AN428" s="16"/>
      <c r="AO428" s="16"/>
      <c r="AP428" s="16"/>
      <c r="AQ428" s="17"/>
      <c r="AR428" s="16"/>
      <c r="AS428" s="16"/>
      <c r="AT428" s="16"/>
      <c r="AU428" s="16"/>
      <c r="AV428" s="16"/>
      <c r="AW428" s="16"/>
      <c r="AX428" s="16"/>
      <c r="AY428" s="16"/>
      <c r="AZ428" s="16" t="s">
        <v>243</v>
      </c>
      <c r="BA428" s="16"/>
      <c r="BB428" s="16"/>
      <c r="BC428" s="16"/>
      <c r="BD428" s="16"/>
      <c r="BE428" s="14"/>
      <c r="BF428" s="17"/>
      <c r="BG428" s="17"/>
      <c r="BH428" s="17"/>
      <c r="BI428" s="17"/>
      <c r="BJ428" s="17"/>
      <c r="BK428" s="17"/>
      <c r="BL428" s="17"/>
      <c r="BM428" s="17"/>
      <c r="BN428" s="17"/>
      <c r="BO428" s="17"/>
      <c r="BP428" s="17"/>
      <c r="BQ428" s="17"/>
      <c r="BR428" s="17"/>
      <c r="BS428" s="17"/>
      <c r="BT428" s="17"/>
      <c r="BU428" s="17"/>
      <c r="BV428" s="17"/>
      <c r="BW428" s="17"/>
      <c r="BX428" s="17"/>
      <c r="BY428" s="17"/>
      <c r="BZ428" s="17"/>
      <c r="CA428" s="17"/>
      <c r="CB428" s="17"/>
      <c r="CC428" s="17"/>
      <c r="CD428" s="17"/>
      <c r="CE428" s="17"/>
      <c r="CF428" s="17"/>
      <c r="CG428" s="17"/>
    </row>
    <row r="429" spans="1:85" ht="16.5" customHeight="1" x14ac:dyDescent="0.25">
      <c r="B429" s="27">
        <v>98000</v>
      </c>
      <c r="C429" s="28" t="s">
        <v>172</v>
      </c>
      <c r="D429" s="12" t="s">
        <v>243</v>
      </c>
      <c r="E429" s="12"/>
      <c r="F429" s="12"/>
      <c r="G429" s="12"/>
      <c r="H429" s="12"/>
      <c r="I429" s="12"/>
      <c r="J429" s="12"/>
      <c r="K429" s="12"/>
      <c r="L429" s="12"/>
      <c r="M429" s="12"/>
      <c r="N429" s="12" t="s">
        <v>243</v>
      </c>
      <c r="O429" s="12"/>
      <c r="P429" s="12"/>
      <c r="Q429" s="12"/>
      <c r="R429" s="12" t="s">
        <v>243</v>
      </c>
      <c r="S429" s="12" t="s">
        <v>243</v>
      </c>
      <c r="T429" s="12" t="s">
        <v>243</v>
      </c>
      <c r="U429" s="12" t="s">
        <v>243</v>
      </c>
      <c r="V429" s="12" t="s">
        <v>243</v>
      </c>
      <c r="W429" s="12" t="s">
        <v>243</v>
      </c>
      <c r="X429" s="12" t="s">
        <v>243</v>
      </c>
      <c r="Y429" s="12" t="s">
        <v>243</v>
      </c>
      <c r="Z429" s="12" t="s">
        <v>243</v>
      </c>
      <c r="AA429" s="12" t="s">
        <v>243</v>
      </c>
      <c r="AB429" s="12" t="s">
        <v>243</v>
      </c>
      <c r="AC429" s="12" t="s">
        <v>243</v>
      </c>
      <c r="AD429" s="12" t="s">
        <v>243</v>
      </c>
      <c r="AE429" s="12" t="s">
        <v>243</v>
      </c>
      <c r="AF429" s="13"/>
      <c r="AG429" s="12"/>
      <c r="AH429" s="12" t="s">
        <v>243</v>
      </c>
      <c r="AI429" s="12" t="s">
        <v>243</v>
      </c>
      <c r="AJ429" s="12" t="s">
        <v>243</v>
      </c>
      <c r="AK429" s="12" t="s">
        <v>243</v>
      </c>
      <c r="AL429" s="12"/>
      <c r="AM429" s="12"/>
      <c r="AN429" s="12"/>
      <c r="AO429" s="12"/>
      <c r="AP429" s="12"/>
      <c r="AQ429" s="13"/>
      <c r="AR429" s="12"/>
      <c r="AS429" s="12"/>
      <c r="AT429" s="12"/>
      <c r="AU429" s="12"/>
      <c r="AV429" s="12"/>
      <c r="AW429" s="12"/>
      <c r="AX429" s="12"/>
      <c r="AY429" s="12"/>
      <c r="AZ429" s="12"/>
      <c r="BA429" s="12"/>
      <c r="BB429" s="12"/>
      <c r="BC429" s="12"/>
      <c r="BD429" s="12"/>
      <c r="BE429" s="38"/>
    </row>
    <row r="430" spans="1:85" s="13" customFormat="1" ht="16.5" customHeight="1" x14ac:dyDescent="0.25">
      <c r="A430" s="17"/>
      <c r="B430" s="25">
        <v>99000</v>
      </c>
      <c r="C430" s="24" t="s">
        <v>171</v>
      </c>
      <c r="D430" s="16" t="s">
        <v>243</v>
      </c>
      <c r="E430" s="16"/>
      <c r="F430" s="16"/>
      <c r="G430" s="16"/>
      <c r="H430" s="16"/>
      <c r="I430" s="16"/>
      <c r="J430" s="16"/>
      <c r="K430" s="16"/>
      <c r="L430" s="16"/>
      <c r="M430" s="16"/>
      <c r="N430" s="16" t="s">
        <v>243</v>
      </c>
      <c r="O430" s="16"/>
      <c r="P430" s="16"/>
      <c r="Q430" s="16"/>
      <c r="R430" s="16" t="s">
        <v>243</v>
      </c>
      <c r="S430" s="16" t="s">
        <v>243</v>
      </c>
      <c r="T430" s="16" t="s">
        <v>243</v>
      </c>
      <c r="U430" s="16" t="s">
        <v>243</v>
      </c>
      <c r="V430" s="16" t="s">
        <v>243</v>
      </c>
      <c r="W430" s="16" t="s">
        <v>243</v>
      </c>
      <c r="X430" s="16" t="s">
        <v>243</v>
      </c>
      <c r="Y430" s="16" t="s">
        <v>243</v>
      </c>
      <c r="Z430" s="16" t="s">
        <v>243</v>
      </c>
      <c r="AA430" s="16" t="s">
        <v>243</v>
      </c>
      <c r="AB430" s="16" t="s">
        <v>243</v>
      </c>
      <c r="AC430" s="16" t="s">
        <v>243</v>
      </c>
      <c r="AD430" s="16" t="s">
        <v>243</v>
      </c>
      <c r="AE430" s="16" t="s">
        <v>243</v>
      </c>
      <c r="AF430" s="17"/>
      <c r="AG430" s="16"/>
      <c r="AH430" s="16" t="s">
        <v>243</v>
      </c>
      <c r="AI430" s="16" t="s">
        <v>243</v>
      </c>
      <c r="AJ430" s="16" t="s">
        <v>243</v>
      </c>
      <c r="AK430" s="16" t="s">
        <v>243</v>
      </c>
      <c r="AL430" s="16"/>
      <c r="AM430" s="16"/>
      <c r="AN430" s="16"/>
      <c r="AO430" s="16"/>
      <c r="AP430" s="16"/>
      <c r="AQ430" s="17"/>
      <c r="AR430" s="16"/>
      <c r="AS430" s="16"/>
      <c r="AT430" s="16"/>
      <c r="AU430" s="16"/>
      <c r="AV430" s="16"/>
      <c r="AW430" s="16"/>
      <c r="AX430" s="16"/>
      <c r="AY430" s="16"/>
      <c r="AZ430" s="16"/>
      <c r="BA430" s="16"/>
      <c r="BB430" s="16"/>
      <c r="BC430" s="16"/>
      <c r="BD430" s="16"/>
      <c r="BE430" s="14"/>
      <c r="BF430" s="17"/>
      <c r="BG430" s="17"/>
      <c r="BH430" s="17"/>
      <c r="BI430" s="17"/>
      <c r="BJ430" s="17"/>
      <c r="BK430" s="17"/>
      <c r="BL430" s="17"/>
      <c r="BM430" s="17"/>
      <c r="BN430" s="17"/>
      <c r="BO430" s="17"/>
      <c r="BP430" s="17"/>
      <c r="BQ430" s="17"/>
      <c r="BR430" s="17"/>
      <c r="BS430" s="17"/>
      <c r="BT430" s="17"/>
      <c r="BU430" s="17"/>
      <c r="BV430" s="17"/>
      <c r="BW430" s="17"/>
      <c r="BX430" s="17"/>
      <c r="BY430" s="17"/>
      <c r="BZ430" s="17"/>
      <c r="CA430" s="17"/>
      <c r="CB430" s="17"/>
      <c r="CC430" s="17"/>
      <c r="CD430" s="17"/>
      <c r="CE430" s="17"/>
      <c r="CF430" s="17"/>
      <c r="CG430" s="17"/>
    </row>
    <row r="431" spans="1:85" ht="16.5" customHeight="1" thickBot="1" x14ac:dyDescent="0.3">
      <c r="A431" s="24">
        <f>COUNTIF(D446:BE446,"Y")</f>
        <v>0</v>
      </c>
      <c r="B431" s="59" t="s">
        <v>1556</v>
      </c>
      <c r="C431" s="56" t="s">
        <v>862</v>
      </c>
      <c r="D431" s="57"/>
      <c r="E431" s="57"/>
      <c r="F431" s="57"/>
      <c r="G431" s="57"/>
      <c r="H431" s="57"/>
      <c r="I431" s="57"/>
      <c r="J431" s="57"/>
      <c r="K431" s="57"/>
      <c r="L431" s="57"/>
      <c r="M431" s="57"/>
      <c r="N431" s="57"/>
      <c r="O431" s="57"/>
      <c r="P431" s="57"/>
      <c r="Q431" s="57"/>
      <c r="R431" s="57"/>
      <c r="S431" s="57"/>
      <c r="T431" s="57"/>
      <c r="U431" s="57"/>
      <c r="V431" s="57"/>
      <c r="W431" s="57"/>
      <c r="X431" s="57"/>
      <c r="Y431" s="57"/>
      <c r="Z431" s="57"/>
      <c r="AA431" s="57"/>
      <c r="AB431" s="57"/>
      <c r="AC431" s="57"/>
      <c r="AD431" s="57"/>
      <c r="AE431" s="57"/>
      <c r="AF431" s="58"/>
      <c r="AG431" s="57"/>
      <c r="AH431" s="57"/>
      <c r="AI431" s="57"/>
      <c r="AJ431" s="57"/>
      <c r="AK431" s="57"/>
      <c r="AL431" s="57"/>
      <c r="AM431" s="57"/>
      <c r="AN431" s="57"/>
      <c r="AO431" s="57"/>
      <c r="AP431" s="57"/>
      <c r="AQ431" s="58"/>
      <c r="AR431" s="57"/>
      <c r="AS431" s="57"/>
      <c r="AT431" s="57"/>
      <c r="AU431" s="57"/>
      <c r="AV431" s="57"/>
      <c r="AW431" s="57"/>
      <c r="AX431" s="57"/>
      <c r="AY431" s="57"/>
      <c r="AZ431" s="57"/>
      <c r="BA431" s="57"/>
      <c r="BB431" s="57"/>
      <c r="BC431" s="57"/>
      <c r="BD431" s="57" t="s">
        <v>243</v>
      </c>
      <c r="BE431" s="39"/>
    </row>
    <row r="432" spans="1:85" ht="16.5" customHeight="1" x14ac:dyDescent="0.25">
      <c r="AF432" s="17"/>
      <c r="AK432" s="16"/>
      <c r="AQ432" s="17"/>
      <c r="BB432" s="16"/>
      <c r="BC432" s="16"/>
      <c r="BD432" s="16"/>
    </row>
    <row r="433" spans="32:56" ht="16.5" customHeight="1" x14ac:dyDescent="0.25">
      <c r="AF433" s="17"/>
      <c r="AK433" s="16"/>
      <c r="AQ433" s="17"/>
      <c r="BB433" s="16"/>
      <c r="BC433" s="16"/>
      <c r="BD433" s="16"/>
    </row>
    <row r="434" spans="32:56" ht="16.5" customHeight="1" x14ac:dyDescent="0.25">
      <c r="AF434" s="17"/>
      <c r="AK434" s="16"/>
      <c r="AQ434" s="17"/>
      <c r="BB434" s="16"/>
      <c r="BC434" s="16"/>
      <c r="BD434" s="16"/>
    </row>
    <row r="435" spans="32:56" ht="16.5" customHeight="1" x14ac:dyDescent="0.25">
      <c r="AF435" s="17"/>
      <c r="AK435" s="16"/>
      <c r="AQ435" s="17"/>
      <c r="BB435" s="16"/>
      <c r="BC435" s="16"/>
      <c r="BD435" s="16"/>
    </row>
    <row r="436" spans="32:56" ht="16.5" customHeight="1" x14ac:dyDescent="0.25">
      <c r="AF436" s="17"/>
      <c r="AK436" s="16"/>
      <c r="AQ436" s="17"/>
      <c r="BB436" s="16"/>
      <c r="BC436" s="16"/>
      <c r="BD436" s="16"/>
    </row>
    <row r="437" spans="32:56" ht="16.5" customHeight="1" x14ac:dyDescent="0.25">
      <c r="AF437" s="17"/>
      <c r="AK437" s="16"/>
      <c r="AQ437" s="17"/>
      <c r="BB437" s="16"/>
      <c r="BC437" s="16"/>
      <c r="BD437" s="16"/>
    </row>
    <row r="438" spans="32:56" ht="16.5" customHeight="1" x14ac:dyDescent="0.25">
      <c r="AF438" s="17"/>
      <c r="AK438" s="16"/>
      <c r="AQ438" s="17"/>
      <c r="BB438" s="16"/>
      <c r="BC438" s="16"/>
      <c r="BD438" s="16"/>
    </row>
    <row r="439" spans="32:56" ht="16.5" customHeight="1" x14ac:dyDescent="0.25">
      <c r="AF439" s="17"/>
      <c r="AK439" s="16"/>
      <c r="AQ439" s="17"/>
      <c r="BB439" s="16"/>
      <c r="BC439" s="16"/>
      <c r="BD439" s="16"/>
    </row>
    <row r="440" spans="32:56" ht="16.5" customHeight="1" x14ac:dyDescent="0.25">
      <c r="AF440" s="17"/>
      <c r="AK440" s="16"/>
      <c r="AQ440" s="17"/>
      <c r="BB440" s="16"/>
      <c r="BC440" s="16"/>
      <c r="BD440" s="16"/>
    </row>
    <row r="441" spans="32:56" ht="16.5" customHeight="1" x14ac:dyDescent="0.25">
      <c r="AF441" s="17"/>
      <c r="AK441" s="16"/>
      <c r="AQ441" s="17"/>
      <c r="BB441" s="16"/>
      <c r="BC441" s="16"/>
      <c r="BD441" s="16"/>
    </row>
    <row r="442" spans="32:56" ht="16.5" customHeight="1" x14ac:dyDescent="0.25">
      <c r="AF442" s="17"/>
      <c r="AK442" s="16"/>
      <c r="AQ442" s="17"/>
      <c r="BB442" s="16"/>
      <c r="BC442" s="16"/>
      <c r="BD442" s="16"/>
    </row>
    <row r="443" spans="32:56" ht="16.5" customHeight="1" x14ac:dyDescent="0.25">
      <c r="AF443" s="17"/>
      <c r="AK443" s="16"/>
      <c r="AQ443" s="17"/>
      <c r="BB443" s="16"/>
      <c r="BC443" s="16"/>
      <c r="BD443" s="16"/>
    </row>
    <row r="444" spans="32:56" ht="16.5" customHeight="1" x14ac:dyDescent="0.25">
      <c r="AF444" s="17"/>
      <c r="AK444" s="16"/>
      <c r="AQ444" s="17"/>
      <c r="BB444" s="16"/>
      <c r="BC444" s="16"/>
      <c r="BD444" s="16"/>
    </row>
    <row r="445" spans="32:56" ht="16.5" customHeight="1" x14ac:dyDescent="0.25">
      <c r="AF445" s="17"/>
      <c r="AK445" s="16"/>
      <c r="AQ445" s="17"/>
      <c r="BB445" s="16"/>
      <c r="BC445" s="16"/>
      <c r="BD445" s="16"/>
    </row>
    <row r="446" spans="32:56" ht="16.5" customHeight="1" x14ac:dyDescent="0.25">
      <c r="AF446" s="17"/>
      <c r="AK446" s="16"/>
      <c r="AQ446" s="17"/>
      <c r="BB446" s="16"/>
      <c r="BC446" s="16"/>
      <c r="BD446" s="16"/>
    </row>
    <row r="447" spans="32:56" ht="16.5" customHeight="1" x14ac:dyDescent="0.25">
      <c r="AF447" s="17"/>
      <c r="AK447" s="16"/>
      <c r="AQ447" s="17"/>
      <c r="BB447" s="16"/>
      <c r="BC447" s="16"/>
      <c r="BD447" s="16"/>
    </row>
    <row r="448" spans="32:56" ht="16.5" customHeight="1" x14ac:dyDescent="0.25">
      <c r="AF448" s="17"/>
      <c r="AK448" s="16"/>
      <c r="AQ448" s="17"/>
      <c r="BB448" s="16"/>
      <c r="BC448" s="16"/>
      <c r="BD448" s="16"/>
    </row>
    <row r="449" spans="32:56" ht="16.5" customHeight="1" x14ac:dyDescent="0.25">
      <c r="AF449" s="17"/>
      <c r="AK449" s="16"/>
      <c r="AQ449" s="17"/>
      <c r="BB449" s="16"/>
      <c r="BC449" s="16"/>
      <c r="BD449" s="16"/>
    </row>
    <row r="450" spans="32:56" ht="16.5" customHeight="1" x14ac:dyDescent="0.25">
      <c r="AF450" s="17"/>
      <c r="AK450" s="16"/>
      <c r="AQ450" s="17"/>
      <c r="BB450" s="16"/>
      <c r="BC450" s="16"/>
      <c r="BD450" s="16"/>
    </row>
    <row r="451" spans="32:56" ht="16.5" customHeight="1" x14ac:dyDescent="0.25">
      <c r="AF451" s="17"/>
      <c r="AK451" s="16"/>
      <c r="AQ451" s="17"/>
      <c r="BB451" s="16"/>
      <c r="BC451" s="16"/>
      <c r="BD451" s="16"/>
    </row>
    <row r="452" spans="32:56" ht="16.5" customHeight="1" x14ac:dyDescent="0.25">
      <c r="AF452" s="17"/>
      <c r="AK452" s="16"/>
      <c r="AQ452" s="17"/>
      <c r="BB452" s="16"/>
      <c r="BC452" s="16"/>
      <c r="BD452" s="16"/>
    </row>
    <row r="453" spans="32:56" ht="16.5" customHeight="1" x14ac:dyDescent="0.25">
      <c r="AF453" s="17"/>
      <c r="AK453" s="16"/>
      <c r="AQ453" s="17"/>
      <c r="BB453" s="16"/>
      <c r="BC453" s="16"/>
      <c r="BD453" s="16"/>
    </row>
    <row r="454" spans="32:56" ht="16.5" customHeight="1" x14ac:dyDescent="0.25">
      <c r="AF454" s="17"/>
      <c r="AK454" s="16"/>
      <c r="AQ454" s="17"/>
      <c r="BB454" s="16"/>
      <c r="BC454" s="16"/>
      <c r="BD454" s="16"/>
    </row>
    <row r="455" spans="32:56" ht="16.5" customHeight="1" x14ac:dyDescent="0.25">
      <c r="AF455" s="17"/>
      <c r="AK455" s="16"/>
      <c r="AQ455" s="17"/>
      <c r="BB455" s="16"/>
      <c r="BC455" s="16"/>
      <c r="BD455" s="16"/>
    </row>
    <row r="456" spans="32:56" ht="16.5" customHeight="1" x14ac:dyDescent="0.25">
      <c r="AF456" s="17"/>
      <c r="AK456" s="16"/>
      <c r="AQ456" s="17"/>
      <c r="BB456" s="16"/>
      <c r="BC456" s="16"/>
      <c r="BD456" s="16"/>
    </row>
    <row r="457" spans="32:56" ht="16.5" customHeight="1" x14ac:dyDescent="0.25">
      <c r="AF457" s="17"/>
      <c r="AK457" s="16"/>
      <c r="AQ457" s="17"/>
      <c r="BB457" s="16"/>
      <c r="BC457" s="16"/>
      <c r="BD457" s="16"/>
    </row>
    <row r="458" spans="32:56" ht="16.5" customHeight="1" x14ac:dyDescent="0.25">
      <c r="AF458" s="17"/>
      <c r="AK458" s="16"/>
      <c r="AQ458" s="17"/>
      <c r="BB458" s="16"/>
      <c r="BC458" s="16"/>
      <c r="BD458" s="16"/>
    </row>
    <row r="459" spans="32:56" ht="16.5" customHeight="1" x14ac:dyDescent="0.25">
      <c r="AF459" s="17"/>
      <c r="AK459" s="16"/>
      <c r="AQ459" s="17"/>
      <c r="BB459" s="16"/>
      <c r="BC459" s="16"/>
      <c r="BD459" s="16"/>
    </row>
    <row r="460" spans="32:56" ht="16.5" customHeight="1" x14ac:dyDescent="0.25">
      <c r="AF460" s="17"/>
      <c r="AK460" s="16"/>
      <c r="AQ460" s="17"/>
      <c r="BB460" s="16"/>
      <c r="BC460" s="16"/>
      <c r="BD460" s="16"/>
    </row>
    <row r="461" spans="32:56" ht="16.5" customHeight="1" x14ac:dyDescent="0.25">
      <c r="AF461" s="17"/>
      <c r="AK461" s="16"/>
      <c r="AQ461" s="17"/>
      <c r="BB461" s="16"/>
      <c r="BC461" s="16"/>
      <c r="BD461" s="16"/>
    </row>
    <row r="462" spans="32:56" ht="16.5" customHeight="1" x14ac:dyDescent="0.25">
      <c r="AF462" s="17"/>
      <c r="AK462" s="16"/>
      <c r="AQ462" s="17"/>
      <c r="BB462" s="16"/>
      <c r="BC462" s="16"/>
      <c r="BD462" s="16"/>
    </row>
    <row r="463" spans="32:56" ht="16.5" customHeight="1" x14ac:dyDescent="0.25">
      <c r="AF463" s="17"/>
      <c r="AK463" s="16"/>
      <c r="AQ463" s="17"/>
      <c r="BB463" s="16"/>
      <c r="BC463" s="16"/>
      <c r="BD463" s="16"/>
    </row>
    <row r="464" spans="32:56" ht="16.5" customHeight="1" x14ac:dyDescent="0.25">
      <c r="AF464" s="17"/>
      <c r="AK464" s="16"/>
      <c r="AQ464" s="17"/>
      <c r="BB464" s="16"/>
      <c r="BC464" s="16"/>
      <c r="BD464" s="16"/>
    </row>
    <row r="465" spans="32:56" ht="16.5" customHeight="1" x14ac:dyDescent="0.25">
      <c r="AF465" s="17"/>
      <c r="AK465" s="16"/>
      <c r="AQ465" s="17"/>
      <c r="BB465" s="16"/>
      <c r="BC465" s="16"/>
      <c r="BD465" s="16"/>
    </row>
    <row r="466" spans="32:56" ht="16.5" customHeight="1" x14ac:dyDescent="0.25">
      <c r="AF466" s="17"/>
      <c r="AK466" s="16"/>
      <c r="AQ466" s="17"/>
      <c r="BB466" s="16"/>
      <c r="BC466" s="16"/>
      <c r="BD466" s="16"/>
    </row>
    <row r="467" spans="32:56" ht="16.5" customHeight="1" x14ac:dyDescent="0.25">
      <c r="AF467" s="17"/>
      <c r="AK467" s="16"/>
      <c r="AQ467" s="17"/>
      <c r="BB467" s="16"/>
      <c r="BC467" s="16"/>
      <c r="BD467" s="16"/>
    </row>
    <row r="468" spans="32:56" ht="16.5" customHeight="1" x14ac:dyDescent="0.25">
      <c r="AF468" s="17"/>
      <c r="AK468" s="16"/>
      <c r="AQ468" s="17"/>
      <c r="BB468" s="16"/>
      <c r="BC468" s="16"/>
      <c r="BD468" s="16"/>
    </row>
    <row r="469" spans="32:56" ht="16.5" customHeight="1" x14ac:dyDescent="0.25">
      <c r="AF469" s="17"/>
      <c r="AK469" s="16"/>
      <c r="AQ469" s="17"/>
      <c r="BB469" s="16"/>
      <c r="BC469" s="16"/>
      <c r="BD469" s="16"/>
    </row>
    <row r="470" spans="32:56" ht="16.5" customHeight="1" x14ac:dyDescent="0.25">
      <c r="AF470" s="17"/>
      <c r="AK470" s="16"/>
      <c r="AQ470" s="17"/>
      <c r="BB470" s="16"/>
      <c r="BC470" s="16"/>
      <c r="BD470" s="16"/>
    </row>
    <row r="471" spans="32:56" ht="16.5" customHeight="1" x14ac:dyDescent="0.25">
      <c r="AF471" s="17"/>
      <c r="AK471" s="16"/>
      <c r="AQ471" s="17"/>
      <c r="BB471" s="16"/>
      <c r="BC471" s="16"/>
      <c r="BD471" s="16"/>
    </row>
    <row r="472" spans="32:56" ht="16.5" customHeight="1" x14ac:dyDescent="0.25">
      <c r="AF472" s="17"/>
      <c r="AK472" s="16"/>
      <c r="AQ472" s="17"/>
      <c r="BB472" s="16"/>
      <c r="BC472" s="16"/>
      <c r="BD472" s="16"/>
    </row>
    <row r="473" spans="32:56" ht="16.5" customHeight="1" x14ac:dyDescent="0.25">
      <c r="AF473" s="17"/>
      <c r="AK473" s="16"/>
      <c r="AQ473" s="17"/>
      <c r="BB473" s="16"/>
      <c r="BC473" s="16"/>
      <c r="BD473" s="16"/>
    </row>
    <row r="474" spans="32:56" ht="16.5" customHeight="1" x14ac:dyDescent="0.25">
      <c r="AF474" s="17"/>
      <c r="AK474" s="16"/>
      <c r="AQ474" s="17"/>
      <c r="BB474" s="16"/>
      <c r="BC474" s="16"/>
      <c r="BD474" s="16"/>
    </row>
    <row r="475" spans="32:56" ht="16.5" customHeight="1" x14ac:dyDescent="0.25">
      <c r="AF475" s="17"/>
      <c r="AK475" s="16"/>
      <c r="AQ475" s="17"/>
      <c r="BB475" s="16"/>
      <c r="BC475" s="16"/>
      <c r="BD475" s="16"/>
    </row>
    <row r="476" spans="32:56" ht="16.5" customHeight="1" x14ac:dyDescent="0.25">
      <c r="AF476" s="17"/>
      <c r="AK476" s="16"/>
      <c r="AQ476" s="17"/>
      <c r="BB476" s="16"/>
      <c r="BC476" s="16"/>
      <c r="BD476" s="16"/>
    </row>
    <row r="477" spans="32:56" ht="16.5" customHeight="1" x14ac:dyDescent="0.25">
      <c r="AF477" s="17"/>
      <c r="AK477" s="16"/>
      <c r="AQ477" s="17"/>
      <c r="BB477" s="16"/>
      <c r="BC477" s="16"/>
      <c r="BD477" s="16"/>
    </row>
    <row r="478" spans="32:56" ht="16.5" customHeight="1" x14ac:dyDescent="0.25">
      <c r="AF478" s="17"/>
      <c r="AK478" s="16"/>
      <c r="AQ478" s="17"/>
      <c r="BB478" s="16"/>
      <c r="BC478" s="16"/>
      <c r="BD478" s="16"/>
    </row>
    <row r="479" spans="32:56" ht="16.5" customHeight="1" x14ac:dyDescent="0.25">
      <c r="AF479" s="17"/>
      <c r="AK479" s="16"/>
      <c r="AQ479" s="17"/>
      <c r="BB479" s="16"/>
      <c r="BC479" s="16"/>
      <c r="BD479" s="16"/>
    </row>
    <row r="480" spans="32:56" ht="16.5" customHeight="1" x14ac:dyDescent="0.25">
      <c r="AF480" s="17"/>
      <c r="AK480" s="16"/>
      <c r="AQ480" s="17"/>
      <c r="BB480" s="16"/>
      <c r="BC480" s="16"/>
      <c r="BD480" s="16"/>
    </row>
    <row r="481" spans="32:56" ht="16.5" customHeight="1" x14ac:dyDescent="0.25">
      <c r="AF481" s="17"/>
      <c r="AK481" s="16"/>
      <c r="AQ481" s="17"/>
      <c r="BB481" s="16"/>
      <c r="BC481" s="16"/>
      <c r="BD481" s="16"/>
    </row>
    <row r="482" spans="32:56" ht="16.5" customHeight="1" x14ac:dyDescent="0.25">
      <c r="AF482" s="17"/>
      <c r="AK482" s="16"/>
      <c r="AQ482" s="17"/>
      <c r="BB482" s="16"/>
      <c r="BC482" s="16"/>
      <c r="BD482" s="16"/>
    </row>
    <row r="483" spans="32:56" ht="16.5" customHeight="1" x14ac:dyDescent="0.25">
      <c r="AF483" s="17"/>
      <c r="AK483" s="16"/>
      <c r="AQ483" s="17"/>
      <c r="BB483" s="16"/>
      <c r="BC483" s="16"/>
      <c r="BD483" s="16"/>
    </row>
    <row r="484" spans="32:56" ht="16.5" customHeight="1" x14ac:dyDescent="0.25">
      <c r="AF484" s="17"/>
      <c r="AK484" s="16"/>
      <c r="AQ484" s="17"/>
      <c r="BB484" s="16"/>
      <c r="BC484" s="16"/>
      <c r="BD484" s="16"/>
    </row>
    <row r="485" spans="32:56" ht="16.5" customHeight="1" x14ac:dyDescent="0.25">
      <c r="AF485" s="17"/>
      <c r="AK485" s="16"/>
      <c r="AQ485" s="17"/>
      <c r="BB485" s="16"/>
      <c r="BC485" s="16"/>
      <c r="BD485" s="16"/>
    </row>
    <row r="486" spans="32:56" ht="16.5" customHeight="1" x14ac:dyDescent="0.25">
      <c r="AF486" s="17"/>
      <c r="AK486" s="16"/>
      <c r="AQ486" s="17"/>
      <c r="BB486" s="16"/>
      <c r="BC486" s="16"/>
      <c r="BD486" s="16"/>
    </row>
    <row r="487" spans="32:56" ht="16.5" customHeight="1" x14ac:dyDescent="0.25">
      <c r="AF487" s="17"/>
      <c r="AK487" s="16"/>
      <c r="AQ487" s="17"/>
      <c r="BB487" s="16"/>
      <c r="BC487" s="16"/>
      <c r="BD487" s="16"/>
    </row>
    <row r="488" spans="32:56" ht="16.5" customHeight="1" x14ac:dyDescent="0.25">
      <c r="AF488" s="17"/>
      <c r="AK488" s="16"/>
      <c r="AQ488" s="17"/>
      <c r="BB488" s="16"/>
      <c r="BC488" s="16"/>
      <c r="BD488" s="16"/>
    </row>
    <row r="489" spans="32:56" ht="16.5" customHeight="1" x14ac:dyDescent="0.25">
      <c r="AF489" s="17"/>
      <c r="AK489" s="16"/>
      <c r="AQ489" s="17"/>
      <c r="BB489" s="16"/>
      <c r="BC489" s="16"/>
      <c r="BD489" s="16"/>
    </row>
    <row r="490" spans="32:56" ht="16.5" customHeight="1" x14ac:dyDescent="0.25">
      <c r="AF490" s="17"/>
      <c r="AK490" s="16"/>
      <c r="AQ490" s="17"/>
      <c r="BB490" s="16"/>
      <c r="BC490" s="16"/>
      <c r="BD490" s="16"/>
    </row>
    <row r="491" spans="32:56" ht="16.5" customHeight="1" x14ac:dyDescent="0.25">
      <c r="AF491" s="17"/>
      <c r="AK491" s="16"/>
      <c r="AQ491" s="17"/>
      <c r="BB491" s="16"/>
      <c r="BC491" s="16"/>
      <c r="BD491" s="16"/>
    </row>
    <row r="492" spans="32:56" ht="16.5" customHeight="1" x14ac:dyDescent="0.25">
      <c r="AF492" s="17"/>
      <c r="AK492" s="16"/>
      <c r="AQ492" s="17"/>
      <c r="BB492" s="16"/>
      <c r="BC492" s="16"/>
      <c r="BD492" s="16"/>
    </row>
    <row r="493" spans="32:56" ht="16.5" customHeight="1" x14ac:dyDescent="0.25">
      <c r="AF493" s="17"/>
      <c r="AK493" s="16"/>
      <c r="AQ493" s="17"/>
      <c r="BB493" s="16"/>
      <c r="BC493" s="16"/>
      <c r="BD493" s="16"/>
    </row>
    <row r="494" spans="32:56" ht="16.5" customHeight="1" x14ac:dyDescent="0.25">
      <c r="AF494" s="17"/>
      <c r="AK494" s="16"/>
      <c r="AQ494" s="17"/>
      <c r="BB494" s="16"/>
      <c r="BC494" s="16"/>
      <c r="BD494" s="16"/>
    </row>
    <row r="495" spans="32:56" ht="16.5" customHeight="1" x14ac:dyDescent="0.25">
      <c r="AF495" s="17"/>
      <c r="AK495" s="16"/>
      <c r="AQ495" s="17"/>
      <c r="BB495" s="16"/>
      <c r="BC495" s="16"/>
      <c r="BD495" s="16"/>
    </row>
    <row r="496" spans="32:56" ht="16.5" customHeight="1" x14ac:dyDescent="0.25">
      <c r="AF496" s="17"/>
      <c r="AK496" s="16"/>
      <c r="AQ496" s="17"/>
      <c r="BB496" s="16"/>
      <c r="BC496" s="16"/>
      <c r="BD496" s="16"/>
    </row>
    <row r="497" spans="32:56" ht="16.5" customHeight="1" x14ac:dyDescent="0.25">
      <c r="AF497" s="17"/>
      <c r="AK497" s="16"/>
      <c r="AQ497" s="17"/>
      <c r="BB497" s="16"/>
      <c r="BC497" s="16"/>
      <c r="BD497" s="16"/>
    </row>
    <row r="498" spans="32:56" ht="16.5" customHeight="1" x14ac:dyDescent="0.25">
      <c r="AF498" s="17"/>
      <c r="AK498" s="16"/>
      <c r="AQ498" s="17"/>
      <c r="BB498" s="16"/>
      <c r="BC498" s="16"/>
      <c r="BD498" s="16"/>
    </row>
    <row r="499" spans="32:56" x14ac:dyDescent="0.25">
      <c r="AF499" s="17"/>
      <c r="AK499" s="16"/>
      <c r="AQ499" s="17"/>
      <c r="BB499" s="16"/>
      <c r="BC499" s="16"/>
      <c r="BD499" s="16"/>
    </row>
    <row r="500" spans="32:56" x14ac:dyDescent="0.25">
      <c r="AF500" s="17"/>
      <c r="AK500" s="16"/>
      <c r="AQ500" s="17"/>
      <c r="BB500" s="16"/>
      <c r="BC500" s="16"/>
      <c r="BD500" s="16"/>
    </row>
    <row r="501" spans="32:56" x14ac:dyDescent="0.25">
      <c r="AF501" s="17"/>
      <c r="AK501" s="16"/>
      <c r="AQ501" s="17"/>
      <c r="BB501" s="16"/>
      <c r="BC501" s="16"/>
      <c r="BD501" s="16"/>
    </row>
    <row r="502" spans="32:56" x14ac:dyDescent="0.25">
      <c r="AF502" s="17"/>
      <c r="AK502" s="16"/>
      <c r="AO502" s="17"/>
      <c r="AQ502" s="17"/>
      <c r="BB502" s="16"/>
      <c r="BC502" s="16"/>
      <c r="BD502" s="16"/>
    </row>
    <row r="503" spans="32:56" x14ac:dyDescent="0.25">
      <c r="AF503" s="17"/>
      <c r="AK503" s="16"/>
      <c r="AO503" s="17"/>
      <c r="AQ503" s="17"/>
      <c r="BB503" s="16"/>
      <c r="BC503" s="16"/>
      <c r="BD503" s="16"/>
    </row>
    <row r="504" spans="32:56" x14ac:dyDescent="0.25">
      <c r="AF504" s="17"/>
      <c r="AK504" s="16"/>
      <c r="AO504" s="17"/>
      <c r="AQ504" s="17"/>
      <c r="BB504" s="16"/>
      <c r="BC504" s="16"/>
      <c r="BD504" s="16"/>
    </row>
    <row r="505" spans="32:56" x14ac:dyDescent="0.25">
      <c r="AF505" s="17"/>
      <c r="AK505" s="16"/>
      <c r="AO505" s="17"/>
      <c r="AQ505" s="17"/>
      <c r="BB505" s="16"/>
      <c r="BC505" s="16"/>
      <c r="BD505" s="16"/>
    </row>
    <row r="506" spans="32:56" x14ac:dyDescent="0.25">
      <c r="AF506" s="17"/>
      <c r="AK506" s="16"/>
      <c r="AO506" s="17"/>
      <c r="AQ506" s="17"/>
      <c r="BB506" s="16"/>
      <c r="BC506" s="16"/>
      <c r="BD506" s="16"/>
    </row>
    <row r="507" spans="32:56" x14ac:dyDescent="0.25">
      <c r="AF507" s="17"/>
      <c r="AK507" s="16"/>
      <c r="AO507" s="17"/>
      <c r="AQ507" s="17"/>
      <c r="BB507" s="16"/>
      <c r="BC507" s="16"/>
      <c r="BD507" s="16"/>
    </row>
    <row r="508" spans="32:56" x14ac:dyDescent="0.25">
      <c r="AF508" s="17"/>
      <c r="AK508" s="16"/>
      <c r="AO508" s="17"/>
      <c r="AQ508" s="17"/>
      <c r="BB508" s="16"/>
      <c r="BC508" s="16"/>
      <c r="BD508" s="16"/>
    </row>
    <row r="509" spans="32:56" x14ac:dyDescent="0.25">
      <c r="AF509" s="17"/>
      <c r="AK509" s="16"/>
      <c r="AO509" s="17"/>
      <c r="AQ509" s="17"/>
      <c r="BB509" s="16"/>
      <c r="BC509" s="16"/>
      <c r="BD509" s="16"/>
    </row>
    <row r="510" spans="32:56" x14ac:dyDescent="0.25">
      <c r="AF510" s="17"/>
      <c r="AK510" s="16"/>
      <c r="AO510" s="17"/>
      <c r="AQ510" s="17"/>
      <c r="BB510" s="16"/>
      <c r="BC510" s="16"/>
      <c r="BD510" s="16"/>
    </row>
    <row r="511" spans="32:56" x14ac:dyDescent="0.25">
      <c r="AF511" s="17"/>
      <c r="AK511" s="16"/>
      <c r="AO511" s="17"/>
      <c r="AQ511" s="17"/>
      <c r="BB511" s="16"/>
      <c r="BC511" s="16"/>
      <c r="BD511" s="16"/>
    </row>
    <row r="512" spans="32:56" x14ac:dyDescent="0.25">
      <c r="AF512" s="17"/>
      <c r="AK512" s="16"/>
      <c r="AO512" s="17"/>
      <c r="AQ512" s="17"/>
      <c r="BB512" s="16"/>
      <c r="BC512" s="16"/>
      <c r="BD512" s="16"/>
    </row>
    <row r="513" spans="1:85" x14ac:dyDescent="0.25">
      <c r="AF513" s="17"/>
      <c r="AK513" s="16"/>
      <c r="AO513" s="17"/>
      <c r="AQ513" s="17"/>
      <c r="BB513" s="16"/>
      <c r="BC513" s="16"/>
      <c r="BD513" s="16"/>
    </row>
    <row r="514" spans="1:85" x14ac:dyDescent="0.25">
      <c r="AF514" s="17"/>
      <c r="AK514" s="16"/>
      <c r="AO514" s="17"/>
      <c r="AQ514" s="17"/>
      <c r="BB514" s="16"/>
      <c r="BC514" s="16"/>
      <c r="BD514" s="16"/>
    </row>
    <row r="515" spans="1:85" x14ac:dyDescent="0.25">
      <c r="AF515" s="17"/>
      <c r="AK515" s="16"/>
      <c r="AO515" s="17"/>
      <c r="AQ515" s="17"/>
      <c r="BB515" s="16"/>
      <c r="BC515" s="16"/>
      <c r="BD515" s="16"/>
    </row>
    <row r="516" spans="1:85" x14ac:dyDescent="0.25">
      <c r="AF516" s="17"/>
      <c r="AK516" s="16"/>
      <c r="AO516" s="17"/>
      <c r="AQ516" s="17"/>
      <c r="BB516" s="16"/>
      <c r="BC516" s="16"/>
      <c r="BD516" s="16"/>
    </row>
    <row r="517" spans="1:85" s="13" customFormat="1" x14ac:dyDescent="0.25">
      <c r="A517" s="17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G517" s="12"/>
      <c r="AH517" s="12"/>
      <c r="AI517" s="12"/>
      <c r="AJ517" s="12"/>
      <c r="AK517" s="12"/>
      <c r="AL517" s="12"/>
      <c r="AM517" s="12"/>
      <c r="AN517" s="12"/>
      <c r="AP517" s="12"/>
      <c r="AR517" s="12"/>
      <c r="AS517" s="12"/>
      <c r="AT517" s="12"/>
      <c r="AU517" s="12"/>
      <c r="AV517" s="12"/>
      <c r="AW517" s="12"/>
      <c r="AX517" s="12"/>
      <c r="AY517" s="12"/>
      <c r="AZ517" s="12"/>
      <c r="BA517" s="12"/>
      <c r="BB517" s="12"/>
      <c r="BC517" s="12"/>
      <c r="BD517" s="12"/>
      <c r="BF517" s="17"/>
      <c r="BG517" s="17"/>
      <c r="BH517" s="17"/>
      <c r="BI517" s="17"/>
      <c r="BJ517" s="17"/>
      <c r="BK517" s="17"/>
      <c r="BL517" s="17"/>
      <c r="BM517" s="17"/>
      <c r="BN517" s="17"/>
      <c r="BO517" s="17"/>
      <c r="BP517" s="17"/>
      <c r="BQ517" s="17"/>
      <c r="BR517" s="17"/>
      <c r="BS517" s="17"/>
      <c r="BT517" s="17"/>
      <c r="BU517" s="17"/>
      <c r="BV517" s="17"/>
      <c r="BW517" s="17"/>
      <c r="BX517" s="17"/>
      <c r="BY517" s="17"/>
      <c r="BZ517" s="17"/>
      <c r="CA517" s="17"/>
      <c r="CB517" s="17"/>
      <c r="CC517" s="17"/>
      <c r="CD517" s="17"/>
      <c r="CE517" s="17"/>
      <c r="CF517" s="17"/>
      <c r="CG517" s="17"/>
    </row>
    <row r="518" spans="1:85" s="13" customFormat="1" x14ac:dyDescent="0.25">
      <c r="A518" s="17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G518" s="12"/>
      <c r="AH518" s="12"/>
      <c r="AI518" s="12"/>
      <c r="AJ518" s="12"/>
      <c r="AK518" s="12"/>
      <c r="AL518" s="12"/>
      <c r="AM518" s="12"/>
      <c r="AN518" s="12"/>
      <c r="AP518" s="12"/>
      <c r="AR518" s="12"/>
      <c r="AS518" s="12"/>
      <c r="AT518" s="12"/>
      <c r="AU518" s="12"/>
      <c r="AV518" s="12"/>
      <c r="AW518" s="12"/>
      <c r="AX518" s="12"/>
      <c r="AY518" s="12"/>
      <c r="AZ518" s="12"/>
      <c r="BA518" s="12"/>
      <c r="BB518" s="12"/>
      <c r="BC518" s="12"/>
      <c r="BD518" s="12"/>
      <c r="BF518" s="17"/>
      <c r="BG518" s="17"/>
      <c r="BH518" s="17"/>
      <c r="BI518" s="17"/>
      <c r="BJ518" s="17"/>
      <c r="BK518" s="17"/>
      <c r="BL518" s="17"/>
      <c r="BM518" s="17"/>
      <c r="BN518" s="17"/>
      <c r="BO518" s="17"/>
      <c r="BP518" s="17"/>
      <c r="BQ518" s="17"/>
      <c r="BR518" s="17"/>
      <c r="BS518" s="17"/>
      <c r="BT518" s="17"/>
      <c r="BU518" s="17"/>
      <c r="BV518" s="17"/>
      <c r="BW518" s="17"/>
      <c r="BX518" s="17"/>
      <c r="BY518" s="17"/>
      <c r="BZ518" s="17"/>
      <c r="CA518" s="17"/>
      <c r="CB518" s="17"/>
      <c r="CC518" s="17"/>
      <c r="CD518" s="17"/>
      <c r="CE518" s="17"/>
      <c r="CF518" s="17"/>
      <c r="CG518" s="17"/>
    </row>
    <row r="519" spans="1:85" s="13" customFormat="1" x14ac:dyDescent="0.25">
      <c r="A519" s="17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G519" s="12"/>
      <c r="AH519" s="12"/>
      <c r="AI519" s="12"/>
      <c r="AJ519" s="12"/>
      <c r="AK519" s="12"/>
      <c r="AL519" s="12"/>
      <c r="AM519" s="12"/>
      <c r="AN519" s="12"/>
      <c r="AP519" s="12"/>
      <c r="AR519" s="12"/>
      <c r="AS519" s="12"/>
      <c r="AT519" s="12"/>
      <c r="AU519" s="12"/>
      <c r="AV519" s="12"/>
      <c r="AW519" s="12"/>
      <c r="AX519" s="12"/>
      <c r="AY519" s="12"/>
      <c r="AZ519" s="12"/>
      <c r="BA519" s="12"/>
      <c r="BB519" s="12"/>
      <c r="BC519" s="12"/>
      <c r="BD519" s="12"/>
      <c r="BF519" s="17"/>
      <c r="BG519" s="17"/>
      <c r="BH519" s="17"/>
      <c r="BI519" s="17"/>
      <c r="BJ519" s="17"/>
      <c r="BK519" s="17"/>
      <c r="BL519" s="17"/>
      <c r="BM519" s="17"/>
      <c r="BN519" s="17"/>
      <c r="BO519" s="17"/>
      <c r="BP519" s="17"/>
      <c r="BQ519" s="17"/>
      <c r="BR519" s="17"/>
      <c r="BS519" s="17"/>
      <c r="BT519" s="17"/>
      <c r="BU519" s="17"/>
      <c r="BV519" s="17"/>
      <c r="BW519" s="17"/>
      <c r="BX519" s="17"/>
      <c r="BY519" s="17"/>
      <c r="BZ519" s="17"/>
      <c r="CA519" s="17"/>
      <c r="CB519" s="17"/>
      <c r="CC519" s="17"/>
      <c r="CD519" s="17"/>
      <c r="CE519" s="17"/>
      <c r="CF519" s="17"/>
      <c r="CG519" s="17"/>
    </row>
    <row r="520" spans="1:85" s="13" customFormat="1" x14ac:dyDescent="0.25">
      <c r="A520" s="17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G520" s="12"/>
      <c r="AH520" s="12"/>
      <c r="AI520" s="12"/>
      <c r="AJ520" s="12"/>
      <c r="AK520" s="12"/>
      <c r="AL520" s="12"/>
      <c r="AM520" s="12"/>
      <c r="AN520" s="12"/>
      <c r="AP520" s="12"/>
      <c r="AR520" s="12"/>
      <c r="AS520" s="12"/>
      <c r="AT520" s="12"/>
      <c r="AU520" s="12"/>
      <c r="AV520" s="12"/>
      <c r="AW520" s="12"/>
      <c r="AX520" s="12"/>
      <c r="AY520" s="12"/>
      <c r="AZ520" s="12"/>
      <c r="BA520" s="12"/>
      <c r="BB520" s="12"/>
      <c r="BC520" s="12"/>
      <c r="BD520" s="12"/>
      <c r="BF520" s="17"/>
      <c r="BG520" s="17"/>
      <c r="BH520" s="17"/>
      <c r="BI520" s="17"/>
      <c r="BJ520" s="17"/>
      <c r="BK520" s="17"/>
      <c r="BL520" s="17"/>
      <c r="BM520" s="17"/>
      <c r="BN520" s="17"/>
      <c r="BO520" s="17"/>
      <c r="BP520" s="17"/>
      <c r="BQ520" s="17"/>
      <c r="BR520" s="17"/>
      <c r="BS520" s="17"/>
      <c r="BT520" s="17"/>
      <c r="BU520" s="17"/>
      <c r="BV520" s="17"/>
      <c r="BW520" s="17"/>
      <c r="BX520" s="17"/>
      <c r="BY520" s="17"/>
      <c r="BZ520" s="17"/>
      <c r="CA520" s="17"/>
      <c r="CB520" s="17"/>
      <c r="CC520" s="17"/>
      <c r="CD520" s="17"/>
      <c r="CE520" s="17"/>
      <c r="CF520" s="17"/>
      <c r="CG520" s="17"/>
    </row>
    <row r="521" spans="1:85" s="13" customFormat="1" x14ac:dyDescent="0.25">
      <c r="A521" s="17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G521" s="12"/>
      <c r="AH521" s="12"/>
      <c r="AI521" s="12"/>
      <c r="AJ521" s="12"/>
      <c r="AK521" s="12"/>
      <c r="AL521" s="12"/>
      <c r="AM521" s="12"/>
      <c r="AN521" s="12"/>
      <c r="AP521" s="12"/>
      <c r="AR521" s="12"/>
      <c r="AS521" s="12"/>
      <c r="AT521" s="12"/>
      <c r="AU521" s="12"/>
      <c r="AV521" s="12"/>
      <c r="AW521" s="12"/>
      <c r="AX521" s="12"/>
      <c r="AY521" s="12"/>
      <c r="AZ521" s="12"/>
      <c r="BA521" s="12"/>
      <c r="BB521" s="12"/>
      <c r="BC521" s="12"/>
      <c r="BD521" s="12"/>
      <c r="BF521" s="17"/>
      <c r="BG521" s="17"/>
      <c r="BH521" s="17"/>
      <c r="BI521" s="17"/>
      <c r="BJ521" s="17"/>
      <c r="BK521" s="17"/>
      <c r="BL521" s="17"/>
      <c r="BM521" s="17"/>
      <c r="BN521" s="17"/>
      <c r="BO521" s="17"/>
      <c r="BP521" s="17"/>
      <c r="BQ521" s="17"/>
      <c r="BR521" s="17"/>
      <c r="BS521" s="17"/>
      <c r="BT521" s="17"/>
      <c r="BU521" s="17"/>
      <c r="BV521" s="17"/>
      <c r="BW521" s="17"/>
      <c r="BX521" s="17"/>
      <c r="BY521" s="17"/>
      <c r="BZ521" s="17"/>
      <c r="CA521" s="17"/>
      <c r="CB521" s="17"/>
      <c r="CC521" s="17"/>
      <c r="CD521" s="17"/>
      <c r="CE521" s="17"/>
      <c r="CF521" s="17"/>
      <c r="CG521" s="17"/>
    </row>
    <row r="522" spans="1:85" s="13" customFormat="1" x14ac:dyDescent="0.25">
      <c r="A522" s="17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G522" s="12"/>
      <c r="AH522" s="12"/>
      <c r="AI522" s="12"/>
      <c r="AJ522" s="12"/>
      <c r="AK522" s="12"/>
      <c r="AL522" s="12"/>
      <c r="AM522" s="12"/>
      <c r="AN522" s="12"/>
      <c r="AP522" s="12"/>
      <c r="AR522" s="12"/>
      <c r="AS522" s="12"/>
      <c r="AT522" s="12"/>
      <c r="AU522" s="12"/>
      <c r="AV522" s="12"/>
      <c r="AW522" s="12"/>
      <c r="AX522" s="12"/>
      <c r="AY522" s="12"/>
      <c r="AZ522" s="12"/>
      <c r="BA522" s="12"/>
      <c r="BB522" s="12"/>
      <c r="BC522" s="12"/>
      <c r="BD522" s="12"/>
      <c r="BF522" s="17"/>
      <c r="BG522" s="17"/>
      <c r="BH522" s="17"/>
      <c r="BI522" s="17"/>
      <c r="BJ522" s="17"/>
      <c r="BK522" s="17"/>
      <c r="BL522" s="17"/>
      <c r="BM522" s="17"/>
      <c r="BN522" s="17"/>
      <c r="BO522" s="17"/>
      <c r="BP522" s="17"/>
      <c r="BQ522" s="17"/>
      <c r="BR522" s="17"/>
      <c r="BS522" s="17"/>
      <c r="BT522" s="17"/>
      <c r="BU522" s="17"/>
      <c r="BV522" s="17"/>
      <c r="BW522" s="17"/>
      <c r="BX522" s="17"/>
      <c r="BY522" s="17"/>
      <c r="BZ522" s="17"/>
      <c r="CA522" s="17"/>
      <c r="CB522" s="17"/>
      <c r="CC522" s="17"/>
      <c r="CD522" s="17"/>
      <c r="CE522" s="17"/>
      <c r="CF522" s="17"/>
      <c r="CG522" s="17"/>
    </row>
    <row r="523" spans="1:85" s="13" customFormat="1" x14ac:dyDescent="0.25">
      <c r="A523" s="17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G523" s="12"/>
      <c r="AH523" s="12"/>
      <c r="AI523" s="12"/>
      <c r="AJ523" s="12"/>
      <c r="AK523" s="12"/>
      <c r="AL523" s="12"/>
      <c r="AM523" s="12"/>
      <c r="AN523" s="12"/>
      <c r="AP523" s="12"/>
      <c r="AR523" s="12"/>
      <c r="AS523" s="12"/>
      <c r="AT523" s="12"/>
      <c r="AU523" s="12"/>
      <c r="AV523" s="12"/>
      <c r="AW523" s="12"/>
      <c r="AX523" s="12"/>
      <c r="AY523" s="12"/>
      <c r="AZ523" s="12"/>
      <c r="BA523" s="12"/>
      <c r="BB523" s="12"/>
      <c r="BC523" s="12"/>
      <c r="BD523" s="12"/>
      <c r="BF523" s="17"/>
      <c r="BG523" s="17"/>
      <c r="BH523" s="17"/>
      <c r="BI523" s="17"/>
      <c r="BJ523" s="17"/>
      <c r="BK523" s="17"/>
      <c r="BL523" s="17"/>
      <c r="BM523" s="17"/>
      <c r="BN523" s="17"/>
      <c r="BO523" s="17"/>
      <c r="BP523" s="17"/>
      <c r="BQ523" s="17"/>
      <c r="BR523" s="17"/>
      <c r="BS523" s="17"/>
      <c r="BT523" s="17"/>
      <c r="BU523" s="17"/>
      <c r="BV523" s="17"/>
      <c r="BW523" s="17"/>
      <c r="BX523" s="17"/>
      <c r="BY523" s="17"/>
      <c r="BZ523" s="17"/>
      <c r="CA523" s="17"/>
      <c r="CB523" s="17"/>
      <c r="CC523" s="17"/>
      <c r="CD523" s="17"/>
      <c r="CE523" s="17"/>
      <c r="CF523" s="17"/>
      <c r="CG523" s="17"/>
    </row>
    <row r="524" spans="1:85" s="13" customFormat="1" x14ac:dyDescent="0.25">
      <c r="A524" s="17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G524" s="12"/>
      <c r="AH524" s="12"/>
      <c r="AI524" s="12"/>
      <c r="AJ524" s="12"/>
      <c r="AK524" s="12"/>
      <c r="AL524" s="12"/>
      <c r="AM524" s="12"/>
      <c r="AN524" s="12"/>
      <c r="AP524" s="12"/>
      <c r="AR524" s="12"/>
      <c r="AS524" s="12"/>
      <c r="AT524" s="12"/>
      <c r="AU524" s="12"/>
      <c r="AV524" s="12"/>
      <c r="AW524" s="12"/>
      <c r="AX524" s="12"/>
      <c r="AY524" s="12"/>
      <c r="AZ524" s="12"/>
      <c r="BA524" s="12"/>
      <c r="BB524" s="12"/>
      <c r="BC524" s="12"/>
      <c r="BD524" s="12"/>
      <c r="BF524" s="17"/>
      <c r="BG524" s="17"/>
      <c r="BH524" s="17"/>
      <c r="BI524" s="17"/>
      <c r="BJ524" s="17"/>
      <c r="BK524" s="17"/>
      <c r="BL524" s="17"/>
      <c r="BM524" s="17"/>
      <c r="BN524" s="17"/>
      <c r="BO524" s="17"/>
      <c r="BP524" s="17"/>
      <c r="BQ524" s="17"/>
      <c r="BR524" s="17"/>
      <c r="BS524" s="17"/>
      <c r="BT524" s="17"/>
      <c r="BU524" s="17"/>
      <c r="BV524" s="17"/>
      <c r="BW524" s="17"/>
      <c r="BX524" s="17"/>
      <c r="BY524" s="17"/>
      <c r="BZ524" s="17"/>
      <c r="CA524" s="17"/>
      <c r="CB524" s="17"/>
      <c r="CC524" s="17"/>
      <c r="CD524" s="17"/>
      <c r="CE524" s="17"/>
      <c r="CF524" s="17"/>
      <c r="CG524" s="17"/>
    </row>
    <row r="525" spans="1:85" s="13" customFormat="1" x14ac:dyDescent="0.25">
      <c r="A525" s="17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G525" s="12"/>
      <c r="AH525" s="12"/>
      <c r="AI525" s="12"/>
      <c r="AJ525" s="12"/>
      <c r="AK525" s="12"/>
      <c r="AL525" s="12"/>
      <c r="AM525" s="12"/>
      <c r="AN525" s="12"/>
      <c r="AP525" s="12"/>
      <c r="AR525" s="12"/>
      <c r="AS525" s="12"/>
      <c r="AT525" s="12"/>
      <c r="AU525" s="12"/>
      <c r="AV525" s="12"/>
      <c r="AW525" s="12"/>
      <c r="AX525" s="12"/>
      <c r="AY525" s="12"/>
      <c r="AZ525" s="12"/>
      <c r="BA525" s="12"/>
      <c r="BB525" s="12"/>
      <c r="BC525" s="12"/>
      <c r="BD525" s="12"/>
      <c r="BF525" s="17"/>
      <c r="BG525" s="17"/>
      <c r="BH525" s="17"/>
      <c r="BI525" s="17"/>
      <c r="BJ525" s="17"/>
      <c r="BK525" s="17"/>
      <c r="BL525" s="17"/>
      <c r="BM525" s="17"/>
      <c r="BN525" s="17"/>
      <c r="BO525" s="17"/>
      <c r="BP525" s="17"/>
      <c r="BQ525" s="17"/>
      <c r="BR525" s="17"/>
      <c r="BS525" s="17"/>
      <c r="BT525" s="17"/>
      <c r="BU525" s="17"/>
      <c r="BV525" s="17"/>
      <c r="BW525" s="17"/>
      <c r="BX525" s="17"/>
      <c r="BY525" s="17"/>
      <c r="BZ525" s="17"/>
      <c r="CA525" s="17"/>
      <c r="CB525" s="17"/>
      <c r="CC525" s="17"/>
      <c r="CD525" s="17"/>
      <c r="CE525" s="17"/>
      <c r="CF525" s="17"/>
      <c r="CG525" s="17"/>
    </row>
    <row r="526" spans="1:85" s="13" customFormat="1" x14ac:dyDescent="0.25">
      <c r="A526" s="17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G526" s="12"/>
      <c r="AH526" s="12"/>
      <c r="AI526" s="12"/>
      <c r="AJ526" s="12"/>
      <c r="AK526" s="12"/>
      <c r="AL526" s="12"/>
      <c r="AM526" s="12"/>
      <c r="AN526" s="12"/>
      <c r="AP526" s="12"/>
      <c r="AR526" s="12"/>
      <c r="AS526" s="12"/>
      <c r="AT526" s="12"/>
      <c r="AU526" s="12"/>
      <c r="AV526" s="12"/>
      <c r="AW526" s="12"/>
      <c r="AX526" s="12"/>
      <c r="AY526" s="12"/>
      <c r="AZ526" s="12"/>
      <c r="BA526" s="12"/>
      <c r="BB526" s="12"/>
      <c r="BC526" s="12"/>
      <c r="BD526" s="12"/>
      <c r="BF526" s="17"/>
      <c r="BG526" s="17"/>
      <c r="BH526" s="17"/>
      <c r="BI526" s="17"/>
      <c r="BJ526" s="17"/>
      <c r="BK526" s="17"/>
      <c r="BL526" s="17"/>
      <c r="BM526" s="17"/>
      <c r="BN526" s="17"/>
      <c r="BO526" s="17"/>
      <c r="BP526" s="17"/>
      <c r="BQ526" s="17"/>
      <c r="BR526" s="17"/>
      <c r="BS526" s="17"/>
      <c r="BT526" s="17"/>
      <c r="BU526" s="17"/>
      <c r="BV526" s="17"/>
      <c r="BW526" s="17"/>
      <c r="BX526" s="17"/>
      <c r="BY526" s="17"/>
      <c r="BZ526" s="17"/>
      <c r="CA526" s="17"/>
      <c r="CB526" s="17"/>
      <c r="CC526" s="17"/>
      <c r="CD526" s="17"/>
      <c r="CE526" s="17"/>
      <c r="CF526" s="17"/>
      <c r="CG526" s="17"/>
    </row>
    <row r="527" spans="1:85" s="13" customFormat="1" x14ac:dyDescent="0.25">
      <c r="A527" s="17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G527" s="12"/>
      <c r="AH527" s="12"/>
      <c r="AI527" s="12"/>
      <c r="AJ527" s="12"/>
      <c r="AK527" s="12"/>
      <c r="AL527" s="12"/>
      <c r="AM527" s="12"/>
      <c r="AN527" s="12"/>
      <c r="AP527" s="12"/>
      <c r="AR527" s="12"/>
      <c r="AS527" s="12"/>
      <c r="AT527" s="12"/>
      <c r="AU527" s="12"/>
      <c r="AV527" s="12"/>
      <c r="AW527" s="12"/>
      <c r="AX527" s="12"/>
      <c r="AY527" s="12"/>
      <c r="AZ527" s="12"/>
      <c r="BA527" s="12"/>
      <c r="BB527" s="12"/>
      <c r="BC527" s="12"/>
      <c r="BD527" s="12"/>
      <c r="BF527" s="17"/>
      <c r="BG527" s="17"/>
      <c r="BH527" s="17"/>
      <c r="BI527" s="17"/>
      <c r="BJ527" s="17"/>
      <c r="BK527" s="17"/>
      <c r="BL527" s="17"/>
      <c r="BM527" s="17"/>
      <c r="BN527" s="17"/>
      <c r="BO527" s="17"/>
      <c r="BP527" s="17"/>
      <c r="BQ527" s="17"/>
      <c r="BR527" s="17"/>
      <c r="BS527" s="17"/>
      <c r="BT527" s="17"/>
      <c r="BU527" s="17"/>
      <c r="BV527" s="17"/>
      <c r="BW527" s="17"/>
      <c r="BX527" s="17"/>
      <c r="BY527" s="17"/>
      <c r="BZ527" s="17"/>
      <c r="CA527" s="17"/>
      <c r="CB527" s="17"/>
      <c r="CC527" s="17"/>
      <c r="CD527" s="17"/>
      <c r="CE527" s="17"/>
      <c r="CF527" s="17"/>
      <c r="CG527" s="17"/>
    </row>
    <row r="528" spans="1:85" s="13" customFormat="1" x14ac:dyDescent="0.25">
      <c r="A528" s="17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G528" s="12"/>
      <c r="AH528" s="12"/>
      <c r="AI528" s="12"/>
      <c r="AJ528" s="12"/>
      <c r="AK528" s="12"/>
      <c r="AL528" s="12"/>
      <c r="AM528" s="12"/>
      <c r="AN528" s="12"/>
      <c r="AP528" s="12"/>
      <c r="AR528" s="12"/>
      <c r="AS528" s="12"/>
      <c r="AT528" s="12"/>
      <c r="AU528" s="12"/>
      <c r="AV528" s="12"/>
      <c r="AW528" s="12"/>
      <c r="AX528" s="12"/>
      <c r="AY528" s="12"/>
      <c r="AZ528" s="12"/>
      <c r="BA528" s="12"/>
      <c r="BB528" s="12"/>
      <c r="BC528" s="12"/>
      <c r="BD528" s="12"/>
      <c r="BF528" s="17"/>
      <c r="BG528" s="17"/>
      <c r="BH528" s="17"/>
      <c r="BI528" s="17"/>
      <c r="BJ528" s="17"/>
      <c r="BK528" s="17"/>
      <c r="BL528" s="17"/>
      <c r="BM528" s="17"/>
      <c r="BN528" s="17"/>
      <c r="BO528" s="17"/>
      <c r="BP528" s="17"/>
      <c r="BQ528" s="17"/>
      <c r="BR528" s="17"/>
      <c r="BS528" s="17"/>
      <c r="BT528" s="17"/>
      <c r="BU528" s="17"/>
      <c r="BV528" s="17"/>
      <c r="BW528" s="17"/>
      <c r="BX528" s="17"/>
      <c r="BY528" s="17"/>
      <c r="BZ528" s="17"/>
      <c r="CA528" s="17"/>
      <c r="CB528" s="17"/>
      <c r="CC528" s="17"/>
      <c r="CD528" s="17"/>
      <c r="CE528" s="17"/>
      <c r="CF528" s="17"/>
      <c r="CG528" s="17"/>
    </row>
    <row r="529" spans="1:85" s="13" customFormat="1" x14ac:dyDescent="0.25">
      <c r="A529" s="17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G529" s="12"/>
      <c r="AH529" s="12"/>
      <c r="AI529" s="12"/>
      <c r="AJ529" s="12"/>
      <c r="AK529" s="12"/>
      <c r="AL529" s="12"/>
      <c r="AM529" s="12"/>
      <c r="AN529" s="12"/>
      <c r="AP529" s="12"/>
      <c r="AR529" s="12"/>
      <c r="AS529" s="12"/>
      <c r="AT529" s="12"/>
      <c r="AU529" s="12"/>
      <c r="AV529" s="12"/>
      <c r="AW529" s="12"/>
      <c r="AX529" s="12"/>
      <c r="AY529" s="12"/>
      <c r="AZ529" s="12"/>
      <c r="BA529" s="12"/>
      <c r="BB529" s="12"/>
      <c r="BC529" s="12"/>
      <c r="BD529" s="12"/>
      <c r="BF529" s="17"/>
      <c r="BG529" s="17"/>
      <c r="BH529" s="17"/>
      <c r="BI529" s="17"/>
      <c r="BJ529" s="17"/>
      <c r="BK529" s="17"/>
      <c r="BL529" s="17"/>
      <c r="BM529" s="17"/>
      <c r="BN529" s="17"/>
      <c r="BO529" s="17"/>
      <c r="BP529" s="17"/>
      <c r="BQ529" s="17"/>
      <c r="BR529" s="17"/>
      <c r="BS529" s="17"/>
      <c r="BT529" s="17"/>
      <c r="BU529" s="17"/>
      <c r="BV529" s="17"/>
      <c r="BW529" s="17"/>
      <c r="BX529" s="17"/>
      <c r="BY529" s="17"/>
      <c r="BZ529" s="17"/>
      <c r="CA529" s="17"/>
      <c r="CB529" s="17"/>
      <c r="CC529" s="17"/>
      <c r="CD529" s="17"/>
      <c r="CE529" s="17"/>
      <c r="CF529" s="17"/>
      <c r="CG529" s="17"/>
    </row>
    <row r="530" spans="1:85" s="13" customFormat="1" x14ac:dyDescent="0.25">
      <c r="A530" s="17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G530" s="12"/>
      <c r="AH530" s="12"/>
      <c r="AI530" s="12"/>
      <c r="AJ530" s="12"/>
      <c r="AK530" s="12"/>
      <c r="AL530" s="12"/>
      <c r="AM530" s="12"/>
      <c r="AN530" s="12"/>
      <c r="AP530" s="12"/>
      <c r="AR530" s="12"/>
      <c r="AS530" s="12"/>
      <c r="AT530" s="12"/>
      <c r="AU530" s="12"/>
      <c r="AV530" s="12"/>
      <c r="AW530" s="12"/>
      <c r="AX530" s="12"/>
      <c r="AY530" s="12"/>
      <c r="AZ530" s="12"/>
      <c r="BA530" s="12"/>
      <c r="BB530" s="12"/>
      <c r="BC530" s="12"/>
      <c r="BD530" s="12"/>
      <c r="BF530" s="17"/>
      <c r="BG530" s="17"/>
      <c r="BH530" s="17"/>
      <c r="BI530" s="17"/>
      <c r="BJ530" s="17"/>
      <c r="BK530" s="17"/>
      <c r="BL530" s="17"/>
      <c r="BM530" s="17"/>
      <c r="BN530" s="17"/>
      <c r="BO530" s="17"/>
      <c r="BP530" s="17"/>
      <c r="BQ530" s="17"/>
      <c r="BR530" s="17"/>
      <c r="BS530" s="17"/>
      <c r="BT530" s="17"/>
      <c r="BU530" s="17"/>
      <c r="BV530" s="17"/>
      <c r="BW530" s="17"/>
      <c r="BX530" s="17"/>
      <c r="BY530" s="17"/>
      <c r="BZ530" s="17"/>
      <c r="CA530" s="17"/>
      <c r="CB530" s="17"/>
      <c r="CC530" s="17"/>
      <c r="CD530" s="17"/>
      <c r="CE530" s="17"/>
      <c r="CF530" s="17"/>
      <c r="CG530" s="17"/>
    </row>
    <row r="531" spans="1:85" s="13" customFormat="1" x14ac:dyDescent="0.25">
      <c r="A531" s="17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G531" s="12"/>
      <c r="AH531" s="12"/>
      <c r="AI531" s="12"/>
      <c r="AJ531" s="12"/>
      <c r="AK531" s="12"/>
      <c r="AL531" s="12"/>
      <c r="AM531" s="12"/>
      <c r="AN531" s="12"/>
      <c r="AP531" s="12"/>
      <c r="AR531" s="12"/>
      <c r="AS531" s="12"/>
      <c r="AT531" s="12"/>
      <c r="AU531" s="12"/>
      <c r="AV531" s="12"/>
      <c r="AW531" s="12"/>
      <c r="AX531" s="12"/>
      <c r="AY531" s="12"/>
      <c r="AZ531" s="12"/>
      <c r="BA531" s="12"/>
      <c r="BB531" s="12"/>
      <c r="BC531" s="12"/>
      <c r="BD531" s="12"/>
      <c r="BF531" s="17"/>
      <c r="BG531" s="17"/>
      <c r="BH531" s="17"/>
      <c r="BI531" s="17"/>
      <c r="BJ531" s="17"/>
      <c r="BK531" s="17"/>
      <c r="BL531" s="17"/>
      <c r="BM531" s="17"/>
      <c r="BN531" s="17"/>
      <c r="BO531" s="17"/>
      <c r="BP531" s="17"/>
      <c r="BQ531" s="17"/>
      <c r="BR531" s="17"/>
      <c r="BS531" s="17"/>
      <c r="BT531" s="17"/>
      <c r="BU531" s="17"/>
      <c r="BV531" s="17"/>
      <c r="BW531" s="17"/>
      <c r="BX531" s="17"/>
      <c r="BY531" s="17"/>
      <c r="BZ531" s="17"/>
      <c r="CA531" s="17"/>
      <c r="CB531" s="17"/>
      <c r="CC531" s="17"/>
      <c r="CD531" s="17"/>
      <c r="CE531" s="17"/>
      <c r="CF531" s="17"/>
      <c r="CG531" s="17"/>
    </row>
    <row r="532" spans="1:85" s="13" customFormat="1" x14ac:dyDescent="0.25">
      <c r="A532" s="17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G532" s="12"/>
      <c r="AH532" s="12"/>
      <c r="AI532" s="12"/>
      <c r="AJ532" s="12"/>
      <c r="AK532" s="12"/>
      <c r="AL532" s="12"/>
      <c r="AM532" s="12"/>
      <c r="AN532" s="12"/>
      <c r="AP532" s="12"/>
      <c r="AR532" s="12"/>
      <c r="AS532" s="12"/>
      <c r="AT532" s="12"/>
      <c r="AU532" s="12"/>
      <c r="AV532" s="12"/>
      <c r="AW532" s="12"/>
      <c r="AX532" s="12"/>
      <c r="AY532" s="12"/>
      <c r="AZ532" s="12"/>
      <c r="BA532" s="12"/>
      <c r="BB532" s="12"/>
      <c r="BC532" s="12"/>
      <c r="BD532" s="12"/>
      <c r="BF532" s="17"/>
      <c r="BG532" s="17"/>
      <c r="BH532" s="17"/>
      <c r="BI532" s="17"/>
      <c r="BJ532" s="17"/>
      <c r="BK532" s="17"/>
      <c r="BL532" s="17"/>
      <c r="BM532" s="17"/>
      <c r="BN532" s="17"/>
      <c r="BO532" s="17"/>
      <c r="BP532" s="17"/>
      <c r="BQ532" s="17"/>
      <c r="BR532" s="17"/>
      <c r="BS532" s="17"/>
      <c r="BT532" s="17"/>
      <c r="BU532" s="17"/>
      <c r="BV532" s="17"/>
      <c r="BW532" s="17"/>
      <c r="BX532" s="17"/>
      <c r="BY532" s="17"/>
      <c r="BZ532" s="17"/>
      <c r="CA532" s="17"/>
      <c r="CB532" s="17"/>
      <c r="CC532" s="17"/>
      <c r="CD532" s="17"/>
      <c r="CE532" s="17"/>
      <c r="CF532" s="17"/>
      <c r="CG532" s="17"/>
    </row>
    <row r="533" spans="1:85" s="13" customFormat="1" x14ac:dyDescent="0.25">
      <c r="A533" s="17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G533" s="12"/>
      <c r="AH533" s="12"/>
      <c r="AI533" s="12"/>
      <c r="AJ533" s="12"/>
      <c r="AK533" s="12"/>
      <c r="AL533" s="12"/>
      <c r="AM533" s="12"/>
      <c r="AN533" s="12"/>
      <c r="AP533" s="12"/>
      <c r="AR533" s="12"/>
      <c r="AS533" s="12"/>
      <c r="AT533" s="12"/>
      <c r="AU533" s="12"/>
      <c r="AV533" s="12"/>
      <c r="AW533" s="12"/>
      <c r="AX533" s="12"/>
      <c r="AY533" s="12"/>
      <c r="AZ533" s="12"/>
      <c r="BA533" s="12"/>
      <c r="BB533" s="12"/>
      <c r="BC533" s="12"/>
      <c r="BD533" s="12"/>
      <c r="BF533" s="17"/>
      <c r="BG533" s="17"/>
      <c r="BH533" s="17"/>
      <c r="BI533" s="17"/>
      <c r="BJ533" s="17"/>
      <c r="BK533" s="17"/>
      <c r="BL533" s="17"/>
      <c r="BM533" s="17"/>
      <c r="BN533" s="17"/>
      <c r="BO533" s="17"/>
      <c r="BP533" s="17"/>
      <c r="BQ533" s="17"/>
      <c r="BR533" s="17"/>
      <c r="BS533" s="17"/>
      <c r="BT533" s="17"/>
      <c r="BU533" s="17"/>
      <c r="BV533" s="17"/>
      <c r="BW533" s="17"/>
      <c r="BX533" s="17"/>
      <c r="BY533" s="17"/>
      <c r="BZ533" s="17"/>
      <c r="CA533" s="17"/>
      <c r="CB533" s="17"/>
      <c r="CC533" s="17"/>
      <c r="CD533" s="17"/>
      <c r="CE533" s="17"/>
      <c r="CF533" s="17"/>
      <c r="CG533" s="17"/>
    </row>
    <row r="534" spans="1:85" s="13" customFormat="1" x14ac:dyDescent="0.25">
      <c r="A534" s="17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G534" s="12"/>
      <c r="AH534" s="12"/>
      <c r="AI534" s="12"/>
      <c r="AJ534" s="12"/>
      <c r="AK534" s="12"/>
      <c r="AL534" s="12"/>
      <c r="AM534" s="12"/>
      <c r="AN534" s="12"/>
      <c r="AP534" s="12"/>
      <c r="AR534" s="12"/>
      <c r="AS534" s="12"/>
      <c r="AT534" s="12"/>
      <c r="AU534" s="12"/>
      <c r="AV534" s="12"/>
      <c r="AW534" s="12"/>
      <c r="AX534" s="12"/>
      <c r="AY534" s="12"/>
      <c r="AZ534" s="12"/>
      <c r="BA534" s="12"/>
      <c r="BB534" s="12"/>
      <c r="BC534" s="12"/>
      <c r="BD534" s="12"/>
      <c r="BF534" s="17"/>
      <c r="BG534" s="17"/>
      <c r="BH534" s="17"/>
      <c r="BI534" s="17"/>
      <c r="BJ534" s="17"/>
      <c r="BK534" s="17"/>
      <c r="BL534" s="17"/>
      <c r="BM534" s="17"/>
      <c r="BN534" s="17"/>
      <c r="BO534" s="17"/>
      <c r="BP534" s="17"/>
      <c r="BQ534" s="17"/>
      <c r="BR534" s="17"/>
      <c r="BS534" s="17"/>
      <c r="BT534" s="17"/>
      <c r="BU534" s="17"/>
      <c r="BV534" s="17"/>
      <c r="BW534" s="17"/>
      <c r="BX534" s="17"/>
      <c r="BY534" s="17"/>
      <c r="BZ534" s="17"/>
      <c r="CA534" s="17"/>
      <c r="CB534" s="17"/>
      <c r="CC534" s="17"/>
      <c r="CD534" s="17"/>
      <c r="CE534" s="17"/>
      <c r="CF534" s="17"/>
      <c r="CG534" s="17"/>
    </row>
    <row r="535" spans="1:85" s="13" customFormat="1" x14ac:dyDescent="0.25">
      <c r="A535" s="17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G535" s="12"/>
      <c r="AH535" s="12"/>
      <c r="AI535" s="12"/>
      <c r="AJ535" s="12"/>
      <c r="AK535" s="12"/>
      <c r="AL535" s="12"/>
      <c r="AM535" s="12"/>
      <c r="AN535" s="12"/>
      <c r="AP535" s="12"/>
      <c r="AR535" s="12"/>
      <c r="AS535" s="12"/>
      <c r="AT535" s="12"/>
      <c r="AU535" s="12"/>
      <c r="AV535" s="12"/>
      <c r="AW535" s="12"/>
      <c r="AX535" s="12"/>
      <c r="AY535" s="12"/>
      <c r="AZ535" s="12"/>
      <c r="BA535" s="12"/>
      <c r="BB535" s="12"/>
      <c r="BC535" s="12"/>
      <c r="BD535" s="12"/>
      <c r="BF535" s="17"/>
      <c r="BG535" s="17"/>
      <c r="BH535" s="17"/>
      <c r="BI535" s="17"/>
      <c r="BJ535" s="17"/>
      <c r="BK535" s="17"/>
      <c r="BL535" s="17"/>
      <c r="BM535" s="17"/>
      <c r="BN535" s="17"/>
      <c r="BO535" s="17"/>
      <c r="BP535" s="17"/>
      <c r="BQ535" s="17"/>
      <c r="BR535" s="17"/>
      <c r="BS535" s="17"/>
      <c r="BT535" s="17"/>
      <c r="BU535" s="17"/>
      <c r="BV535" s="17"/>
      <c r="BW535" s="17"/>
      <c r="BX535" s="17"/>
      <c r="BY535" s="17"/>
      <c r="BZ535" s="17"/>
      <c r="CA535" s="17"/>
      <c r="CB535" s="17"/>
      <c r="CC535" s="17"/>
      <c r="CD535" s="17"/>
      <c r="CE535" s="17"/>
      <c r="CF535" s="17"/>
      <c r="CG535" s="17"/>
    </row>
    <row r="536" spans="1:85" s="13" customFormat="1" x14ac:dyDescent="0.25">
      <c r="A536" s="17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G536" s="12"/>
      <c r="AH536" s="12"/>
      <c r="AI536" s="12"/>
      <c r="AJ536" s="12"/>
      <c r="AK536" s="12"/>
      <c r="AL536" s="12"/>
      <c r="AM536" s="12"/>
      <c r="AN536" s="12"/>
      <c r="AP536" s="12"/>
      <c r="AR536" s="12"/>
      <c r="AS536" s="12"/>
      <c r="AT536" s="12"/>
      <c r="AU536" s="12"/>
      <c r="AV536" s="12"/>
      <c r="AW536" s="12"/>
      <c r="AX536" s="12"/>
      <c r="AY536" s="12"/>
      <c r="AZ536" s="12"/>
      <c r="BA536" s="12"/>
      <c r="BB536" s="12"/>
      <c r="BC536" s="12"/>
      <c r="BD536" s="12"/>
      <c r="BF536" s="17"/>
      <c r="BG536" s="17"/>
      <c r="BH536" s="17"/>
      <c r="BI536" s="17"/>
      <c r="BJ536" s="17"/>
      <c r="BK536" s="17"/>
      <c r="BL536" s="17"/>
      <c r="BM536" s="17"/>
      <c r="BN536" s="17"/>
      <c r="BO536" s="17"/>
      <c r="BP536" s="17"/>
      <c r="BQ536" s="17"/>
      <c r="BR536" s="17"/>
      <c r="BS536" s="17"/>
      <c r="BT536" s="17"/>
      <c r="BU536" s="17"/>
      <c r="BV536" s="17"/>
      <c r="BW536" s="17"/>
      <c r="BX536" s="17"/>
      <c r="BY536" s="17"/>
      <c r="BZ536" s="17"/>
      <c r="CA536" s="17"/>
      <c r="CB536" s="17"/>
      <c r="CC536" s="17"/>
      <c r="CD536" s="17"/>
      <c r="CE536" s="17"/>
      <c r="CF536" s="17"/>
      <c r="CG536" s="17"/>
    </row>
    <row r="537" spans="1:85" s="13" customFormat="1" x14ac:dyDescent="0.25">
      <c r="A537" s="17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G537" s="12"/>
      <c r="AH537" s="12"/>
      <c r="AI537" s="12"/>
      <c r="AJ537" s="12"/>
      <c r="AK537" s="12"/>
      <c r="AL537" s="12"/>
      <c r="AM537" s="12"/>
      <c r="AN537" s="12"/>
      <c r="AP537" s="12"/>
      <c r="AR537" s="12"/>
      <c r="AS537" s="12"/>
      <c r="AT537" s="12"/>
      <c r="AU537" s="12"/>
      <c r="AV537" s="12"/>
      <c r="AW537" s="12"/>
      <c r="AX537" s="12"/>
      <c r="AY537" s="12"/>
      <c r="AZ537" s="12"/>
      <c r="BA537" s="12"/>
      <c r="BB537" s="12"/>
      <c r="BC537" s="12"/>
      <c r="BD537" s="12"/>
      <c r="BF537" s="17"/>
      <c r="BG537" s="17"/>
      <c r="BH537" s="17"/>
      <c r="BI537" s="17"/>
      <c r="BJ537" s="17"/>
      <c r="BK537" s="17"/>
      <c r="BL537" s="17"/>
      <c r="BM537" s="17"/>
      <c r="BN537" s="17"/>
      <c r="BO537" s="17"/>
      <c r="BP537" s="17"/>
      <c r="BQ537" s="17"/>
      <c r="BR537" s="17"/>
      <c r="BS537" s="17"/>
      <c r="BT537" s="17"/>
      <c r="BU537" s="17"/>
      <c r="BV537" s="17"/>
      <c r="BW537" s="17"/>
      <c r="BX537" s="17"/>
      <c r="BY537" s="17"/>
      <c r="BZ537" s="17"/>
      <c r="CA537" s="17"/>
      <c r="CB537" s="17"/>
      <c r="CC537" s="17"/>
      <c r="CD537" s="17"/>
      <c r="CE537" s="17"/>
      <c r="CF537" s="17"/>
      <c r="CG537" s="17"/>
    </row>
    <row r="538" spans="1:85" s="13" customFormat="1" x14ac:dyDescent="0.25">
      <c r="A538" s="17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G538" s="12"/>
      <c r="AH538" s="12"/>
      <c r="AI538" s="12"/>
      <c r="AJ538" s="12"/>
      <c r="AK538" s="12"/>
      <c r="AL538" s="12"/>
      <c r="AM538" s="12"/>
      <c r="AN538" s="12"/>
      <c r="AP538" s="12"/>
      <c r="AR538" s="12"/>
      <c r="AS538" s="12"/>
      <c r="AT538" s="12"/>
      <c r="AU538" s="12"/>
      <c r="AV538" s="12"/>
      <c r="AW538" s="12"/>
      <c r="AX538" s="12"/>
      <c r="AY538" s="12"/>
      <c r="AZ538" s="12"/>
      <c r="BA538" s="12"/>
      <c r="BB538" s="12"/>
      <c r="BC538" s="12"/>
      <c r="BD538" s="12"/>
      <c r="BF538" s="17"/>
      <c r="BG538" s="17"/>
      <c r="BH538" s="17"/>
      <c r="BI538" s="17"/>
      <c r="BJ538" s="17"/>
      <c r="BK538" s="17"/>
      <c r="BL538" s="17"/>
      <c r="BM538" s="17"/>
      <c r="BN538" s="17"/>
      <c r="BO538" s="17"/>
      <c r="BP538" s="17"/>
      <c r="BQ538" s="17"/>
      <c r="BR538" s="17"/>
      <c r="BS538" s="17"/>
      <c r="BT538" s="17"/>
      <c r="BU538" s="17"/>
      <c r="BV538" s="17"/>
      <c r="BW538" s="17"/>
      <c r="BX538" s="17"/>
      <c r="BY538" s="17"/>
      <c r="BZ538" s="17"/>
      <c r="CA538" s="17"/>
      <c r="CB538" s="17"/>
      <c r="CC538" s="17"/>
      <c r="CD538" s="17"/>
      <c r="CE538" s="17"/>
      <c r="CF538" s="17"/>
      <c r="CG538" s="17"/>
    </row>
    <row r="539" spans="1:85" s="13" customFormat="1" x14ac:dyDescent="0.25">
      <c r="A539" s="17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G539" s="12"/>
      <c r="AH539" s="12"/>
      <c r="AI539" s="12"/>
      <c r="AJ539" s="12"/>
      <c r="AK539" s="12"/>
      <c r="AL539" s="12"/>
      <c r="AM539" s="12"/>
      <c r="AN539" s="12"/>
      <c r="AP539" s="12"/>
      <c r="AR539" s="12"/>
      <c r="AS539" s="12"/>
      <c r="AT539" s="12"/>
      <c r="AU539" s="12"/>
      <c r="AV539" s="12"/>
      <c r="AW539" s="12"/>
      <c r="AX539" s="12"/>
      <c r="AY539" s="12"/>
      <c r="AZ539" s="12"/>
      <c r="BA539" s="12"/>
      <c r="BB539" s="12"/>
      <c r="BC539" s="12"/>
      <c r="BD539" s="12"/>
      <c r="BF539" s="17"/>
      <c r="BG539" s="17"/>
      <c r="BH539" s="17"/>
      <c r="BI539" s="17"/>
      <c r="BJ539" s="17"/>
      <c r="BK539" s="17"/>
      <c r="BL539" s="17"/>
      <c r="BM539" s="17"/>
      <c r="BN539" s="17"/>
      <c r="BO539" s="17"/>
      <c r="BP539" s="17"/>
      <c r="BQ539" s="17"/>
      <c r="BR539" s="17"/>
      <c r="BS539" s="17"/>
      <c r="BT539" s="17"/>
      <c r="BU539" s="17"/>
      <c r="BV539" s="17"/>
      <c r="BW539" s="17"/>
      <c r="BX539" s="17"/>
      <c r="BY539" s="17"/>
      <c r="BZ539" s="17"/>
      <c r="CA539" s="17"/>
      <c r="CB539" s="17"/>
      <c r="CC539" s="17"/>
      <c r="CD539" s="17"/>
      <c r="CE539" s="17"/>
      <c r="CF539" s="17"/>
      <c r="CG539" s="17"/>
    </row>
    <row r="540" spans="1:85" s="13" customFormat="1" x14ac:dyDescent="0.25">
      <c r="A540" s="17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G540" s="12"/>
      <c r="AH540" s="12"/>
      <c r="AI540" s="12"/>
      <c r="AJ540" s="12"/>
      <c r="AK540" s="12"/>
      <c r="AL540" s="12"/>
      <c r="AM540" s="12"/>
      <c r="AN540" s="12"/>
      <c r="AP540" s="12"/>
      <c r="AR540" s="12"/>
      <c r="AS540" s="12"/>
      <c r="AT540" s="12"/>
      <c r="AU540" s="12"/>
      <c r="AV540" s="12"/>
      <c r="AW540" s="12"/>
      <c r="AX540" s="12"/>
      <c r="AY540" s="12"/>
      <c r="AZ540" s="12"/>
      <c r="BA540" s="12"/>
      <c r="BB540" s="12"/>
      <c r="BC540" s="12"/>
      <c r="BD540" s="12"/>
      <c r="BF540" s="17"/>
      <c r="BG540" s="17"/>
      <c r="BH540" s="17"/>
      <c r="BI540" s="17"/>
      <c r="BJ540" s="17"/>
      <c r="BK540" s="17"/>
      <c r="BL540" s="17"/>
      <c r="BM540" s="17"/>
      <c r="BN540" s="17"/>
      <c r="BO540" s="17"/>
      <c r="BP540" s="17"/>
      <c r="BQ540" s="17"/>
      <c r="BR540" s="17"/>
      <c r="BS540" s="17"/>
      <c r="BT540" s="17"/>
      <c r="BU540" s="17"/>
      <c r="BV540" s="17"/>
      <c r="BW540" s="17"/>
      <c r="BX540" s="17"/>
      <c r="BY540" s="17"/>
      <c r="BZ540" s="17"/>
      <c r="CA540" s="17"/>
      <c r="CB540" s="17"/>
      <c r="CC540" s="17"/>
      <c r="CD540" s="17"/>
      <c r="CE540" s="17"/>
      <c r="CF540" s="17"/>
      <c r="CG540" s="17"/>
    </row>
    <row r="541" spans="1:85" s="13" customFormat="1" x14ac:dyDescent="0.25">
      <c r="A541" s="17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G541" s="12"/>
      <c r="AH541" s="12"/>
      <c r="AI541" s="12"/>
      <c r="AJ541" s="12"/>
      <c r="AK541" s="12"/>
      <c r="AL541" s="12"/>
      <c r="AM541" s="12"/>
      <c r="AN541" s="12"/>
      <c r="AP541" s="12"/>
      <c r="AR541" s="12"/>
      <c r="AS541" s="12"/>
      <c r="AT541" s="12"/>
      <c r="AU541" s="12"/>
      <c r="AV541" s="12"/>
      <c r="AW541" s="12"/>
      <c r="AX541" s="12"/>
      <c r="AY541" s="12"/>
      <c r="AZ541" s="12"/>
      <c r="BA541" s="12"/>
      <c r="BB541" s="12"/>
      <c r="BC541" s="12"/>
      <c r="BD541" s="12"/>
      <c r="BF541" s="17"/>
      <c r="BG541" s="17"/>
      <c r="BH541" s="17"/>
      <c r="BI541" s="17"/>
      <c r="BJ541" s="17"/>
      <c r="BK541" s="17"/>
      <c r="BL541" s="17"/>
      <c r="BM541" s="17"/>
      <c r="BN541" s="17"/>
      <c r="BO541" s="17"/>
      <c r="BP541" s="17"/>
      <c r="BQ541" s="17"/>
      <c r="BR541" s="17"/>
      <c r="BS541" s="17"/>
      <c r="BT541" s="17"/>
      <c r="BU541" s="17"/>
      <c r="BV541" s="17"/>
      <c r="BW541" s="17"/>
      <c r="BX541" s="17"/>
      <c r="BY541" s="17"/>
      <c r="BZ541" s="17"/>
      <c r="CA541" s="17"/>
      <c r="CB541" s="17"/>
      <c r="CC541" s="17"/>
      <c r="CD541" s="17"/>
      <c r="CE541" s="17"/>
      <c r="CF541" s="17"/>
      <c r="CG541" s="17"/>
    </row>
    <row r="542" spans="1:85" s="13" customFormat="1" x14ac:dyDescent="0.25">
      <c r="A542" s="17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G542" s="12"/>
      <c r="AH542" s="12"/>
      <c r="AI542" s="12"/>
      <c r="AJ542" s="12"/>
      <c r="AK542" s="12"/>
      <c r="AL542" s="12"/>
      <c r="AM542" s="12"/>
      <c r="AN542" s="12"/>
      <c r="AP542" s="12"/>
      <c r="AR542" s="12"/>
      <c r="AS542" s="12"/>
      <c r="AT542" s="12"/>
      <c r="AU542" s="12"/>
      <c r="AV542" s="12"/>
      <c r="AW542" s="12"/>
      <c r="AX542" s="12"/>
      <c r="AY542" s="12"/>
      <c r="AZ542" s="12"/>
      <c r="BA542" s="12"/>
      <c r="BB542" s="12"/>
      <c r="BC542" s="12"/>
      <c r="BD542" s="12"/>
      <c r="BF542" s="17"/>
      <c r="BG542" s="17"/>
      <c r="BH542" s="17"/>
      <c r="BI542" s="17"/>
      <c r="BJ542" s="17"/>
      <c r="BK542" s="17"/>
      <c r="BL542" s="17"/>
      <c r="BM542" s="17"/>
      <c r="BN542" s="17"/>
      <c r="BO542" s="17"/>
      <c r="BP542" s="17"/>
      <c r="BQ542" s="17"/>
      <c r="BR542" s="17"/>
      <c r="BS542" s="17"/>
      <c r="BT542" s="17"/>
      <c r="BU542" s="17"/>
      <c r="BV542" s="17"/>
      <c r="BW542" s="17"/>
      <c r="BX542" s="17"/>
      <c r="BY542" s="17"/>
      <c r="BZ542" s="17"/>
      <c r="CA542" s="17"/>
      <c r="CB542" s="17"/>
      <c r="CC542" s="17"/>
      <c r="CD542" s="17"/>
      <c r="CE542" s="17"/>
      <c r="CF542" s="17"/>
      <c r="CG542" s="17"/>
    </row>
    <row r="543" spans="1:85" s="13" customFormat="1" x14ac:dyDescent="0.25">
      <c r="A543" s="17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G543" s="12"/>
      <c r="AH543" s="12"/>
      <c r="AI543" s="12"/>
      <c r="AJ543" s="12"/>
      <c r="AK543" s="12"/>
      <c r="AL543" s="12"/>
      <c r="AM543" s="12"/>
      <c r="AN543" s="12"/>
      <c r="AP543" s="12"/>
      <c r="AR543" s="12"/>
      <c r="AS543" s="12"/>
      <c r="AT543" s="12"/>
      <c r="AU543" s="12"/>
      <c r="AV543" s="12"/>
      <c r="AW543" s="12"/>
      <c r="AX543" s="12"/>
      <c r="AY543" s="12"/>
      <c r="AZ543" s="12"/>
      <c r="BA543" s="12"/>
      <c r="BB543" s="12"/>
      <c r="BC543" s="12"/>
      <c r="BD543" s="12"/>
      <c r="BF543" s="17"/>
      <c r="BG543" s="17"/>
      <c r="BH543" s="17"/>
      <c r="BI543" s="17"/>
      <c r="BJ543" s="17"/>
      <c r="BK543" s="17"/>
      <c r="BL543" s="17"/>
      <c r="BM543" s="17"/>
      <c r="BN543" s="17"/>
      <c r="BO543" s="17"/>
      <c r="BP543" s="17"/>
      <c r="BQ543" s="17"/>
      <c r="BR543" s="17"/>
      <c r="BS543" s="17"/>
      <c r="BT543" s="17"/>
      <c r="BU543" s="17"/>
      <c r="BV543" s="17"/>
      <c r="BW543" s="17"/>
      <c r="BX543" s="17"/>
      <c r="BY543" s="17"/>
      <c r="BZ543" s="17"/>
      <c r="CA543" s="17"/>
      <c r="CB543" s="17"/>
      <c r="CC543" s="17"/>
      <c r="CD543" s="17"/>
      <c r="CE543" s="17"/>
      <c r="CF543" s="17"/>
      <c r="CG543" s="17"/>
    </row>
    <row r="544" spans="1:85" s="13" customFormat="1" x14ac:dyDescent="0.25">
      <c r="A544" s="17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G544" s="12"/>
      <c r="AH544" s="12"/>
      <c r="AI544" s="12"/>
      <c r="AJ544" s="12"/>
      <c r="AK544" s="12"/>
      <c r="AL544" s="12"/>
      <c r="AM544" s="12"/>
      <c r="AN544" s="12"/>
      <c r="AP544" s="12"/>
      <c r="AR544" s="12"/>
      <c r="AS544" s="12"/>
      <c r="AT544" s="12"/>
      <c r="AU544" s="12"/>
      <c r="AV544" s="12"/>
      <c r="AW544" s="12"/>
      <c r="AX544" s="12"/>
      <c r="AY544" s="12"/>
      <c r="AZ544" s="12"/>
      <c r="BA544" s="12"/>
      <c r="BB544" s="12"/>
      <c r="BC544" s="12"/>
      <c r="BD544" s="12"/>
      <c r="BF544" s="17"/>
      <c r="BG544" s="17"/>
      <c r="BH544" s="17"/>
      <c r="BI544" s="17"/>
      <c r="BJ544" s="17"/>
      <c r="BK544" s="17"/>
      <c r="BL544" s="17"/>
      <c r="BM544" s="17"/>
      <c r="BN544" s="17"/>
      <c r="BO544" s="17"/>
      <c r="BP544" s="17"/>
      <c r="BQ544" s="17"/>
      <c r="BR544" s="17"/>
      <c r="BS544" s="17"/>
      <c r="BT544" s="17"/>
      <c r="BU544" s="17"/>
      <c r="BV544" s="17"/>
      <c r="BW544" s="17"/>
      <c r="BX544" s="17"/>
      <c r="BY544" s="17"/>
      <c r="BZ544" s="17"/>
      <c r="CA544" s="17"/>
      <c r="CB544" s="17"/>
      <c r="CC544" s="17"/>
      <c r="CD544" s="17"/>
      <c r="CE544" s="17"/>
      <c r="CF544" s="17"/>
      <c r="CG544" s="17"/>
    </row>
    <row r="545" spans="1:85" s="13" customFormat="1" x14ac:dyDescent="0.25">
      <c r="A545" s="17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G545" s="12"/>
      <c r="AH545" s="12"/>
      <c r="AI545" s="12"/>
      <c r="AJ545" s="12"/>
      <c r="AK545" s="12"/>
      <c r="AL545" s="12"/>
      <c r="AM545" s="12"/>
      <c r="AN545" s="12"/>
      <c r="AP545" s="12"/>
      <c r="AR545" s="12"/>
      <c r="AS545" s="12"/>
      <c r="AT545" s="12"/>
      <c r="AU545" s="12"/>
      <c r="AV545" s="12"/>
      <c r="AW545" s="12"/>
      <c r="AX545" s="12"/>
      <c r="AY545" s="12"/>
      <c r="AZ545" s="12"/>
      <c r="BA545" s="12"/>
      <c r="BB545" s="12"/>
      <c r="BC545" s="12"/>
      <c r="BD545" s="12"/>
      <c r="BF545" s="17"/>
      <c r="BG545" s="17"/>
      <c r="BH545" s="17"/>
      <c r="BI545" s="17"/>
      <c r="BJ545" s="17"/>
      <c r="BK545" s="17"/>
      <c r="BL545" s="17"/>
      <c r="BM545" s="17"/>
      <c r="BN545" s="17"/>
      <c r="BO545" s="17"/>
      <c r="BP545" s="17"/>
      <c r="BQ545" s="17"/>
      <c r="BR545" s="17"/>
      <c r="BS545" s="17"/>
      <c r="BT545" s="17"/>
      <c r="BU545" s="17"/>
      <c r="BV545" s="17"/>
      <c r="BW545" s="17"/>
      <c r="BX545" s="17"/>
      <c r="BY545" s="17"/>
      <c r="BZ545" s="17"/>
      <c r="CA545" s="17"/>
      <c r="CB545" s="17"/>
      <c r="CC545" s="17"/>
      <c r="CD545" s="17"/>
      <c r="CE545" s="17"/>
      <c r="CF545" s="17"/>
      <c r="CG545" s="17"/>
    </row>
    <row r="546" spans="1:85" s="13" customFormat="1" x14ac:dyDescent="0.25">
      <c r="A546" s="17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G546" s="12"/>
      <c r="AH546" s="12"/>
      <c r="AI546" s="12"/>
      <c r="AJ546" s="12"/>
      <c r="AK546" s="12"/>
      <c r="AL546" s="12"/>
      <c r="AM546" s="12"/>
      <c r="AN546" s="12"/>
      <c r="AP546" s="12"/>
      <c r="AR546" s="12"/>
      <c r="AS546" s="12"/>
      <c r="AT546" s="12"/>
      <c r="AU546" s="12"/>
      <c r="AV546" s="12"/>
      <c r="AW546" s="12"/>
      <c r="AX546" s="12"/>
      <c r="AY546" s="12"/>
      <c r="AZ546" s="12"/>
      <c r="BA546" s="12"/>
      <c r="BB546" s="12"/>
      <c r="BC546" s="12"/>
      <c r="BD546" s="12"/>
      <c r="BF546" s="17"/>
      <c r="BG546" s="17"/>
      <c r="BH546" s="17"/>
      <c r="BI546" s="17"/>
      <c r="BJ546" s="17"/>
      <c r="BK546" s="17"/>
      <c r="BL546" s="17"/>
      <c r="BM546" s="17"/>
      <c r="BN546" s="17"/>
      <c r="BO546" s="17"/>
      <c r="BP546" s="17"/>
      <c r="BQ546" s="17"/>
      <c r="BR546" s="17"/>
      <c r="BS546" s="17"/>
      <c r="BT546" s="17"/>
      <c r="BU546" s="17"/>
      <c r="BV546" s="17"/>
      <c r="BW546" s="17"/>
      <c r="BX546" s="17"/>
      <c r="BY546" s="17"/>
      <c r="BZ546" s="17"/>
      <c r="CA546" s="17"/>
      <c r="CB546" s="17"/>
      <c r="CC546" s="17"/>
      <c r="CD546" s="17"/>
      <c r="CE546" s="17"/>
      <c r="CF546" s="17"/>
      <c r="CG546" s="17"/>
    </row>
    <row r="547" spans="1:85" s="13" customFormat="1" x14ac:dyDescent="0.25">
      <c r="A547" s="17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G547" s="12"/>
      <c r="AH547" s="12"/>
      <c r="AI547" s="12"/>
      <c r="AJ547" s="12"/>
      <c r="AK547" s="12"/>
      <c r="AL547" s="12"/>
      <c r="AM547" s="12"/>
      <c r="AN547" s="12"/>
      <c r="AP547" s="12"/>
      <c r="AR547" s="12"/>
      <c r="AS547" s="12"/>
      <c r="AT547" s="12"/>
      <c r="AU547" s="12"/>
      <c r="AV547" s="12"/>
      <c r="AW547" s="12"/>
      <c r="AX547" s="12"/>
      <c r="AY547" s="12"/>
      <c r="AZ547" s="12"/>
      <c r="BA547" s="12"/>
      <c r="BB547" s="12"/>
      <c r="BC547" s="12"/>
      <c r="BD547" s="12"/>
      <c r="BF547" s="17"/>
      <c r="BG547" s="17"/>
      <c r="BH547" s="17"/>
      <c r="BI547" s="17"/>
      <c r="BJ547" s="17"/>
      <c r="BK547" s="17"/>
      <c r="BL547" s="17"/>
      <c r="BM547" s="17"/>
      <c r="BN547" s="17"/>
      <c r="BO547" s="17"/>
      <c r="BP547" s="17"/>
      <c r="BQ547" s="17"/>
      <c r="BR547" s="17"/>
      <c r="BS547" s="17"/>
      <c r="BT547" s="17"/>
      <c r="BU547" s="17"/>
      <c r="BV547" s="17"/>
      <c r="BW547" s="17"/>
      <c r="BX547" s="17"/>
      <c r="BY547" s="17"/>
      <c r="BZ547" s="17"/>
      <c r="CA547" s="17"/>
      <c r="CB547" s="17"/>
      <c r="CC547" s="17"/>
      <c r="CD547" s="17"/>
      <c r="CE547" s="17"/>
      <c r="CF547" s="17"/>
      <c r="CG547" s="17"/>
    </row>
    <row r="548" spans="1:85" s="13" customFormat="1" x14ac:dyDescent="0.25">
      <c r="A548" s="17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G548" s="12"/>
      <c r="AH548" s="12"/>
      <c r="AI548" s="12"/>
      <c r="AJ548" s="12"/>
      <c r="AK548" s="12"/>
      <c r="AL548" s="12"/>
      <c r="AM548" s="12"/>
      <c r="AN548" s="12"/>
      <c r="AP548" s="12"/>
      <c r="AR548" s="12"/>
      <c r="AS548" s="12"/>
      <c r="AT548" s="12"/>
      <c r="AU548" s="12"/>
      <c r="AV548" s="12"/>
      <c r="AW548" s="12"/>
      <c r="AX548" s="12"/>
      <c r="AY548" s="12"/>
      <c r="AZ548" s="12"/>
      <c r="BA548" s="12"/>
      <c r="BB548" s="12"/>
      <c r="BC548" s="12"/>
      <c r="BD548" s="12"/>
      <c r="BF548" s="17"/>
      <c r="BG548" s="17"/>
      <c r="BH548" s="17"/>
      <c r="BI548" s="17"/>
      <c r="BJ548" s="17"/>
      <c r="BK548" s="17"/>
      <c r="BL548" s="17"/>
      <c r="BM548" s="17"/>
      <c r="BN548" s="17"/>
      <c r="BO548" s="17"/>
      <c r="BP548" s="17"/>
      <c r="BQ548" s="17"/>
      <c r="BR548" s="17"/>
      <c r="BS548" s="17"/>
      <c r="BT548" s="17"/>
      <c r="BU548" s="17"/>
      <c r="BV548" s="17"/>
      <c r="BW548" s="17"/>
      <c r="BX548" s="17"/>
      <c r="BY548" s="17"/>
      <c r="BZ548" s="17"/>
      <c r="CA548" s="17"/>
      <c r="CB548" s="17"/>
      <c r="CC548" s="17"/>
      <c r="CD548" s="17"/>
      <c r="CE548" s="17"/>
      <c r="CF548" s="17"/>
      <c r="CG548" s="17"/>
    </row>
    <row r="549" spans="1:85" s="13" customFormat="1" x14ac:dyDescent="0.25">
      <c r="A549" s="17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G549" s="12"/>
      <c r="AH549" s="12"/>
      <c r="AI549" s="12"/>
      <c r="AJ549" s="12"/>
      <c r="AK549" s="12"/>
      <c r="AL549" s="12"/>
      <c r="AM549" s="12"/>
      <c r="AN549" s="12"/>
      <c r="AP549" s="12"/>
      <c r="AR549" s="12"/>
      <c r="AS549" s="12"/>
      <c r="AT549" s="12"/>
      <c r="AU549" s="12"/>
      <c r="AV549" s="12"/>
      <c r="AW549" s="12"/>
      <c r="AX549" s="12"/>
      <c r="AY549" s="12"/>
      <c r="AZ549" s="12"/>
      <c r="BA549" s="12"/>
      <c r="BB549" s="12"/>
      <c r="BC549" s="12"/>
      <c r="BD549" s="12"/>
      <c r="BF549" s="17"/>
      <c r="BG549" s="17"/>
      <c r="BH549" s="17"/>
      <c r="BI549" s="17"/>
      <c r="BJ549" s="17"/>
      <c r="BK549" s="17"/>
      <c r="BL549" s="17"/>
      <c r="BM549" s="17"/>
      <c r="BN549" s="17"/>
      <c r="BO549" s="17"/>
      <c r="BP549" s="17"/>
      <c r="BQ549" s="17"/>
      <c r="BR549" s="17"/>
      <c r="BS549" s="17"/>
      <c r="BT549" s="17"/>
      <c r="BU549" s="17"/>
      <c r="BV549" s="17"/>
      <c r="BW549" s="17"/>
      <c r="BX549" s="17"/>
      <c r="BY549" s="17"/>
      <c r="BZ549" s="17"/>
      <c r="CA549" s="17"/>
      <c r="CB549" s="17"/>
      <c r="CC549" s="17"/>
      <c r="CD549" s="17"/>
      <c r="CE549" s="17"/>
      <c r="CF549" s="17"/>
      <c r="CG549" s="17"/>
    </row>
    <row r="550" spans="1:85" s="13" customFormat="1" x14ac:dyDescent="0.25">
      <c r="A550" s="17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G550" s="12"/>
      <c r="AH550" s="12"/>
      <c r="AI550" s="12"/>
      <c r="AJ550" s="12"/>
      <c r="AK550" s="12"/>
      <c r="AL550" s="12"/>
      <c r="AM550" s="12"/>
      <c r="AN550" s="12"/>
      <c r="AP550" s="12"/>
      <c r="AR550" s="12"/>
      <c r="AS550" s="12"/>
      <c r="AT550" s="12"/>
      <c r="AU550" s="12"/>
      <c r="AV550" s="12"/>
      <c r="AW550" s="12"/>
      <c r="AX550" s="12"/>
      <c r="AY550" s="12"/>
      <c r="AZ550" s="12"/>
      <c r="BA550" s="12"/>
      <c r="BB550" s="12"/>
      <c r="BC550" s="12"/>
      <c r="BD550" s="12"/>
      <c r="BF550" s="17"/>
      <c r="BG550" s="17"/>
      <c r="BH550" s="17"/>
      <c r="BI550" s="17"/>
      <c r="BJ550" s="17"/>
      <c r="BK550" s="17"/>
      <c r="BL550" s="17"/>
      <c r="BM550" s="17"/>
      <c r="BN550" s="17"/>
      <c r="BO550" s="17"/>
      <c r="BP550" s="17"/>
      <c r="BQ550" s="17"/>
      <c r="BR550" s="17"/>
      <c r="BS550" s="17"/>
      <c r="BT550" s="17"/>
      <c r="BU550" s="17"/>
      <c r="BV550" s="17"/>
      <c r="BW550" s="17"/>
      <c r="BX550" s="17"/>
      <c r="BY550" s="17"/>
      <c r="BZ550" s="17"/>
      <c r="CA550" s="17"/>
      <c r="CB550" s="17"/>
      <c r="CC550" s="17"/>
      <c r="CD550" s="17"/>
      <c r="CE550" s="17"/>
      <c r="CF550" s="17"/>
      <c r="CG550" s="17"/>
    </row>
    <row r="551" spans="1:85" s="13" customFormat="1" x14ac:dyDescent="0.25">
      <c r="A551" s="17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G551" s="12"/>
      <c r="AH551" s="12"/>
      <c r="AI551" s="12"/>
      <c r="AJ551" s="12"/>
      <c r="AK551" s="12"/>
      <c r="AL551" s="12"/>
      <c r="AM551" s="12"/>
      <c r="AN551" s="12"/>
      <c r="AP551" s="12"/>
      <c r="AR551" s="12"/>
      <c r="AS551" s="12"/>
      <c r="AT551" s="12"/>
      <c r="AU551" s="12"/>
      <c r="AV551" s="12"/>
      <c r="AW551" s="12"/>
      <c r="AX551" s="12"/>
      <c r="AY551" s="12"/>
      <c r="AZ551" s="12"/>
      <c r="BA551" s="12"/>
      <c r="BB551" s="12"/>
      <c r="BC551" s="12"/>
      <c r="BD551" s="12"/>
      <c r="BF551" s="17"/>
      <c r="BG551" s="17"/>
      <c r="BH551" s="17"/>
      <c r="BI551" s="17"/>
      <c r="BJ551" s="17"/>
      <c r="BK551" s="17"/>
      <c r="BL551" s="17"/>
      <c r="BM551" s="17"/>
      <c r="BN551" s="17"/>
      <c r="BO551" s="17"/>
      <c r="BP551" s="17"/>
      <c r="BQ551" s="17"/>
      <c r="BR551" s="17"/>
      <c r="BS551" s="17"/>
      <c r="BT551" s="17"/>
      <c r="BU551" s="17"/>
      <c r="BV551" s="17"/>
      <c r="BW551" s="17"/>
      <c r="BX551" s="17"/>
      <c r="BY551" s="17"/>
      <c r="BZ551" s="17"/>
      <c r="CA551" s="17"/>
      <c r="CB551" s="17"/>
      <c r="CC551" s="17"/>
      <c r="CD551" s="17"/>
      <c r="CE551" s="17"/>
      <c r="CF551" s="17"/>
      <c r="CG551" s="17"/>
    </row>
    <row r="552" spans="1:85" s="13" customFormat="1" x14ac:dyDescent="0.25">
      <c r="A552" s="17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G552" s="12"/>
      <c r="AH552" s="12"/>
      <c r="AI552" s="12"/>
      <c r="AJ552" s="12"/>
      <c r="AK552" s="12"/>
      <c r="AL552" s="12"/>
      <c r="AM552" s="12"/>
      <c r="AN552" s="12"/>
      <c r="AP552" s="12"/>
      <c r="AR552" s="12"/>
      <c r="AS552" s="12"/>
      <c r="AT552" s="12"/>
      <c r="AU552" s="12"/>
      <c r="AV552" s="12"/>
      <c r="AW552" s="12"/>
      <c r="AX552" s="12"/>
      <c r="AY552" s="12"/>
      <c r="AZ552" s="12"/>
      <c r="BA552" s="12"/>
      <c r="BB552" s="12"/>
      <c r="BC552" s="12"/>
      <c r="BD552" s="12"/>
      <c r="BF552" s="17"/>
      <c r="BG552" s="17"/>
      <c r="BH552" s="17"/>
      <c r="BI552" s="17"/>
      <c r="BJ552" s="17"/>
      <c r="BK552" s="17"/>
      <c r="BL552" s="17"/>
      <c r="BM552" s="17"/>
      <c r="BN552" s="17"/>
      <c r="BO552" s="17"/>
      <c r="BP552" s="17"/>
      <c r="BQ552" s="17"/>
      <c r="BR552" s="17"/>
      <c r="BS552" s="17"/>
      <c r="BT552" s="17"/>
      <c r="BU552" s="17"/>
      <c r="BV552" s="17"/>
      <c r="BW552" s="17"/>
      <c r="BX552" s="17"/>
      <c r="BY552" s="17"/>
      <c r="BZ552" s="17"/>
      <c r="CA552" s="17"/>
      <c r="CB552" s="17"/>
      <c r="CC552" s="17"/>
      <c r="CD552" s="17"/>
      <c r="CE552" s="17"/>
      <c r="CF552" s="17"/>
      <c r="CG552" s="17"/>
    </row>
    <row r="553" spans="1:85" s="13" customFormat="1" x14ac:dyDescent="0.25">
      <c r="A553" s="17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G553" s="12"/>
      <c r="AH553" s="12"/>
      <c r="AI553" s="12"/>
      <c r="AJ553" s="12"/>
      <c r="AK553" s="12"/>
      <c r="AL553" s="12"/>
      <c r="AM553" s="12"/>
      <c r="AN553" s="12"/>
      <c r="AP553" s="12"/>
      <c r="AR553" s="12"/>
      <c r="AS553" s="12"/>
      <c r="AT553" s="12"/>
      <c r="AU553" s="12"/>
      <c r="AV553" s="12"/>
      <c r="AW553" s="12"/>
      <c r="AX553" s="12"/>
      <c r="AY553" s="12"/>
      <c r="AZ553" s="12"/>
      <c r="BA553" s="12"/>
      <c r="BB553" s="12"/>
      <c r="BC553" s="12"/>
      <c r="BD553" s="12"/>
      <c r="BF553" s="17"/>
      <c r="BG553" s="17"/>
      <c r="BH553" s="17"/>
      <c r="BI553" s="17"/>
      <c r="BJ553" s="17"/>
      <c r="BK553" s="17"/>
      <c r="BL553" s="17"/>
      <c r="BM553" s="17"/>
      <c r="BN553" s="17"/>
      <c r="BO553" s="17"/>
      <c r="BP553" s="17"/>
      <c r="BQ553" s="17"/>
      <c r="BR553" s="17"/>
      <c r="BS553" s="17"/>
      <c r="BT553" s="17"/>
      <c r="BU553" s="17"/>
      <c r="BV553" s="17"/>
      <c r="BW553" s="17"/>
      <c r="BX553" s="17"/>
      <c r="BY553" s="17"/>
      <c r="BZ553" s="17"/>
      <c r="CA553" s="17"/>
      <c r="CB553" s="17"/>
      <c r="CC553" s="17"/>
      <c r="CD553" s="17"/>
      <c r="CE553" s="17"/>
      <c r="CF553" s="17"/>
      <c r="CG553" s="17"/>
    </row>
    <row r="554" spans="1:85" s="13" customFormat="1" x14ac:dyDescent="0.25">
      <c r="A554" s="17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G554" s="12"/>
      <c r="AH554" s="12"/>
      <c r="AI554" s="12"/>
      <c r="AJ554" s="12"/>
      <c r="AK554" s="12"/>
      <c r="AL554" s="12"/>
      <c r="AM554" s="12"/>
      <c r="AN554" s="12"/>
      <c r="AP554" s="12"/>
      <c r="AR554" s="12"/>
      <c r="AS554" s="12"/>
      <c r="AT554" s="12"/>
      <c r="AU554" s="12"/>
      <c r="AV554" s="12"/>
      <c r="AW554" s="12"/>
      <c r="AX554" s="12"/>
      <c r="AY554" s="12"/>
      <c r="AZ554" s="12"/>
      <c r="BA554" s="12"/>
      <c r="BB554" s="12"/>
      <c r="BC554" s="12"/>
      <c r="BD554" s="12"/>
      <c r="BF554" s="17"/>
      <c r="BG554" s="17"/>
      <c r="BH554" s="17"/>
      <c r="BI554" s="17"/>
      <c r="BJ554" s="17"/>
      <c r="BK554" s="17"/>
      <c r="BL554" s="17"/>
      <c r="BM554" s="17"/>
      <c r="BN554" s="17"/>
      <c r="BO554" s="17"/>
      <c r="BP554" s="17"/>
      <c r="BQ554" s="17"/>
      <c r="BR554" s="17"/>
      <c r="BS554" s="17"/>
      <c r="BT554" s="17"/>
      <c r="BU554" s="17"/>
      <c r="BV554" s="17"/>
      <c r="BW554" s="17"/>
      <c r="BX554" s="17"/>
      <c r="BY554" s="17"/>
      <c r="BZ554" s="17"/>
      <c r="CA554" s="17"/>
      <c r="CB554" s="17"/>
      <c r="CC554" s="17"/>
      <c r="CD554" s="17"/>
      <c r="CE554" s="17"/>
      <c r="CF554" s="17"/>
      <c r="CG554" s="17"/>
    </row>
    <row r="555" spans="1:85" s="13" customFormat="1" x14ac:dyDescent="0.25">
      <c r="A555" s="17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G555" s="12"/>
      <c r="AH555" s="12"/>
      <c r="AI555" s="12"/>
      <c r="AJ555" s="12"/>
      <c r="AK555" s="12"/>
      <c r="AL555" s="12"/>
      <c r="AM555" s="12"/>
      <c r="AN555" s="12"/>
      <c r="AP555" s="12"/>
      <c r="AR555" s="12"/>
      <c r="AS555" s="12"/>
      <c r="AT555" s="12"/>
      <c r="AU555" s="12"/>
      <c r="AV555" s="12"/>
      <c r="AW555" s="12"/>
      <c r="AX555" s="12"/>
      <c r="AY555" s="12"/>
      <c r="AZ555" s="12"/>
      <c r="BA555" s="12"/>
      <c r="BB555" s="12"/>
      <c r="BC555" s="12"/>
      <c r="BD555" s="12"/>
      <c r="BF555" s="17"/>
      <c r="BG555" s="17"/>
      <c r="BH555" s="17"/>
      <c r="BI555" s="17"/>
      <c r="BJ555" s="17"/>
      <c r="BK555" s="17"/>
      <c r="BL555" s="17"/>
      <c r="BM555" s="17"/>
      <c r="BN555" s="17"/>
      <c r="BO555" s="17"/>
      <c r="BP555" s="17"/>
      <c r="BQ555" s="17"/>
      <c r="BR555" s="17"/>
      <c r="BS555" s="17"/>
      <c r="BT555" s="17"/>
      <c r="BU555" s="17"/>
      <c r="BV555" s="17"/>
      <c r="BW555" s="17"/>
      <c r="BX555" s="17"/>
      <c r="BY555" s="17"/>
      <c r="BZ555" s="17"/>
      <c r="CA555" s="17"/>
      <c r="CB555" s="17"/>
      <c r="CC555" s="17"/>
      <c r="CD555" s="17"/>
      <c r="CE555" s="17"/>
      <c r="CF555" s="17"/>
      <c r="CG555" s="17"/>
    </row>
    <row r="556" spans="1:85" s="13" customFormat="1" x14ac:dyDescent="0.25">
      <c r="A556" s="17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G556" s="12"/>
      <c r="AH556" s="12"/>
      <c r="AI556" s="12"/>
      <c r="AJ556" s="12"/>
      <c r="AK556" s="12"/>
      <c r="AL556" s="12"/>
      <c r="AM556" s="12"/>
      <c r="AN556" s="12"/>
      <c r="AP556" s="12"/>
      <c r="AR556" s="12"/>
      <c r="AS556" s="12"/>
      <c r="AT556" s="12"/>
      <c r="AU556" s="12"/>
      <c r="AV556" s="12"/>
      <c r="AW556" s="12"/>
      <c r="AX556" s="12"/>
      <c r="AY556" s="12"/>
      <c r="AZ556" s="12"/>
      <c r="BA556" s="12"/>
      <c r="BB556" s="12"/>
      <c r="BC556" s="12"/>
      <c r="BD556" s="12"/>
      <c r="BF556" s="17"/>
      <c r="BG556" s="17"/>
      <c r="BH556" s="17"/>
      <c r="BI556" s="17"/>
      <c r="BJ556" s="17"/>
      <c r="BK556" s="17"/>
      <c r="BL556" s="17"/>
      <c r="BM556" s="17"/>
      <c r="BN556" s="17"/>
      <c r="BO556" s="17"/>
      <c r="BP556" s="17"/>
      <c r="BQ556" s="17"/>
      <c r="BR556" s="17"/>
      <c r="BS556" s="17"/>
      <c r="BT556" s="17"/>
      <c r="BU556" s="17"/>
      <c r="BV556" s="17"/>
      <c r="BW556" s="17"/>
      <c r="BX556" s="17"/>
      <c r="BY556" s="17"/>
      <c r="BZ556" s="17"/>
      <c r="CA556" s="17"/>
      <c r="CB556" s="17"/>
      <c r="CC556" s="17"/>
      <c r="CD556" s="17"/>
      <c r="CE556" s="17"/>
      <c r="CF556" s="17"/>
      <c r="CG556" s="17"/>
    </row>
    <row r="557" spans="1:85" s="13" customFormat="1" x14ac:dyDescent="0.25">
      <c r="A557" s="17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G557" s="12"/>
      <c r="AH557" s="12"/>
      <c r="AI557" s="12"/>
      <c r="AJ557" s="12"/>
      <c r="AK557" s="12"/>
      <c r="AL557" s="12"/>
      <c r="AM557" s="12"/>
      <c r="AN557" s="12"/>
      <c r="AP557" s="12"/>
      <c r="AR557" s="12"/>
      <c r="AS557" s="12"/>
      <c r="AT557" s="12"/>
      <c r="AU557" s="12"/>
      <c r="AV557" s="12"/>
      <c r="AW557" s="12"/>
      <c r="AX557" s="12"/>
      <c r="AY557" s="12"/>
      <c r="AZ557" s="12"/>
      <c r="BA557" s="12"/>
      <c r="BB557" s="12"/>
      <c r="BC557" s="12"/>
      <c r="BD557" s="12"/>
      <c r="BF557" s="17"/>
      <c r="BG557" s="17"/>
      <c r="BH557" s="17"/>
      <c r="BI557" s="17"/>
      <c r="BJ557" s="17"/>
      <c r="BK557" s="17"/>
      <c r="BL557" s="17"/>
      <c r="BM557" s="17"/>
      <c r="BN557" s="17"/>
      <c r="BO557" s="17"/>
      <c r="BP557" s="17"/>
      <c r="BQ557" s="17"/>
      <c r="BR557" s="17"/>
      <c r="BS557" s="17"/>
      <c r="BT557" s="17"/>
      <c r="BU557" s="17"/>
      <c r="BV557" s="17"/>
      <c r="BW557" s="17"/>
      <c r="BX557" s="17"/>
      <c r="BY557" s="17"/>
      <c r="BZ557" s="17"/>
      <c r="CA557" s="17"/>
      <c r="CB557" s="17"/>
      <c r="CC557" s="17"/>
      <c r="CD557" s="17"/>
      <c r="CE557" s="17"/>
      <c r="CF557" s="17"/>
      <c r="CG557" s="17"/>
    </row>
    <row r="558" spans="1:85" s="13" customFormat="1" x14ac:dyDescent="0.25">
      <c r="A558" s="17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G558" s="12"/>
      <c r="AH558" s="12"/>
      <c r="AI558" s="12"/>
      <c r="AJ558" s="12"/>
      <c r="AK558" s="12"/>
      <c r="AL558" s="12"/>
      <c r="AM558" s="12"/>
      <c r="AN558" s="12"/>
      <c r="AP558" s="12"/>
      <c r="AR558" s="12"/>
      <c r="AS558" s="12"/>
      <c r="AT558" s="12"/>
      <c r="AU558" s="12"/>
      <c r="AV558" s="12"/>
      <c r="AW558" s="12"/>
      <c r="AX558" s="12"/>
      <c r="AY558" s="12"/>
      <c r="AZ558" s="12"/>
      <c r="BA558" s="12"/>
      <c r="BB558" s="12"/>
      <c r="BC558" s="12"/>
      <c r="BD558" s="12"/>
      <c r="BF558" s="17"/>
      <c r="BG558" s="17"/>
      <c r="BH558" s="17"/>
      <c r="BI558" s="17"/>
      <c r="BJ558" s="17"/>
      <c r="BK558" s="17"/>
      <c r="BL558" s="17"/>
      <c r="BM558" s="17"/>
      <c r="BN558" s="17"/>
      <c r="BO558" s="17"/>
      <c r="BP558" s="17"/>
      <c r="BQ558" s="17"/>
      <c r="BR558" s="17"/>
      <c r="BS558" s="17"/>
      <c r="BT558" s="17"/>
      <c r="BU558" s="17"/>
      <c r="BV558" s="17"/>
      <c r="BW558" s="17"/>
      <c r="BX558" s="17"/>
      <c r="BY558" s="17"/>
      <c r="BZ558" s="17"/>
      <c r="CA558" s="17"/>
      <c r="CB558" s="17"/>
      <c r="CC558" s="17"/>
      <c r="CD558" s="17"/>
      <c r="CE558" s="17"/>
      <c r="CF558" s="17"/>
      <c r="CG558" s="17"/>
    </row>
    <row r="559" spans="1:85" s="13" customFormat="1" x14ac:dyDescent="0.25">
      <c r="A559" s="17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G559" s="12"/>
      <c r="AH559" s="12"/>
      <c r="AI559" s="12"/>
      <c r="AJ559" s="12"/>
      <c r="AK559" s="12"/>
      <c r="AL559" s="12"/>
      <c r="AM559" s="12"/>
      <c r="AN559" s="12"/>
      <c r="AP559" s="12"/>
      <c r="AR559" s="12"/>
      <c r="AS559" s="12"/>
      <c r="AT559" s="12"/>
      <c r="AU559" s="12"/>
      <c r="AV559" s="12"/>
      <c r="AW559" s="12"/>
      <c r="AX559" s="12"/>
      <c r="AY559" s="12"/>
      <c r="AZ559" s="12"/>
      <c r="BA559" s="12"/>
      <c r="BB559" s="12"/>
      <c r="BC559" s="12"/>
      <c r="BD559" s="12"/>
      <c r="BF559" s="17"/>
      <c r="BG559" s="17"/>
      <c r="BH559" s="17"/>
      <c r="BI559" s="17"/>
      <c r="BJ559" s="17"/>
      <c r="BK559" s="17"/>
      <c r="BL559" s="17"/>
      <c r="BM559" s="17"/>
      <c r="BN559" s="17"/>
      <c r="BO559" s="17"/>
      <c r="BP559" s="17"/>
      <c r="BQ559" s="17"/>
      <c r="BR559" s="17"/>
      <c r="BS559" s="17"/>
      <c r="BT559" s="17"/>
      <c r="BU559" s="17"/>
      <c r="BV559" s="17"/>
      <c r="BW559" s="17"/>
      <c r="BX559" s="17"/>
      <c r="BY559" s="17"/>
      <c r="BZ559" s="17"/>
      <c r="CA559" s="17"/>
      <c r="CB559" s="17"/>
      <c r="CC559" s="17"/>
      <c r="CD559" s="17"/>
      <c r="CE559" s="17"/>
      <c r="CF559" s="17"/>
      <c r="CG559" s="17"/>
    </row>
    <row r="560" spans="1:85" s="13" customFormat="1" x14ac:dyDescent="0.25">
      <c r="A560" s="17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G560" s="12"/>
      <c r="AH560" s="12"/>
      <c r="AI560" s="12"/>
      <c r="AJ560" s="12"/>
      <c r="AK560" s="12"/>
      <c r="AL560" s="12"/>
      <c r="AM560" s="12"/>
      <c r="AN560" s="12"/>
      <c r="AP560" s="12"/>
      <c r="AR560" s="12"/>
      <c r="AS560" s="12"/>
      <c r="AT560" s="12"/>
      <c r="AU560" s="12"/>
      <c r="AV560" s="12"/>
      <c r="AW560" s="12"/>
      <c r="AX560" s="12"/>
      <c r="AY560" s="12"/>
      <c r="AZ560" s="12"/>
      <c r="BA560" s="12"/>
      <c r="BB560" s="12"/>
      <c r="BC560" s="12"/>
      <c r="BD560" s="12"/>
      <c r="BF560" s="17"/>
      <c r="BG560" s="17"/>
      <c r="BH560" s="17"/>
      <c r="BI560" s="17"/>
      <c r="BJ560" s="17"/>
      <c r="BK560" s="17"/>
      <c r="BL560" s="17"/>
      <c r="BM560" s="17"/>
      <c r="BN560" s="17"/>
      <c r="BO560" s="17"/>
      <c r="BP560" s="17"/>
      <c r="BQ560" s="17"/>
      <c r="BR560" s="17"/>
      <c r="BS560" s="17"/>
      <c r="BT560" s="17"/>
      <c r="BU560" s="17"/>
      <c r="BV560" s="17"/>
      <c r="BW560" s="17"/>
      <c r="BX560" s="17"/>
      <c r="BY560" s="17"/>
      <c r="BZ560" s="17"/>
      <c r="CA560" s="17"/>
      <c r="CB560" s="17"/>
      <c r="CC560" s="17"/>
      <c r="CD560" s="17"/>
      <c r="CE560" s="17"/>
      <c r="CF560" s="17"/>
      <c r="CG560" s="17"/>
    </row>
    <row r="561" spans="1:85" s="13" customFormat="1" x14ac:dyDescent="0.25">
      <c r="A561" s="17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G561" s="12"/>
      <c r="AH561" s="12"/>
      <c r="AI561" s="12"/>
      <c r="AJ561" s="12"/>
      <c r="AK561" s="12"/>
      <c r="AL561" s="12"/>
      <c r="AM561" s="12"/>
      <c r="AN561" s="12"/>
      <c r="AP561" s="12"/>
      <c r="AR561" s="12"/>
      <c r="AS561" s="12"/>
      <c r="AT561" s="12"/>
      <c r="AU561" s="12"/>
      <c r="AV561" s="12"/>
      <c r="AW561" s="12"/>
      <c r="AX561" s="12"/>
      <c r="AY561" s="12"/>
      <c r="AZ561" s="12"/>
      <c r="BA561" s="12"/>
      <c r="BB561" s="12"/>
      <c r="BC561" s="12"/>
      <c r="BD561" s="12"/>
      <c r="BF561" s="17"/>
      <c r="BG561" s="17"/>
      <c r="BH561" s="17"/>
      <c r="BI561" s="17"/>
      <c r="BJ561" s="17"/>
      <c r="BK561" s="17"/>
      <c r="BL561" s="17"/>
      <c r="BM561" s="17"/>
      <c r="BN561" s="17"/>
      <c r="BO561" s="17"/>
      <c r="BP561" s="17"/>
      <c r="BQ561" s="17"/>
      <c r="BR561" s="17"/>
      <c r="BS561" s="17"/>
      <c r="BT561" s="17"/>
      <c r="BU561" s="17"/>
      <c r="BV561" s="17"/>
      <c r="BW561" s="17"/>
      <c r="BX561" s="17"/>
      <c r="BY561" s="17"/>
      <c r="BZ561" s="17"/>
      <c r="CA561" s="17"/>
      <c r="CB561" s="17"/>
      <c r="CC561" s="17"/>
      <c r="CD561" s="17"/>
      <c r="CE561" s="17"/>
      <c r="CF561" s="17"/>
      <c r="CG561" s="17"/>
    </row>
    <row r="562" spans="1:85" s="13" customFormat="1" x14ac:dyDescent="0.25">
      <c r="A562" s="17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G562" s="12"/>
      <c r="AH562" s="12"/>
      <c r="AI562" s="12"/>
      <c r="AJ562" s="12"/>
      <c r="AK562" s="12"/>
      <c r="AL562" s="12"/>
      <c r="AM562" s="12"/>
      <c r="AN562" s="12"/>
      <c r="AP562" s="12"/>
      <c r="AR562" s="12"/>
      <c r="AS562" s="12"/>
      <c r="AT562" s="12"/>
      <c r="AU562" s="12"/>
      <c r="AV562" s="12"/>
      <c r="AW562" s="12"/>
      <c r="AX562" s="12"/>
      <c r="AY562" s="12"/>
      <c r="AZ562" s="12"/>
      <c r="BA562" s="12"/>
      <c r="BB562" s="12"/>
      <c r="BC562" s="12"/>
      <c r="BD562" s="12"/>
      <c r="BF562" s="17"/>
      <c r="BG562" s="17"/>
      <c r="BH562" s="17"/>
      <c r="BI562" s="17"/>
      <c r="BJ562" s="17"/>
      <c r="BK562" s="17"/>
      <c r="BL562" s="17"/>
      <c r="BM562" s="17"/>
      <c r="BN562" s="17"/>
      <c r="BO562" s="17"/>
      <c r="BP562" s="17"/>
      <c r="BQ562" s="17"/>
      <c r="BR562" s="17"/>
      <c r="BS562" s="17"/>
      <c r="BT562" s="17"/>
      <c r="BU562" s="17"/>
      <c r="BV562" s="17"/>
      <c r="BW562" s="17"/>
      <c r="BX562" s="17"/>
      <c r="BY562" s="17"/>
      <c r="BZ562" s="17"/>
      <c r="CA562" s="17"/>
      <c r="CB562" s="17"/>
      <c r="CC562" s="17"/>
      <c r="CD562" s="17"/>
      <c r="CE562" s="17"/>
      <c r="CF562" s="17"/>
      <c r="CG562" s="17"/>
    </row>
    <row r="563" spans="1:85" s="13" customFormat="1" x14ac:dyDescent="0.25">
      <c r="A563" s="17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G563" s="12"/>
      <c r="AH563" s="12"/>
      <c r="AI563" s="12"/>
      <c r="AJ563" s="12"/>
      <c r="AK563" s="12"/>
      <c r="AL563" s="12"/>
      <c r="AM563" s="12"/>
      <c r="AN563" s="12"/>
      <c r="AP563" s="12"/>
      <c r="AR563" s="12"/>
      <c r="AS563" s="12"/>
      <c r="AT563" s="12"/>
      <c r="AU563" s="12"/>
      <c r="AV563" s="12"/>
      <c r="AW563" s="12"/>
      <c r="AX563" s="12"/>
      <c r="AY563" s="12"/>
      <c r="AZ563" s="12"/>
      <c r="BA563" s="12"/>
      <c r="BB563" s="12"/>
      <c r="BC563" s="12"/>
      <c r="BD563" s="12"/>
      <c r="BF563" s="17"/>
      <c r="BG563" s="17"/>
      <c r="BH563" s="17"/>
      <c r="BI563" s="17"/>
      <c r="BJ563" s="17"/>
      <c r="BK563" s="17"/>
      <c r="BL563" s="17"/>
      <c r="BM563" s="17"/>
      <c r="BN563" s="17"/>
      <c r="BO563" s="17"/>
      <c r="BP563" s="17"/>
      <c r="BQ563" s="17"/>
      <c r="BR563" s="17"/>
      <c r="BS563" s="17"/>
      <c r="BT563" s="17"/>
      <c r="BU563" s="17"/>
      <c r="BV563" s="17"/>
      <c r="BW563" s="17"/>
      <c r="BX563" s="17"/>
      <c r="BY563" s="17"/>
      <c r="BZ563" s="17"/>
      <c r="CA563" s="17"/>
      <c r="CB563" s="17"/>
      <c r="CC563" s="17"/>
      <c r="CD563" s="17"/>
      <c r="CE563" s="17"/>
      <c r="CF563" s="17"/>
      <c r="CG563" s="17"/>
    </row>
    <row r="564" spans="1:85" s="13" customFormat="1" x14ac:dyDescent="0.25">
      <c r="A564" s="17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G564" s="12"/>
      <c r="AH564" s="12"/>
      <c r="AI564" s="12"/>
      <c r="AJ564" s="12"/>
      <c r="AK564" s="12"/>
      <c r="AL564" s="12"/>
      <c r="AM564" s="12"/>
      <c r="AN564" s="12"/>
      <c r="AP564" s="12"/>
      <c r="AR564" s="12"/>
      <c r="AS564" s="12"/>
      <c r="AT564" s="12"/>
      <c r="AU564" s="12"/>
      <c r="AV564" s="12"/>
      <c r="AW564" s="12"/>
      <c r="AX564" s="12"/>
      <c r="AY564" s="12"/>
      <c r="AZ564" s="12"/>
      <c r="BA564" s="12"/>
      <c r="BB564" s="12"/>
      <c r="BC564" s="12"/>
      <c r="BD564" s="12"/>
      <c r="BF564" s="17"/>
      <c r="BG564" s="17"/>
      <c r="BH564" s="17"/>
      <c r="BI564" s="17"/>
      <c r="BJ564" s="17"/>
      <c r="BK564" s="17"/>
      <c r="BL564" s="17"/>
      <c r="BM564" s="17"/>
      <c r="BN564" s="17"/>
      <c r="BO564" s="17"/>
      <c r="BP564" s="17"/>
      <c r="BQ564" s="17"/>
      <c r="BR564" s="17"/>
      <c r="BS564" s="17"/>
      <c r="BT564" s="17"/>
      <c r="BU564" s="17"/>
      <c r="BV564" s="17"/>
      <c r="BW564" s="17"/>
      <c r="BX564" s="17"/>
      <c r="BY564" s="17"/>
      <c r="BZ564" s="17"/>
      <c r="CA564" s="17"/>
      <c r="CB564" s="17"/>
      <c r="CC564" s="17"/>
      <c r="CD564" s="17"/>
      <c r="CE564" s="17"/>
      <c r="CF564" s="17"/>
      <c r="CG564" s="17"/>
    </row>
    <row r="565" spans="1:85" s="13" customFormat="1" x14ac:dyDescent="0.25">
      <c r="A565" s="17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G565" s="12"/>
      <c r="AH565" s="12"/>
      <c r="AI565" s="12"/>
      <c r="AJ565" s="12"/>
      <c r="AK565" s="12"/>
      <c r="AL565" s="12"/>
      <c r="AM565" s="12"/>
      <c r="AN565" s="12"/>
      <c r="AP565" s="12"/>
      <c r="AR565" s="12"/>
      <c r="AS565" s="12"/>
      <c r="AT565" s="12"/>
      <c r="AU565" s="12"/>
      <c r="AV565" s="12"/>
      <c r="AW565" s="12"/>
      <c r="AX565" s="12"/>
      <c r="AY565" s="12"/>
      <c r="AZ565" s="12"/>
      <c r="BA565" s="12"/>
      <c r="BB565" s="12"/>
      <c r="BC565" s="12"/>
      <c r="BD565" s="12"/>
      <c r="BF565" s="17"/>
      <c r="BG565" s="17"/>
      <c r="BH565" s="17"/>
      <c r="BI565" s="17"/>
      <c r="BJ565" s="17"/>
      <c r="BK565" s="17"/>
      <c r="BL565" s="17"/>
      <c r="BM565" s="17"/>
      <c r="BN565" s="17"/>
      <c r="BO565" s="17"/>
      <c r="BP565" s="17"/>
      <c r="BQ565" s="17"/>
      <c r="BR565" s="17"/>
      <c r="BS565" s="17"/>
      <c r="BT565" s="17"/>
      <c r="BU565" s="17"/>
      <c r="BV565" s="17"/>
      <c r="BW565" s="17"/>
      <c r="BX565" s="17"/>
      <c r="BY565" s="17"/>
      <c r="BZ565" s="17"/>
      <c r="CA565" s="17"/>
      <c r="CB565" s="17"/>
      <c r="CC565" s="17"/>
      <c r="CD565" s="17"/>
      <c r="CE565" s="17"/>
      <c r="CF565" s="17"/>
      <c r="CG565" s="17"/>
    </row>
    <row r="566" spans="1:85" s="13" customFormat="1" x14ac:dyDescent="0.25">
      <c r="A566" s="17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G566" s="12"/>
      <c r="AH566" s="12"/>
      <c r="AI566" s="12"/>
      <c r="AJ566" s="12"/>
      <c r="AK566" s="12"/>
      <c r="AL566" s="12"/>
      <c r="AM566" s="12"/>
      <c r="AN566" s="12"/>
      <c r="AP566" s="12"/>
      <c r="AR566" s="12"/>
      <c r="AS566" s="12"/>
      <c r="AT566" s="12"/>
      <c r="AU566" s="12"/>
      <c r="AV566" s="12"/>
      <c r="AW566" s="12"/>
      <c r="AX566" s="12"/>
      <c r="AY566" s="12"/>
      <c r="AZ566" s="12"/>
      <c r="BA566" s="12"/>
      <c r="BB566" s="12"/>
      <c r="BC566" s="12"/>
      <c r="BD566" s="12"/>
      <c r="BF566" s="17"/>
      <c r="BG566" s="17"/>
      <c r="BH566" s="17"/>
      <c r="BI566" s="17"/>
      <c r="BJ566" s="17"/>
      <c r="BK566" s="17"/>
      <c r="BL566" s="17"/>
      <c r="BM566" s="17"/>
      <c r="BN566" s="17"/>
      <c r="BO566" s="17"/>
      <c r="BP566" s="17"/>
      <c r="BQ566" s="17"/>
      <c r="BR566" s="17"/>
      <c r="BS566" s="17"/>
      <c r="BT566" s="17"/>
      <c r="BU566" s="17"/>
      <c r="BV566" s="17"/>
      <c r="BW566" s="17"/>
      <c r="BX566" s="17"/>
      <c r="BY566" s="17"/>
      <c r="BZ566" s="17"/>
      <c r="CA566" s="17"/>
      <c r="CB566" s="17"/>
      <c r="CC566" s="17"/>
      <c r="CD566" s="17"/>
      <c r="CE566" s="17"/>
      <c r="CF566" s="17"/>
      <c r="CG566" s="17"/>
    </row>
    <row r="567" spans="1:85" s="13" customFormat="1" x14ac:dyDescent="0.25">
      <c r="A567" s="17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G567" s="12"/>
      <c r="AH567" s="12"/>
      <c r="AI567" s="12"/>
      <c r="AJ567" s="12"/>
      <c r="AK567" s="12"/>
      <c r="AL567" s="12"/>
      <c r="AM567" s="12"/>
      <c r="AN567" s="12"/>
      <c r="AP567" s="12"/>
      <c r="AR567" s="12"/>
      <c r="AS567" s="12"/>
      <c r="AT567" s="12"/>
      <c r="AU567" s="12"/>
      <c r="AV567" s="12"/>
      <c r="AW567" s="12"/>
      <c r="AX567" s="12"/>
      <c r="AY567" s="12"/>
      <c r="AZ567" s="12"/>
      <c r="BA567" s="12"/>
      <c r="BB567" s="12"/>
      <c r="BC567" s="12"/>
      <c r="BD567" s="12"/>
      <c r="BF567" s="17"/>
      <c r="BG567" s="17"/>
      <c r="BH567" s="17"/>
      <c r="BI567" s="17"/>
      <c r="BJ567" s="17"/>
      <c r="BK567" s="17"/>
      <c r="BL567" s="17"/>
      <c r="BM567" s="17"/>
      <c r="BN567" s="17"/>
      <c r="BO567" s="17"/>
      <c r="BP567" s="17"/>
      <c r="BQ567" s="17"/>
      <c r="BR567" s="17"/>
      <c r="BS567" s="17"/>
      <c r="BT567" s="17"/>
      <c r="BU567" s="17"/>
      <c r="BV567" s="17"/>
      <c r="BW567" s="17"/>
      <c r="BX567" s="17"/>
      <c r="BY567" s="17"/>
      <c r="BZ567" s="17"/>
      <c r="CA567" s="17"/>
      <c r="CB567" s="17"/>
      <c r="CC567" s="17"/>
      <c r="CD567" s="17"/>
      <c r="CE567" s="17"/>
      <c r="CF567" s="17"/>
      <c r="CG567" s="17"/>
    </row>
    <row r="568" spans="1:85" s="13" customFormat="1" x14ac:dyDescent="0.25">
      <c r="A568" s="17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G568" s="12"/>
      <c r="AH568" s="12"/>
      <c r="AI568" s="12"/>
      <c r="AJ568" s="12"/>
      <c r="AK568" s="12"/>
      <c r="AL568" s="12"/>
      <c r="AM568" s="12"/>
      <c r="AN568" s="12"/>
      <c r="AP568" s="12"/>
      <c r="AR568" s="12"/>
      <c r="AS568" s="12"/>
      <c r="AT568" s="12"/>
      <c r="AU568" s="12"/>
      <c r="AV568" s="12"/>
      <c r="AW568" s="12"/>
      <c r="AX568" s="12"/>
      <c r="AY568" s="12"/>
      <c r="AZ568" s="12"/>
      <c r="BA568" s="12"/>
      <c r="BB568" s="12"/>
      <c r="BC568" s="12"/>
      <c r="BD568" s="12"/>
      <c r="BF568" s="17"/>
      <c r="BG568" s="17"/>
      <c r="BH568" s="17"/>
      <c r="BI568" s="17"/>
      <c r="BJ568" s="17"/>
      <c r="BK568" s="17"/>
      <c r="BL568" s="17"/>
      <c r="BM568" s="17"/>
      <c r="BN568" s="17"/>
      <c r="BO568" s="17"/>
      <c r="BP568" s="17"/>
      <c r="BQ568" s="17"/>
      <c r="BR568" s="17"/>
      <c r="BS568" s="17"/>
      <c r="BT568" s="17"/>
      <c r="BU568" s="17"/>
      <c r="BV568" s="17"/>
      <c r="BW568" s="17"/>
      <c r="BX568" s="17"/>
      <c r="BY568" s="17"/>
      <c r="BZ568" s="17"/>
      <c r="CA568" s="17"/>
      <c r="CB568" s="17"/>
      <c r="CC568" s="17"/>
      <c r="CD568" s="17"/>
      <c r="CE568" s="17"/>
      <c r="CF568" s="17"/>
      <c r="CG568" s="17"/>
    </row>
    <row r="569" spans="1:85" s="13" customFormat="1" x14ac:dyDescent="0.25">
      <c r="A569" s="17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G569" s="12"/>
      <c r="AH569" s="12"/>
      <c r="AI569" s="12"/>
      <c r="AJ569" s="12"/>
      <c r="AK569" s="12"/>
      <c r="AL569" s="12"/>
      <c r="AM569" s="12"/>
      <c r="AN569" s="12"/>
      <c r="AP569" s="12"/>
      <c r="AR569" s="12"/>
      <c r="AS569" s="12"/>
      <c r="AT569" s="12"/>
      <c r="AU569" s="12"/>
      <c r="AV569" s="12"/>
      <c r="AW569" s="12"/>
      <c r="AX569" s="12"/>
      <c r="AY569" s="12"/>
      <c r="AZ569" s="12"/>
      <c r="BA569" s="12"/>
      <c r="BB569" s="12"/>
      <c r="BC569" s="12"/>
      <c r="BD569" s="12"/>
      <c r="BF569" s="17"/>
      <c r="BG569" s="17"/>
      <c r="BH569" s="17"/>
      <c r="BI569" s="17"/>
      <c r="BJ569" s="17"/>
      <c r="BK569" s="17"/>
      <c r="BL569" s="17"/>
      <c r="BM569" s="17"/>
      <c r="BN569" s="17"/>
      <c r="BO569" s="17"/>
      <c r="BP569" s="17"/>
      <c r="BQ569" s="17"/>
      <c r="BR569" s="17"/>
      <c r="BS569" s="17"/>
      <c r="BT569" s="17"/>
      <c r="BU569" s="17"/>
      <c r="BV569" s="17"/>
      <c r="BW569" s="17"/>
      <c r="BX569" s="17"/>
      <c r="BY569" s="17"/>
      <c r="BZ569" s="17"/>
      <c r="CA569" s="17"/>
      <c r="CB569" s="17"/>
      <c r="CC569" s="17"/>
      <c r="CD569" s="17"/>
      <c r="CE569" s="17"/>
      <c r="CF569" s="17"/>
      <c r="CG569" s="17"/>
    </row>
    <row r="570" spans="1:85" s="13" customFormat="1" x14ac:dyDescent="0.25">
      <c r="A570" s="17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G570" s="12"/>
      <c r="AH570" s="12"/>
      <c r="AI570" s="12"/>
      <c r="AJ570" s="12"/>
      <c r="AK570" s="12"/>
      <c r="AL570" s="12"/>
      <c r="AM570" s="12"/>
      <c r="AN570" s="12"/>
      <c r="AP570" s="12"/>
      <c r="AR570" s="12"/>
      <c r="AS570" s="12"/>
      <c r="AT570" s="12"/>
      <c r="AU570" s="12"/>
      <c r="AV570" s="12"/>
      <c r="AW570" s="12"/>
      <c r="AX570" s="12"/>
      <c r="AY570" s="12"/>
      <c r="AZ570" s="12"/>
      <c r="BA570" s="12"/>
      <c r="BB570" s="12"/>
      <c r="BC570" s="12"/>
      <c r="BD570" s="12"/>
      <c r="BF570" s="17"/>
      <c r="BG570" s="17"/>
      <c r="BH570" s="17"/>
      <c r="BI570" s="17"/>
      <c r="BJ570" s="17"/>
      <c r="BK570" s="17"/>
      <c r="BL570" s="17"/>
      <c r="BM570" s="17"/>
      <c r="BN570" s="17"/>
      <c r="BO570" s="17"/>
      <c r="BP570" s="17"/>
      <c r="BQ570" s="17"/>
      <c r="BR570" s="17"/>
      <c r="BS570" s="17"/>
      <c r="BT570" s="17"/>
      <c r="BU570" s="17"/>
      <c r="BV570" s="17"/>
      <c r="BW570" s="17"/>
      <c r="BX570" s="17"/>
      <c r="BY570" s="17"/>
      <c r="BZ570" s="17"/>
      <c r="CA570" s="17"/>
      <c r="CB570" s="17"/>
      <c r="CC570" s="17"/>
      <c r="CD570" s="17"/>
      <c r="CE570" s="17"/>
      <c r="CF570" s="17"/>
      <c r="CG570" s="17"/>
    </row>
    <row r="571" spans="1:85" s="13" customFormat="1" x14ac:dyDescent="0.25">
      <c r="A571" s="17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G571" s="12"/>
      <c r="AH571" s="12"/>
      <c r="AI571" s="12"/>
      <c r="AJ571" s="12"/>
      <c r="AK571" s="12"/>
      <c r="AL571" s="12"/>
      <c r="AM571" s="12"/>
      <c r="AN571" s="12"/>
      <c r="AP571" s="12"/>
      <c r="AR571" s="12"/>
      <c r="AS571" s="12"/>
      <c r="AT571" s="12"/>
      <c r="AU571" s="12"/>
      <c r="AV571" s="12"/>
      <c r="AW571" s="12"/>
      <c r="AX571" s="12"/>
      <c r="AY571" s="12"/>
      <c r="AZ571" s="12"/>
      <c r="BA571" s="12"/>
      <c r="BB571" s="12"/>
      <c r="BC571" s="12"/>
      <c r="BD571" s="12"/>
      <c r="BF571" s="17"/>
      <c r="BG571" s="17"/>
      <c r="BH571" s="17"/>
      <c r="BI571" s="17"/>
      <c r="BJ571" s="17"/>
      <c r="BK571" s="17"/>
      <c r="BL571" s="17"/>
      <c r="BM571" s="17"/>
      <c r="BN571" s="17"/>
      <c r="BO571" s="17"/>
      <c r="BP571" s="17"/>
      <c r="BQ571" s="17"/>
      <c r="BR571" s="17"/>
      <c r="BS571" s="17"/>
      <c r="BT571" s="17"/>
      <c r="BU571" s="17"/>
      <c r="BV571" s="17"/>
      <c r="BW571" s="17"/>
      <c r="BX571" s="17"/>
      <c r="BY571" s="17"/>
      <c r="BZ571" s="17"/>
      <c r="CA571" s="17"/>
      <c r="CB571" s="17"/>
      <c r="CC571" s="17"/>
      <c r="CD571" s="17"/>
      <c r="CE571" s="17"/>
      <c r="CF571" s="17"/>
      <c r="CG571" s="17"/>
    </row>
    <row r="572" spans="1:85" s="13" customFormat="1" x14ac:dyDescent="0.25">
      <c r="A572" s="17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G572" s="12"/>
      <c r="AH572" s="12"/>
      <c r="AI572" s="12"/>
      <c r="AJ572" s="12"/>
      <c r="AK572" s="12"/>
      <c r="AL572" s="12"/>
      <c r="AM572" s="12"/>
      <c r="AN572" s="12"/>
      <c r="AP572" s="12"/>
      <c r="AR572" s="12"/>
      <c r="AS572" s="12"/>
      <c r="AT572" s="12"/>
      <c r="AU572" s="12"/>
      <c r="AV572" s="12"/>
      <c r="AW572" s="12"/>
      <c r="AX572" s="12"/>
      <c r="AY572" s="12"/>
      <c r="AZ572" s="12"/>
      <c r="BA572" s="12"/>
      <c r="BB572" s="12"/>
      <c r="BC572" s="12"/>
      <c r="BD572" s="12"/>
      <c r="BF572" s="17"/>
      <c r="BG572" s="17"/>
      <c r="BH572" s="17"/>
      <c r="BI572" s="17"/>
      <c r="BJ572" s="17"/>
      <c r="BK572" s="17"/>
      <c r="BL572" s="17"/>
      <c r="BM572" s="17"/>
      <c r="BN572" s="17"/>
      <c r="BO572" s="17"/>
      <c r="BP572" s="17"/>
      <c r="BQ572" s="17"/>
      <c r="BR572" s="17"/>
      <c r="BS572" s="17"/>
      <c r="BT572" s="17"/>
      <c r="BU572" s="17"/>
      <c r="BV572" s="17"/>
      <c r="BW572" s="17"/>
      <c r="BX572" s="17"/>
      <c r="BY572" s="17"/>
      <c r="BZ572" s="17"/>
      <c r="CA572" s="17"/>
      <c r="CB572" s="17"/>
      <c r="CC572" s="17"/>
      <c r="CD572" s="17"/>
      <c r="CE572" s="17"/>
      <c r="CF572" s="17"/>
      <c r="CG572" s="17"/>
    </row>
    <row r="573" spans="1:85" s="13" customFormat="1" x14ac:dyDescent="0.25">
      <c r="A573" s="17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G573" s="12"/>
      <c r="AH573" s="12"/>
      <c r="AI573" s="12"/>
      <c r="AJ573" s="12"/>
      <c r="AK573" s="12"/>
      <c r="AL573" s="12"/>
      <c r="AM573" s="12"/>
      <c r="AN573" s="12"/>
      <c r="AP573" s="12"/>
      <c r="AR573" s="12"/>
      <c r="AS573" s="12"/>
      <c r="AT573" s="12"/>
      <c r="AU573" s="12"/>
      <c r="AV573" s="12"/>
      <c r="AW573" s="12"/>
      <c r="AX573" s="12"/>
      <c r="AY573" s="12"/>
      <c r="AZ573" s="12"/>
      <c r="BA573" s="12"/>
      <c r="BB573" s="12"/>
      <c r="BC573" s="12"/>
      <c r="BD573" s="12"/>
      <c r="BF573" s="17"/>
      <c r="BG573" s="17"/>
      <c r="BH573" s="17"/>
      <c r="BI573" s="17"/>
      <c r="BJ573" s="17"/>
      <c r="BK573" s="17"/>
      <c r="BL573" s="17"/>
      <c r="BM573" s="17"/>
      <c r="BN573" s="17"/>
      <c r="BO573" s="17"/>
      <c r="BP573" s="17"/>
      <c r="BQ573" s="17"/>
      <c r="BR573" s="17"/>
      <c r="BS573" s="17"/>
      <c r="BT573" s="17"/>
      <c r="BU573" s="17"/>
      <c r="BV573" s="17"/>
      <c r="BW573" s="17"/>
      <c r="BX573" s="17"/>
      <c r="BY573" s="17"/>
      <c r="BZ573" s="17"/>
      <c r="CA573" s="17"/>
      <c r="CB573" s="17"/>
      <c r="CC573" s="17"/>
      <c r="CD573" s="17"/>
      <c r="CE573" s="17"/>
      <c r="CF573" s="17"/>
      <c r="CG573" s="17"/>
    </row>
    <row r="574" spans="1:85" s="13" customFormat="1" x14ac:dyDescent="0.25">
      <c r="A574" s="17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G574" s="12"/>
      <c r="AH574" s="12"/>
      <c r="AI574" s="12"/>
      <c r="AJ574" s="12"/>
      <c r="AK574" s="12"/>
      <c r="AL574" s="12"/>
      <c r="AM574" s="12"/>
      <c r="AN574" s="12"/>
      <c r="AP574" s="12"/>
      <c r="AR574" s="12"/>
      <c r="AS574" s="12"/>
      <c r="AT574" s="12"/>
      <c r="AU574" s="12"/>
      <c r="AV574" s="12"/>
      <c r="AW574" s="12"/>
      <c r="AX574" s="12"/>
      <c r="AY574" s="12"/>
      <c r="AZ574" s="12"/>
      <c r="BA574" s="12"/>
      <c r="BB574" s="12"/>
      <c r="BC574" s="12"/>
      <c r="BD574" s="12"/>
      <c r="BF574" s="17"/>
      <c r="BG574" s="17"/>
      <c r="BH574" s="17"/>
      <c r="BI574" s="17"/>
      <c r="BJ574" s="17"/>
      <c r="BK574" s="17"/>
      <c r="BL574" s="17"/>
      <c r="BM574" s="17"/>
      <c r="BN574" s="17"/>
      <c r="BO574" s="17"/>
      <c r="BP574" s="17"/>
      <c r="BQ574" s="17"/>
      <c r="BR574" s="17"/>
      <c r="BS574" s="17"/>
      <c r="BT574" s="17"/>
      <c r="BU574" s="17"/>
      <c r="BV574" s="17"/>
      <c r="BW574" s="17"/>
      <c r="BX574" s="17"/>
      <c r="BY574" s="17"/>
      <c r="BZ574" s="17"/>
      <c r="CA574" s="17"/>
      <c r="CB574" s="17"/>
      <c r="CC574" s="17"/>
      <c r="CD574" s="17"/>
      <c r="CE574" s="17"/>
      <c r="CF574" s="17"/>
      <c r="CG574" s="17"/>
    </row>
    <row r="575" spans="1:85" s="13" customFormat="1" x14ac:dyDescent="0.25">
      <c r="A575" s="17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G575" s="12"/>
      <c r="AH575" s="12"/>
      <c r="AI575" s="12"/>
      <c r="AJ575" s="12"/>
      <c r="AK575" s="12"/>
      <c r="AL575" s="12"/>
      <c r="AM575" s="12"/>
      <c r="AN575" s="12"/>
      <c r="AP575" s="12"/>
      <c r="AR575" s="12"/>
      <c r="AS575" s="12"/>
      <c r="AT575" s="12"/>
      <c r="AU575" s="12"/>
      <c r="AV575" s="12"/>
      <c r="AW575" s="12"/>
      <c r="AX575" s="12"/>
      <c r="AY575" s="12"/>
      <c r="AZ575" s="12"/>
      <c r="BA575" s="12"/>
      <c r="BB575" s="12"/>
      <c r="BC575" s="12"/>
      <c r="BD575" s="12"/>
      <c r="BF575" s="17"/>
      <c r="BG575" s="17"/>
      <c r="BH575" s="17"/>
      <c r="BI575" s="17"/>
      <c r="BJ575" s="17"/>
      <c r="BK575" s="17"/>
      <c r="BL575" s="17"/>
      <c r="BM575" s="17"/>
      <c r="BN575" s="17"/>
      <c r="BO575" s="17"/>
      <c r="BP575" s="17"/>
      <c r="BQ575" s="17"/>
      <c r="BR575" s="17"/>
      <c r="BS575" s="17"/>
      <c r="BT575" s="17"/>
      <c r="BU575" s="17"/>
      <c r="BV575" s="17"/>
      <c r="BW575" s="17"/>
      <c r="BX575" s="17"/>
      <c r="BY575" s="17"/>
      <c r="BZ575" s="17"/>
      <c r="CA575" s="17"/>
      <c r="CB575" s="17"/>
      <c r="CC575" s="17"/>
      <c r="CD575" s="17"/>
      <c r="CE575" s="17"/>
      <c r="CF575" s="17"/>
      <c r="CG575" s="17"/>
    </row>
    <row r="576" spans="1:85" s="13" customFormat="1" x14ac:dyDescent="0.25">
      <c r="A576" s="17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G576" s="12"/>
      <c r="AH576" s="12"/>
      <c r="AI576" s="12"/>
      <c r="AJ576" s="12"/>
      <c r="AK576" s="12"/>
      <c r="AL576" s="12"/>
      <c r="AM576" s="12"/>
      <c r="AN576" s="12"/>
      <c r="AP576" s="12"/>
      <c r="AR576" s="12"/>
      <c r="AS576" s="12"/>
      <c r="AT576" s="12"/>
      <c r="AU576" s="12"/>
      <c r="AV576" s="12"/>
      <c r="AW576" s="12"/>
      <c r="AX576" s="12"/>
      <c r="AY576" s="12"/>
      <c r="AZ576" s="12"/>
      <c r="BA576" s="12"/>
      <c r="BB576" s="12"/>
      <c r="BC576" s="12"/>
      <c r="BD576" s="12"/>
      <c r="BF576" s="17"/>
      <c r="BG576" s="17"/>
      <c r="BH576" s="17"/>
      <c r="BI576" s="17"/>
      <c r="BJ576" s="17"/>
      <c r="BK576" s="17"/>
      <c r="BL576" s="17"/>
      <c r="BM576" s="17"/>
      <c r="BN576" s="17"/>
      <c r="BO576" s="17"/>
      <c r="BP576" s="17"/>
      <c r="BQ576" s="17"/>
      <c r="BR576" s="17"/>
      <c r="BS576" s="17"/>
      <c r="BT576" s="17"/>
      <c r="BU576" s="17"/>
      <c r="BV576" s="17"/>
      <c r="BW576" s="17"/>
      <c r="BX576" s="17"/>
      <c r="BY576" s="17"/>
      <c r="BZ576" s="17"/>
      <c r="CA576" s="17"/>
      <c r="CB576" s="17"/>
      <c r="CC576" s="17"/>
      <c r="CD576" s="17"/>
      <c r="CE576" s="17"/>
      <c r="CF576" s="17"/>
      <c r="CG576" s="17"/>
    </row>
    <row r="577" spans="1:85" s="13" customFormat="1" x14ac:dyDescent="0.25">
      <c r="A577" s="17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G577" s="12"/>
      <c r="AH577" s="12"/>
      <c r="AI577" s="12"/>
      <c r="AJ577" s="12"/>
      <c r="AK577" s="12"/>
      <c r="AL577" s="12"/>
      <c r="AM577" s="12"/>
      <c r="AN577" s="12"/>
      <c r="AP577" s="12"/>
      <c r="AR577" s="12"/>
      <c r="AS577" s="12"/>
      <c r="AT577" s="12"/>
      <c r="AU577" s="12"/>
      <c r="AV577" s="12"/>
      <c r="AW577" s="12"/>
      <c r="AX577" s="12"/>
      <c r="AY577" s="12"/>
      <c r="AZ577" s="12"/>
      <c r="BA577" s="12"/>
      <c r="BB577" s="12"/>
      <c r="BC577" s="12"/>
      <c r="BD577" s="12"/>
      <c r="BF577" s="17"/>
      <c r="BG577" s="17"/>
      <c r="BH577" s="17"/>
      <c r="BI577" s="17"/>
      <c r="BJ577" s="17"/>
      <c r="BK577" s="17"/>
      <c r="BL577" s="17"/>
      <c r="BM577" s="17"/>
      <c r="BN577" s="17"/>
      <c r="BO577" s="17"/>
      <c r="BP577" s="17"/>
      <c r="BQ577" s="17"/>
      <c r="BR577" s="17"/>
      <c r="BS577" s="17"/>
      <c r="BT577" s="17"/>
      <c r="BU577" s="17"/>
      <c r="BV577" s="17"/>
      <c r="BW577" s="17"/>
      <c r="BX577" s="17"/>
      <c r="BY577" s="17"/>
      <c r="BZ577" s="17"/>
      <c r="CA577" s="17"/>
      <c r="CB577" s="17"/>
      <c r="CC577" s="17"/>
      <c r="CD577" s="17"/>
      <c r="CE577" s="17"/>
      <c r="CF577" s="17"/>
      <c r="CG577" s="17"/>
    </row>
    <row r="578" spans="1:85" s="13" customFormat="1" x14ac:dyDescent="0.25">
      <c r="A578" s="17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G578" s="12"/>
      <c r="AH578" s="12"/>
      <c r="AI578" s="12"/>
      <c r="AJ578" s="12"/>
      <c r="AK578" s="12"/>
      <c r="AL578" s="12"/>
      <c r="AM578" s="12"/>
      <c r="AN578" s="12"/>
      <c r="AP578" s="12"/>
      <c r="AR578" s="12"/>
      <c r="AS578" s="12"/>
      <c r="AT578" s="12"/>
      <c r="AU578" s="12"/>
      <c r="AV578" s="12"/>
      <c r="AW578" s="12"/>
      <c r="AX578" s="12"/>
      <c r="AY578" s="12"/>
      <c r="AZ578" s="12"/>
      <c r="BA578" s="12"/>
      <c r="BB578" s="12"/>
      <c r="BC578" s="12"/>
      <c r="BD578" s="12"/>
      <c r="BF578" s="17"/>
      <c r="BG578" s="17"/>
      <c r="BH578" s="17"/>
      <c r="BI578" s="17"/>
      <c r="BJ578" s="17"/>
      <c r="BK578" s="17"/>
      <c r="BL578" s="17"/>
      <c r="BM578" s="17"/>
      <c r="BN578" s="17"/>
      <c r="BO578" s="17"/>
      <c r="BP578" s="17"/>
      <c r="BQ578" s="17"/>
      <c r="BR578" s="17"/>
      <c r="BS578" s="17"/>
      <c r="BT578" s="17"/>
      <c r="BU578" s="17"/>
      <c r="BV578" s="17"/>
      <c r="BW578" s="17"/>
      <c r="BX578" s="17"/>
      <c r="BY578" s="17"/>
      <c r="BZ578" s="17"/>
      <c r="CA578" s="17"/>
      <c r="CB578" s="17"/>
      <c r="CC578" s="17"/>
      <c r="CD578" s="17"/>
      <c r="CE578" s="17"/>
      <c r="CF578" s="17"/>
      <c r="CG578" s="17"/>
    </row>
    <row r="579" spans="1:85" x14ac:dyDescent="0.25">
      <c r="AF579" s="17"/>
      <c r="AK579" s="16"/>
      <c r="AO579" s="17"/>
      <c r="AQ579" s="17"/>
      <c r="BB579" s="16"/>
      <c r="BC579" s="16"/>
      <c r="BD579" s="16"/>
    </row>
    <row r="580" spans="1:85" x14ac:dyDescent="0.25">
      <c r="AF580" s="17"/>
      <c r="AK580" s="16"/>
      <c r="AO580" s="17"/>
      <c r="AQ580" s="17"/>
      <c r="BB580" s="16"/>
      <c r="BC580" s="16"/>
      <c r="BD580" s="16"/>
    </row>
    <row r="581" spans="1:85" x14ac:dyDescent="0.25">
      <c r="AF581" s="17"/>
      <c r="AK581" s="16"/>
      <c r="AO581" s="17"/>
      <c r="AQ581" s="17"/>
      <c r="BB581" s="16"/>
      <c r="BC581" s="16"/>
      <c r="BD581" s="16"/>
    </row>
    <row r="582" spans="1:85" x14ac:dyDescent="0.25">
      <c r="AK582" s="16"/>
      <c r="BB582" s="16"/>
      <c r="BC582" s="16"/>
      <c r="BD582" s="16"/>
    </row>
    <row r="583" spans="1:85" x14ac:dyDescent="0.25">
      <c r="AK583" s="16"/>
      <c r="BB583" s="16"/>
      <c r="BC583" s="16"/>
      <c r="BD583" s="16"/>
    </row>
    <row r="584" spans="1:85" x14ac:dyDescent="0.25">
      <c r="AK584" s="16"/>
      <c r="BB584" s="16"/>
      <c r="BC584" s="16"/>
      <c r="BD584" s="16"/>
    </row>
    <row r="585" spans="1:85" x14ac:dyDescent="0.25">
      <c r="AK585" s="16"/>
      <c r="BB585" s="16"/>
      <c r="BC585" s="16"/>
      <c r="BD585" s="16"/>
    </row>
    <row r="586" spans="1:85" x14ac:dyDescent="0.25">
      <c r="AK586" s="16"/>
      <c r="BB586" s="16"/>
      <c r="BC586" s="16"/>
      <c r="BD586" s="16"/>
    </row>
    <row r="587" spans="1:85" x14ac:dyDescent="0.25">
      <c r="AK587" s="16"/>
      <c r="BB587" s="16"/>
      <c r="BC587" s="16"/>
      <c r="BD587" s="16"/>
    </row>
    <row r="588" spans="1:85" x14ac:dyDescent="0.25">
      <c r="AK588" s="16"/>
      <c r="BB588" s="16"/>
      <c r="BC588" s="16"/>
      <c r="BD588" s="16"/>
    </row>
    <row r="589" spans="1:85" x14ac:dyDescent="0.25">
      <c r="AK589" s="16"/>
      <c r="BB589" s="16"/>
      <c r="BC589" s="16"/>
      <c r="BD589" s="16"/>
    </row>
    <row r="590" spans="1:85" x14ac:dyDescent="0.25">
      <c r="AK590" s="16"/>
      <c r="BB590" s="16"/>
      <c r="BC590" s="16"/>
      <c r="BD590" s="16"/>
    </row>
    <row r="591" spans="1:85" x14ac:dyDescent="0.25">
      <c r="AK591" s="16"/>
      <c r="BB591" s="16"/>
      <c r="BC591" s="16"/>
      <c r="BD591" s="16"/>
    </row>
    <row r="592" spans="1:85" x14ac:dyDescent="0.25">
      <c r="AK592" s="16"/>
      <c r="BB592" s="16"/>
      <c r="BC592" s="16"/>
      <c r="BD592" s="16"/>
    </row>
    <row r="593" spans="37:56" x14ac:dyDescent="0.25">
      <c r="AK593" s="16"/>
      <c r="BB593" s="16"/>
      <c r="BC593" s="16"/>
      <c r="BD593" s="16"/>
    </row>
    <row r="594" spans="37:56" x14ac:dyDescent="0.25">
      <c r="AK594" s="16"/>
      <c r="BB594" s="16"/>
      <c r="BC594" s="16"/>
      <c r="BD594" s="16"/>
    </row>
    <row r="595" spans="37:56" x14ac:dyDescent="0.25">
      <c r="AK595" s="16"/>
      <c r="BB595" s="16"/>
      <c r="BC595" s="16"/>
      <c r="BD595" s="16"/>
    </row>
    <row r="596" spans="37:56" x14ac:dyDescent="0.25">
      <c r="AK596" s="16"/>
      <c r="BB596" s="16"/>
      <c r="BC596" s="16"/>
      <c r="BD596" s="16"/>
    </row>
    <row r="597" spans="37:56" x14ac:dyDescent="0.25">
      <c r="AK597" s="16"/>
      <c r="BB597" s="16"/>
      <c r="BC597" s="16"/>
      <c r="BD597" s="16"/>
    </row>
    <row r="598" spans="37:56" x14ac:dyDescent="0.25">
      <c r="AK598" s="16"/>
      <c r="BB598" s="16"/>
      <c r="BC598" s="16"/>
      <c r="BD598" s="16"/>
    </row>
    <row r="599" spans="37:56" x14ac:dyDescent="0.25">
      <c r="AK599" s="16"/>
      <c r="BB599" s="16"/>
      <c r="BC599" s="16"/>
      <c r="BD599" s="16"/>
    </row>
    <row r="600" spans="37:56" x14ac:dyDescent="0.25">
      <c r="AK600" s="16"/>
      <c r="BB600" s="16"/>
      <c r="BC600" s="16"/>
      <c r="BD600" s="16"/>
    </row>
    <row r="601" spans="37:56" x14ac:dyDescent="0.25">
      <c r="AK601" s="16"/>
      <c r="BB601" s="16"/>
      <c r="BC601" s="16"/>
      <c r="BD601" s="16"/>
    </row>
    <row r="602" spans="37:56" x14ac:dyDescent="0.25">
      <c r="AK602" s="16"/>
      <c r="BB602" s="16"/>
      <c r="BC602" s="16"/>
      <c r="BD602" s="16"/>
    </row>
    <row r="603" spans="37:56" x14ac:dyDescent="0.25">
      <c r="AK603" s="16"/>
      <c r="BB603" s="16"/>
      <c r="BC603" s="16"/>
      <c r="BD603" s="16"/>
    </row>
    <row r="604" spans="37:56" x14ac:dyDescent="0.25">
      <c r="AK604" s="16"/>
      <c r="BB604" s="16"/>
      <c r="BC604" s="16"/>
      <c r="BD604" s="16"/>
    </row>
    <row r="605" spans="37:56" x14ac:dyDescent="0.25">
      <c r="AK605" s="16"/>
      <c r="BB605" s="16"/>
      <c r="BC605" s="16"/>
      <c r="BD605" s="16"/>
    </row>
    <row r="606" spans="37:56" x14ac:dyDescent="0.25">
      <c r="AK606" s="16"/>
      <c r="BB606" s="16"/>
      <c r="BC606" s="16"/>
      <c r="BD606" s="16"/>
    </row>
    <row r="607" spans="37:56" x14ac:dyDescent="0.25">
      <c r="AK607" s="16"/>
      <c r="BB607" s="16"/>
      <c r="BC607" s="16"/>
      <c r="BD607" s="16"/>
    </row>
    <row r="608" spans="37:56" x14ac:dyDescent="0.25">
      <c r="AK608" s="16"/>
      <c r="BB608" s="16"/>
      <c r="BC608" s="16"/>
      <c r="BD608" s="16"/>
    </row>
    <row r="609" spans="37:56" x14ac:dyDescent="0.25">
      <c r="AK609" s="16"/>
      <c r="BB609" s="16"/>
      <c r="BC609" s="16"/>
      <c r="BD609" s="16"/>
    </row>
    <row r="610" spans="37:56" x14ac:dyDescent="0.25">
      <c r="AK610" s="16"/>
      <c r="BB610" s="16"/>
      <c r="BC610" s="16"/>
      <c r="BD610" s="16"/>
    </row>
    <row r="611" spans="37:56" x14ac:dyDescent="0.25">
      <c r="AK611" s="16"/>
      <c r="BB611" s="16"/>
      <c r="BC611" s="16"/>
      <c r="BD611" s="16"/>
    </row>
    <row r="612" spans="37:56" x14ac:dyDescent="0.25">
      <c r="AK612" s="16"/>
      <c r="BB612" s="16"/>
      <c r="BC612" s="16"/>
      <c r="BD612" s="16"/>
    </row>
    <row r="613" spans="37:56" x14ac:dyDescent="0.25">
      <c r="AK613" s="16"/>
      <c r="BB613" s="16"/>
      <c r="BC613" s="16"/>
      <c r="BD613" s="16"/>
    </row>
    <row r="614" spans="37:56" x14ac:dyDescent="0.25">
      <c r="AK614" s="16"/>
      <c r="BB614" s="16"/>
      <c r="BC614" s="16"/>
      <c r="BD614" s="16"/>
    </row>
    <row r="615" spans="37:56" x14ac:dyDescent="0.25">
      <c r="AK615" s="16"/>
      <c r="BB615" s="16"/>
      <c r="BC615" s="16"/>
      <c r="BD615" s="16"/>
    </row>
    <row r="616" spans="37:56" x14ac:dyDescent="0.25">
      <c r="AK616" s="16"/>
      <c r="BB616" s="16"/>
      <c r="BC616" s="16"/>
      <c r="BD616" s="16"/>
    </row>
    <row r="617" spans="37:56" x14ac:dyDescent="0.25">
      <c r="AK617" s="16"/>
      <c r="BB617" s="16"/>
      <c r="BC617" s="16"/>
      <c r="BD617" s="16"/>
    </row>
    <row r="618" spans="37:56" x14ac:dyDescent="0.25">
      <c r="AK618" s="16"/>
      <c r="BB618" s="16"/>
      <c r="BC618" s="16"/>
      <c r="BD618" s="16"/>
    </row>
    <row r="619" spans="37:56" x14ac:dyDescent="0.25">
      <c r="AK619" s="16"/>
      <c r="BB619" s="16"/>
      <c r="BC619" s="16"/>
      <c r="BD619" s="16"/>
    </row>
    <row r="620" spans="37:56" x14ac:dyDescent="0.25">
      <c r="AK620" s="16"/>
      <c r="BB620" s="16"/>
      <c r="BC620" s="16"/>
      <c r="BD620" s="16"/>
    </row>
    <row r="621" spans="37:56" x14ac:dyDescent="0.25">
      <c r="AK621" s="16"/>
      <c r="BB621" s="16"/>
      <c r="BC621" s="16"/>
      <c r="BD621" s="16"/>
    </row>
    <row r="622" spans="37:56" x14ac:dyDescent="0.25">
      <c r="AK622" s="16"/>
      <c r="BB622" s="16"/>
      <c r="BC622" s="16"/>
      <c r="BD622" s="16"/>
    </row>
    <row r="623" spans="37:56" x14ac:dyDescent="0.25">
      <c r="AK623" s="16"/>
      <c r="BB623" s="16"/>
      <c r="BC623" s="16"/>
      <c r="BD623" s="16"/>
    </row>
    <row r="624" spans="37:56" x14ac:dyDescent="0.25">
      <c r="AK624" s="16"/>
      <c r="BB624" s="16"/>
      <c r="BC624" s="16"/>
      <c r="BD624" s="16"/>
    </row>
    <row r="625" spans="37:56" x14ac:dyDescent="0.25">
      <c r="AK625" s="16"/>
      <c r="BB625" s="16"/>
      <c r="BC625" s="16"/>
      <c r="BD625" s="16"/>
    </row>
    <row r="626" spans="37:56" x14ac:dyDescent="0.25">
      <c r="AK626" s="16"/>
      <c r="BB626" s="16"/>
      <c r="BC626" s="16"/>
      <c r="BD626" s="16"/>
    </row>
    <row r="627" spans="37:56" x14ac:dyDescent="0.25">
      <c r="AK627" s="16"/>
      <c r="BB627" s="16"/>
      <c r="BC627" s="16"/>
      <c r="BD627" s="16"/>
    </row>
    <row r="628" spans="37:56" x14ac:dyDescent="0.25">
      <c r="AK628" s="16"/>
      <c r="BB628" s="16"/>
      <c r="BC628" s="16"/>
      <c r="BD628" s="16"/>
    </row>
    <row r="629" spans="37:56" x14ac:dyDescent="0.25">
      <c r="AK629" s="16"/>
      <c r="BB629" s="16"/>
      <c r="BC629" s="16"/>
      <c r="BD629" s="16"/>
    </row>
    <row r="630" spans="37:56" x14ac:dyDescent="0.25">
      <c r="AK630" s="16"/>
      <c r="BB630" s="16"/>
      <c r="BC630" s="16"/>
      <c r="BD630" s="16"/>
    </row>
    <row r="631" spans="37:56" x14ac:dyDescent="0.25">
      <c r="AK631" s="16"/>
      <c r="BB631" s="16"/>
      <c r="BC631" s="16"/>
      <c r="BD631" s="16"/>
    </row>
    <row r="632" spans="37:56" x14ac:dyDescent="0.25">
      <c r="AK632" s="16"/>
      <c r="BB632" s="16"/>
      <c r="BC632" s="16"/>
      <c r="BD632" s="16"/>
    </row>
    <row r="633" spans="37:56" x14ac:dyDescent="0.25">
      <c r="AK633" s="16"/>
      <c r="BB633" s="16"/>
      <c r="BC633" s="16"/>
      <c r="BD633" s="16"/>
    </row>
    <row r="634" spans="37:56" x14ac:dyDescent="0.25">
      <c r="AK634" s="16"/>
      <c r="BB634" s="16"/>
      <c r="BC634" s="16"/>
      <c r="BD634" s="16"/>
    </row>
    <row r="635" spans="37:56" x14ac:dyDescent="0.25">
      <c r="AK635" s="16"/>
      <c r="BB635" s="16"/>
      <c r="BC635" s="16"/>
      <c r="BD635" s="16"/>
    </row>
    <row r="636" spans="37:56" x14ac:dyDescent="0.25">
      <c r="AK636" s="16"/>
      <c r="BB636" s="16"/>
      <c r="BC636" s="16"/>
      <c r="BD636" s="16"/>
    </row>
    <row r="637" spans="37:56" x14ac:dyDescent="0.25">
      <c r="AK637" s="16"/>
      <c r="BB637" s="16"/>
      <c r="BC637" s="16"/>
      <c r="BD637" s="16"/>
    </row>
    <row r="638" spans="37:56" x14ac:dyDescent="0.25">
      <c r="AK638" s="16"/>
      <c r="BB638" s="16"/>
      <c r="BC638" s="16"/>
      <c r="BD638" s="16"/>
    </row>
    <row r="639" spans="37:56" x14ac:dyDescent="0.25">
      <c r="AK639" s="16"/>
      <c r="BB639" s="16"/>
      <c r="BC639" s="16"/>
      <c r="BD639" s="16"/>
    </row>
    <row r="640" spans="37:56" x14ac:dyDescent="0.25">
      <c r="AK640" s="16"/>
      <c r="BB640" s="16"/>
      <c r="BC640" s="16"/>
      <c r="BD640" s="16"/>
    </row>
    <row r="641" spans="37:56" x14ac:dyDescent="0.25">
      <c r="AK641" s="16"/>
      <c r="BB641" s="16"/>
      <c r="BC641" s="16"/>
      <c r="BD641" s="16"/>
    </row>
    <row r="642" spans="37:56" x14ac:dyDescent="0.25">
      <c r="AK642" s="16"/>
      <c r="BB642" s="16"/>
      <c r="BC642" s="16"/>
      <c r="BD642" s="16"/>
    </row>
    <row r="643" spans="37:56" x14ac:dyDescent="0.25">
      <c r="AK643" s="16"/>
      <c r="BB643" s="16"/>
      <c r="BC643" s="16"/>
      <c r="BD643" s="16"/>
    </row>
    <row r="644" spans="37:56" x14ac:dyDescent="0.25">
      <c r="AK644" s="16"/>
      <c r="BB644" s="16"/>
      <c r="BC644" s="16"/>
      <c r="BD644" s="16"/>
    </row>
    <row r="645" spans="37:56" x14ac:dyDescent="0.25">
      <c r="AK645" s="16"/>
      <c r="BB645" s="16"/>
      <c r="BC645" s="16"/>
      <c r="BD645" s="16"/>
    </row>
    <row r="646" spans="37:56" x14ac:dyDescent="0.25">
      <c r="AK646" s="16"/>
      <c r="BB646" s="16"/>
      <c r="BC646" s="16"/>
      <c r="BD646" s="16"/>
    </row>
    <row r="647" spans="37:56" x14ac:dyDescent="0.25">
      <c r="AK647" s="16"/>
      <c r="BB647" s="16"/>
      <c r="BC647" s="16"/>
      <c r="BD647" s="16"/>
    </row>
    <row r="648" spans="37:56" x14ac:dyDescent="0.25">
      <c r="AK648" s="16"/>
      <c r="BB648" s="16"/>
      <c r="BC648" s="16"/>
      <c r="BD648" s="16"/>
    </row>
    <row r="649" spans="37:56" x14ac:dyDescent="0.25">
      <c r="AK649" s="16"/>
      <c r="BB649" s="16"/>
      <c r="BC649" s="16"/>
      <c r="BD649" s="16"/>
    </row>
    <row r="650" spans="37:56" x14ac:dyDescent="0.25">
      <c r="AK650" s="16"/>
      <c r="BB650" s="16"/>
      <c r="BC650" s="16"/>
      <c r="BD650" s="16"/>
    </row>
    <row r="651" spans="37:56" x14ac:dyDescent="0.25">
      <c r="AK651" s="16"/>
      <c r="BB651" s="16"/>
      <c r="BC651" s="16"/>
      <c r="BD651" s="16"/>
    </row>
    <row r="652" spans="37:56" x14ac:dyDescent="0.25">
      <c r="AK652" s="16"/>
      <c r="BB652" s="16"/>
      <c r="BC652" s="16"/>
      <c r="BD652" s="16"/>
    </row>
    <row r="653" spans="37:56" x14ac:dyDescent="0.25">
      <c r="AK653" s="16"/>
      <c r="BB653" s="16"/>
      <c r="BC653" s="16"/>
      <c r="BD653" s="16"/>
    </row>
    <row r="654" spans="37:56" x14ac:dyDescent="0.25">
      <c r="AK654" s="16"/>
      <c r="BB654" s="16"/>
      <c r="BC654" s="16"/>
      <c r="BD654" s="16"/>
    </row>
    <row r="655" spans="37:56" x14ac:dyDescent="0.25">
      <c r="AK655" s="16"/>
      <c r="BB655" s="16"/>
      <c r="BC655" s="16"/>
      <c r="BD655" s="16"/>
    </row>
    <row r="656" spans="37:56" x14ac:dyDescent="0.25">
      <c r="AK656" s="16"/>
      <c r="BB656" s="16"/>
      <c r="BC656" s="16"/>
      <c r="BD656" s="16"/>
    </row>
    <row r="657" spans="37:56" x14ac:dyDescent="0.25">
      <c r="AK657" s="16"/>
      <c r="BB657" s="16"/>
      <c r="BC657" s="16"/>
      <c r="BD657" s="16"/>
    </row>
    <row r="658" spans="37:56" x14ac:dyDescent="0.25">
      <c r="AK658" s="16"/>
      <c r="BB658" s="16"/>
      <c r="BC658" s="16"/>
    </row>
    <row r="659" spans="37:56" x14ac:dyDescent="0.25">
      <c r="AK659" s="16"/>
      <c r="BB659" s="16"/>
      <c r="BC659" s="16"/>
    </row>
    <row r="660" spans="37:56" x14ac:dyDescent="0.25">
      <c r="AK660" s="16"/>
      <c r="BB660" s="16"/>
      <c r="BC660" s="16"/>
    </row>
    <row r="661" spans="37:56" x14ac:dyDescent="0.25">
      <c r="AK661" s="16"/>
      <c r="BB661" s="16"/>
      <c r="BC661" s="16"/>
    </row>
    <row r="662" spans="37:56" x14ac:dyDescent="0.25">
      <c r="AK662" s="16"/>
      <c r="BB662" s="16"/>
      <c r="BC662" s="16"/>
    </row>
    <row r="663" spans="37:56" x14ac:dyDescent="0.25">
      <c r="AK663" s="16"/>
      <c r="BB663" s="16"/>
      <c r="BC663" s="16"/>
    </row>
    <row r="664" spans="37:56" x14ac:dyDescent="0.25">
      <c r="AK664" s="16"/>
      <c r="BB664" s="16"/>
      <c r="BC664" s="16"/>
    </row>
    <row r="665" spans="37:56" x14ac:dyDescent="0.25">
      <c r="AK665" s="16"/>
      <c r="BB665" s="16"/>
      <c r="BC665" s="16"/>
    </row>
    <row r="666" spans="37:56" x14ac:dyDescent="0.25">
      <c r="AK666" s="16"/>
      <c r="BB666" s="16"/>
      <c r="BC666" s="16"/>
    </row>
    <row r="667" spans="37:56" x14ac:dyDescent="0.25">
      <c r="AK667" s="16"/>
      <c r="BB667" s="16"/>
      <c r="BC667" s="16"/>
    </row>
    <row r="668" spans="37:56" x14ac:dyDescent="0.25">
      <c r="AK668" s="16"/>
      <c r="BB668" s="16"/>
      <c r="BC668" s="16"/>
    </row>
    <row r="669" spans="37:56" x14ac:dyDescent="0.25">
      <c r="AK669" s="16"/>
      <c r="BB669" s="16"/>
      <c r="BC669" s="16"/>
    </row>
    <row r="670" spans="37:56" x14ac:dyDescent="0.25">
      <c r="AK670" s="16"/>
      <c r="BB670" s="16"/>
      <c r="BC670" s="16"/>
    </row>
    <row r="671" spans="37:56" x14ac:dyDescent="0.25">
      <c r="AK671" s="16"/>
      <c r="BB671" s="16"/>
      <c r="BC671" s="16"/>
    </row>
    <row r="672" spans="37:56" x14ac:dyDescent="0.25">
      <c r="AK672" s="16"/>
      <c r="BB672" s="16"/>
      <c r="BC672" s="16"/>
    </row>
    <row r="673" spans="37:55" x14ac:dyDescent="0.25">
      <c r="AK673" s="16"/>
      <c r="BB673" s="16"/>
      <c r="BC673" s="16"/>
    </row>
    <row r="674" spans="37:55" x14ac:dyDescent="0.25">
      <c r="AK674" s="16"/>
      <c r="BB674" s="16"/>
      <c r="BC674" s="16"/>
    </row>
    <row r="675" spans="37:55" x14ac:dyDescent="0.25">
      <c r="AK675" s="16"/>
      <c r="BB675" s="16"/>
      <c r="BC675" s="16"/>
    </row>
    <row r="676" spans="37:55" x14ac:dyDescent="0.25">
      <c r="AK676" s="16"/>
      <c r="BB676" s="16"/>
      <c r="BC676" s="16"/>
    </row>
    <row r="677" spans="37:55" x14ac:dyDescent="0.25">
      <c r="AK677" s="16"/>
      <c r="BB677" s="16"/>
      <c r="BC677" s="16"/>
    </row>
    <row r="678" spans="37:55" x14ac:dyDescent="0.25">
      <c r="AK678" s="16"/>
      <c r="BB678" s="16"/>
      <c r="BC678" s="16"/>
    </row>
    <row r="679" spans="37:55" x14ac:dyDescent="0.25">
      <c r="AK679" s="16"/>
      <c r="BB679" s="16"/>
      <c r="BC679" s="16"/>
    </row>
    <row r="680" spans="37:55" x14ac:dyDescent="0.25">
      <c r="AK680" s="16"/>
      <c r="BB680" s="16"/>
    </row>
    <row r="681" spans="37:55" x14ac:dyDescent="0.25">
      <c r="AK681" s="16"/>
      <c r="BB681" s="16"/>
    </row>
    <row r="682" spans="37:55" x14ac:dyDescent="0.25">
      <c r="AK682" s="16"/>
      <c r="BB682" s="16"/>
    </row>
    <row r="683" spans="37:55" x14ac:dyDescent="0.25">
      <c r="AK683" s="16"/>
      <c r="BB683" s="16"/>
    </row>
    <row r="684" spans="37:55" x14ac:dyDescent="0.25">
      <c r="AK684" s="16"/>
      <c r="BB684" s="16"/>
    </row>
    <row r="685" spans="37:55" x14ac:dyDescent="0.25">
      <c r="AK685" s="16"/>
      <c r="BB685" s="16"/>
    </row>
    <row r="686" spans="37:55" x14ac:dyDescent="0.25">
      <c r="AK686" s="16"/>
      <c r="BB686" s="16"/>
    </row>
    <row r="687" spans="37:55" x14ac:dyDescent="0.25">
      <c r="AK687" s="16"/>
      <c r="BB687" s="16"/>
    </row>
    <row r="688" spans="37:55" x14ac:dyDescent="0.25">
      <c r="AK688" s="16"/>
      <c r="BB688" s="16"/>
    </row>
    <row r="689" spans="37:54" x14ac:dyDescent="0.25">
      <c r="AK689" s="16"/>
      <c r="BB689" s="16"/>
    </row>
    <row r="690" spans="37:54" x14ac:dyDescent="0.25">
      <c r="AK690" s="16"/>
      <c r="BB690" s="16"/>
    </row>
    <row r="691" spans="37:54" x14ac:dyDescent="0.25">
      <c r="AK691" s="16"/>
      <c r="BB691" s="16"/>
    </row>
    <row r="692" spans="37:54" x14ac:dyDescent="0.25">
      <c r="AK692" s="16"/>
      <c r="BB692" s="16"/>
    </row>
    <row r="693" spans="37:54" x14ac:dyDescent="0.25">
      <c r="AK693" s="16"/>
      <c r="BB693" s="16"/>
    </row>
    <row r="694" spans="37:54" x14ac:dyDescent="0.25">
      <c r="AK694" s="16"/>
      <c r="BB694" s="16"/>
    </row>
    <row r="695" spans="37:54" x14ac:dyDescent="0.25">
      <c r="AK695" s="16"/>
      <c r="BB695" s="16"/>
    </row>
    <row r="696" spans="37:54" x14ac:dyDescent="0.25">
      <c r="AK696" s="16"/>
      <c r="BB696" s="16"/>
    </row>
    <row r="697" spans="37:54" x14ac:dyDescent="0.25">
      <c r="AK697" s="16"/>
      <c r="BB697" s="16"/>
    </row>
    <row r="698" spans="37:54" x14ac:dyDescent="0.25">
      <c r="AK698" s="16"/>
      <c r="BB698" s="16"/>
    </row>
    <row r="699" spans="37:54" x14ac:dyDescent="0.25">
      <c r="AK699" s="16"/>
      <c r="BB699" s="16"/>
    </row>
    <row r="700" spans="37:54" x14ac:dyDescent="0.25">
      <c r="AK700" s="16"/>
      <c r="BB700" s="16"/>
    </row>
    <row r="701" spans="37:54" x14ac:dyDescent="0.25">
      <c r="AK701" s="16"/>
      <c r="BB701" s="16"/>
    </row>
    <row r="702" spans="37:54" x14ac:dyDescent="0.25">
      <c r="AK702" s="16"/>
      <c r="BB702" s="16"/>
    </row>
    <row r="703" spans="37:54" x14ac:dyDescent="0.25">
      <c r="AK703" s="16"/>
      <c r="BB703" s="16"/>
    </row>
    <row r="704" spans="37:54" x14ac:dyDescent="0.25">
      <c r="AK704" s="16"/>
      <c r="BB704" s="16"/>
    </row>
    <row r="705" spans="37:54" x14ac:dyDescent="0.25">
      <c r="AK705" s="16"/>
      <c r="BB705" s="16"/>
    </row>
    <row r="706" spans="37:54" x14ac:dyDescent="0.25">
      <c r="AK706" s="16"/>
      <c r="BB706" s="16"/>
    </row>
    <row r="707" spans="37:54" x14ac:dyDescent="0.25">
      <c r="AK707" s="16"/>
      <c r="BB707" s="16"/>
    </row>
    <row r="708" spans="37:54" x14ac:dyDescent="0.25">
      <c r="AK708" s="16"/>
      <c r="BB708" s="16"/>
    </row>
    <row r="709" spans="37:54" x14ac:dyDescent="0.25">
      <c r="AK709" s="16"/>
      <c r="BB709" s="16"/>
    </row>
    <row r="710" spans="37:54" x14ac:dyDescent="0.25">
      <c r="AK710" s="16"/>
      <c r="BB710" s="16"/>
    </row>
    <row r="711" spans="37:54" x14ac:dyDescent="0.25">
      <c r="AK711" s="16"/>
      <c r="BB711" s="16"/>
    </row>
    <row r="712" spans="37:54" x14ac:dyDescent="0.25">
      <c r="AK712" s="16"/>
      <c r="BB712" s="16"/>
    </row>
    <row r="713" spans="37:54" x14ac:dyDescent="0.25">
      <c r="AK713" s="16"/>
      <c r="BB713" s="16"/>
    </row>
    <row r="714" spans="37:54" x14ac:dyDescent="0.25">
      <c r="AK714" s="16"/>
      <c r="BB714" s="16"/>
    </row>
    <row r="715" spans="37:54" x14ac:dyDescent="0.25">
      <c r="AK715" s="16"/>
      <c r="BB715" s="16"/>
    </row>
    <row r="716" spans="37:54" x14ac:dyDescent="0.25">
      <c r="BB716" s="16"/>
    </row>
    <row r="717" spans="37:54" x14ac:dyDescent="0.25">
      <c r="BB717" s="16"/>
    </row>
    <row r="718" spans="37:54" x14ac:dyDescent="0.25">
      <c r="BB718" s="16"/>
    </row>
    <row r="719" spans="37:54" x14ac:dyDescent="0.25">
      <c r="BB719" s="16"/>
    </row>
    <row r="720" spans="37:54" x14ac:dyDescent="0.25">
      <c r="BB720" s="16"/>
    </row>
    <row r="721" spans="54:54" x14ac:dyDescent="0.25">
      <c r="BB721" s="16"/>
    </row>
    <row r="722" spans="54:54" x14ac:dyDescent="0.25">
      <c r="BB722" s="16"/>
    </row>
    <row r="723" spans="54:54" x14ac:dyDescent="0.25">
      <c r="BB723" s="16"/>
    </row>
    <row r="724" spans="54:54" x14ac:dyDescent="0.25">
      <c r="BB724" s="16"/>
    </row>
    <row r="725" spans="54:54" x14ac:dyDescent="0.25">
      <c r="BB725" s="16"/>
    </row>
    <row r="726" spans="54:54" x14ac:dyDescent="0.25">
      <c r="BB726" s="16"/>
    </row>
    <row r="727" spans="54:54" x14ac:dyDescent="0.25">
      <c r="BB727" s="16"/>
    </row>
    <row r="728" spans="54:54" x14ac:dyDescent="0.25">
      <c r="BB728" s="16"/>
    </row>
    <row r="729" spans="54:54" x14ac:dyDescent="0.25">
      <c r="BB729" s="16"/>
    </row>
    <row r="730" spans="54:54" x14ac:dyDescent="0.25">
      <c r="BB730" s="16"/>
    </row>
    <row r="731" spans="54:54" x14ac:dyDescent="0.25">
      <c r="BB731" s="16"/>
    </row>
    <row r="732" spans="54:54" x14ac:dyDescent="0.25">
      <c r="BB732" s="16"/>
    </row>
    <row r="733" spans="54:54" x14ac:dyDescent="0.25">
      <c r="BB733" s="16"/>
    </row>
    <row r="734" spans="54:54" x14ac:dyDescent="0.25">
      <c r="BB734" s="16"/>
    </row>
    <row r="735" spans="54:54" x14ac:dyDescent="0.25">
      <c r="BB735" s="16"/>
    </row>
    <row r="736" spans="54:54" x14ac:dyDescent="0.25">
      <c r="BB736" s="16"/>
    </row>
    <row r="737" spans="54:54" x14ac:dyDescent="0.25">
      <c r="BB737" s="16"/>
    </row>
    <row r="738" spans="54:54" x14ac:dyDescent="0.25">
      <c r="BB738" s="16"/>
    </row>
    <row r="739" spans="54:54" x14ac:dyDescent="0.25">
      <c r="BB739" s="16"/>
    </row>
    <row r="740" spans="54:54" x14ac:dyDescent="0.25">
      <c r="BB740" s="16"/>
    </row>
    <row r="741" spans="54:54" x14ac:dyDescent="0.25">
      <c r="BB741" s="16"/>
    </row>
    <row r="742" spans="54:54" x14ac:dyDescent="0.25">
      <c r="BB742" s="16"/>
    </row>
    <row r="743" spans="54:54" x14ac:dyDescent="0.25">
      <c r="BB743" s="16"/>
    </row>
    <row r="744" spans="54:54" x14ac:dyDescent="0.25">
      <c r="BB744" s="16"/>
    </row>
    <row r="745" spans="54:54" x14ac:dyDescent="0.25">
      <c r="BB745" s="16"/>
    </row>
    <row r="746" spans="54:54" x14ac:dyDescent="0.25">
      <c r="BB746" s="16"/>
    </row>
    <row r="747" spans="54:54" x14ac:dyDescent="0.25">
      <c r="BB747" s="16"/>
    </row>
    <row r="748" spans="54:54" x14ac:dyDescent="0.25">
      <c r="BB748" s="16"/>
    </row>
    <row r="749" spans="54:54" x14ac:dyDescent="0.25">
      <c r="BB749" s="16"/>
    </row>
    <row r="750" spans="54:54" x14ac:dyDescent="0.25">
      <c r="BB750" s="16"/>
    </row>
    <row r="751" spans="54:54" x14ac:dyDescent="0.25">
      <c r="BB751" s="16"/>
    </row>
    <row r="752" spans="54:54" x14ac:dyDescent="0.25">
      <c r="BB752" s="16"/>
    </row>
    <row r="753" spans="54:54" x14ac:dyDescent="0.25">
      <c r="BB753" s="16"/>
    </row>
    <row r="754" spans="54:54" x14ac:dyDescent="0.25">
      <c r="BB754" s="16"/>
    </row>
    <row r="755" spans="54:54" x14ac:dyDescent="0.25">
      <c r="BB755" s="16"/>
    </row>
    <row r="756" spans="54:54" x14ac:dyDescent="0.25">
      <c r="BB756" s="16"/>
    </row>
    <row r="757" spans="54:54" x14ac:dyDescent="0.25">
      <c r="BB757" s="16"/>
    </row>
    <row r="758" spans="54:54" x14ac:dyDescent="0.25">
      <c r="BB758" s="16"/>
    </row>
    <row r="759" spans="54:54" x14ac:dyDescent="0.25">
      <c r="BB759" s="16"/>
    </row>
    <row r="760" spans="54:54" x14ac:dyDescent="0.25">
      <c r="BB760" s="16"/>
    </row>
    <row r="761" spans="54:54" x14ac:dyDescent="0.25">
      <c r="BB761" s="16"/>
    </row>
    <row r="762" spans="54:54" x14ac:dyDescent="0.25">
      <c r="BB762" s="16"/>
    </row>
    <row r="763" spans="54:54" x14ac:dyDescent="0.25">
      <c r="BB763" s="16"/>
    </row>
    <row r="764" spans="54:54" x14ac:dyDescent="0.25">
      <c r="BB764" s="16"/>
    </row>
    <row r="765" spans="54:54" x14ac:dyDescent="0.25">
      <c r="BB765" s="16"/>
    </row>
    <row r="766" spans="54:54" x14ac:dyDescent="0.25">
      <c r="BB766" s="16"/>
    </row>
    <row r="767" spans="54:54" x14ac:dyDescent="0.25">
      <c r="BB767" s="16"/>
    </row>
    <row r="768" spans="54:54" x14ac:dyDescent="0.25">
      <c r="BB768" s="16"/>
    </row>
    <row r="769" spans="54:54" x14ac:dyDescent="0.25">
      <c r="BB769" s="16"/>
    </row>
    <row r="770" spans="54:54" x14ac:dyDescent="0.25">
      <c r="BB770" s="16"/>
    </row>
    <row r="771" spans="54:54" x14ac:dyDescent="0.25">
      <c r="BB771" s="16"/>
    </row>
    <row r="772" spans="54:54" x14ac:dyDescent="0.25">
      <c r="BB772" s="16"/>
    </row>
    <row r="773" spans="54:54" x14ac:dyDescent="0.25">
      <c r="BB773" s="16"/>
    </row>
    <row r="774" spans="54:54" x14ac:dyDescent="0.25">
      <c r="BB774" s="16"/>
    </row>
    <row r="775" spans="54:54" x14ac:dyDescent="0.25">
      <c r="BB775" s="16"/>
    </row>
    <row r="776" spans="54:54" x14ac:dyDescent="0.25">
      <c r="BB776" s="16"/>
    </row>
    <row r="777" spans="54:54" x14ac:dyDescent="0.25">
      <c r="BB777" s="16"/>
    </row>
    <row r="778" spans="54:54" x14ac:dyDescent="0.25">
      <c r="BB778" s="16"/>
    </row>
    <row r="779" spans="54:54" x14ac:dyDescent="0.25">
      <c r="BB779" s="16"/>
    </row>
    <row r="780" spans="54:54" x14ac:dyDescent="0.25">
      <c r="BB780" s="16"/>
    </row>
    <row r="781" spans="54:54" x14ac:dyDescent="0.25">
      <c r="BB781" s="16"/>
    </row>
    <row r="782" spans="54:54" x14ac:dyDescent="0.25">
      <c r="BB782" s="16"/>
    </row>
    <row r="783" spans="54:54" x14ac:dyDescent="0.25">
      <c r="BB783" s="16"/>
    </row>
    <row r="784" spans="54:54" x14ac:dyDescent="0.25">
      <c r="BB784" s="16"/>
    </row>
    <row r="785" spans="54:54" x14ac:dyDescent="0.25">
      <c r="BB785" s="16"/>
    </row>
    <row r="786" spans="54:54" x14ac:dyDescent="0.25">
      <c r="BB786" s="16"/>
    </row>
    <row r="787" spans="54:54" x14ac:dyDescent="0.25">
      <c r="BB787" s="16"/>
    </row>
    <row r="788" spans="54:54" x14ac:dyDescent="0.25">
      <c r="BB788" s="16"/>
    </row>
    <row r="789" spans="54:54" x14ac:dyDescent="0.25">
      <c r="BB789" s="16"/>
    </row>
    <row r="790" spans="54:54" x14ac:dyDescent="0.25">
      <c r="BB790" s="16"/>
    </row>
    <row r="791" spans="54:54" x14ac:dyDescent="0.25">
      <c r="BB791" s="16"/>
    </row>
    <row r="792" spans="54:54" x14ac:dyDescent="0.25">
      <c r="BB792" s="16"/>
    </row>
    <row r="793" spans="54:54" x14ac:dyDescent="0.25">
      <c r="BB793" s="16"/>
    </row>
    <row r="794" spans="54:54" x14ac:dyDescent="0.25">
      <c r="BB794" s="16"/>
    </row>
    <row r="795" spans="54:54" x14ac:dyDescent="0.25">
      <c r="BB795" s="16"/>
    </row>
    <row r="796" spans="54:54" x14ac:dyDescent="0.25">
      <c r="BB796" s="16"/>
    </row>
    <row r="797" spans="54:54" x14ac:dyDescent="0.25">
      <c r="BB797" s="16"/>
    </row>
    <row r="798" spans="54:54" x14ac:dyDescent="0.25">
      <c r="BB798" s="16"/>
    </row>
    <row r="799" spans="54:54" x14ac:dyDescent="0.25">
      <c r="BB799" s="16"/>
    </row>
    <row r="800" spans="54:54" x14ac:dyDescent="0.25">
      <c r="BB800" s="16"/>
    </row>
    <row r="801" spans="54:54" x14ac:dyDescent="0.25">
      <c r="BB801" s="16"/>
    </row>
    <row r="802" spans="54:54" x14ac:dyDescent="0.25">
      <c r="BB802" s="16"/>
    </row>
    <row r="803" spans="54:54" x14ac:dyDescent="0.25">
      <c r="BB803" s="16"/>
    </row>
    <row r="804" spans="54:54" x14ac:dyDescent="0.25">
      <c r="BB804" s="16"/>
    </row>
    <row r="805" spans="54:54" x14ac:dyDescent="0.25">
      <c r="BB805" s="16"/>
    </row>
    <row r="806" spans="54:54" x14ac:dyDescent="0.25">
      <c r="BB806" s="16"/>
    </row>
    <row r="807" spans="54:54" x14ac:dyDescent="0.25">
      <c r="BB807" s="16"/>
    </row>
    <row r="808" spans="54:54" x14ac:dyDescent="0.25">
      <c r="BB808" s="16"/>
    </row>
    <row r="809" spans="54:54" x14ac:dyDescent="0.25">
      <c r="BB809" s="16"/>
    </row>
    <row r="810" spans="54:54" x14ac:dyDescent="0.25">
      <c r="BB810" s="16"/>
    </row>
    <row r="811" spans="54:54" x14ac:dyDescent="0.25">
      <c r="BB811" s="16"/>
    </row>
    <row r="812" spans="54:54" x14ac:dyDescent="0.25">
      <c r="BB812" s="16"/>
    </row>
    <row r="813" spans="54:54" x14ac:dyDescent="0.25">
      <c r="BB813" s="16"/>
    </row>
    <row r="814" spans="54:54" x14ac:dyDescent="0.25">
      <c r="BB814" s="16"/>
    </row>
    <row r="815" spans="54:54" x14ac:dyDescent="0.25">
      <c r="BB815" s="16"/>
    </row>
    <row r="816" spans="54:54" x14ac:dyDescent="0.25">
      <c r="BB816" s="16"/>
    </row>
    <row r="817" spans="54:54" x14ac:dyDescent="0.25">
      <c r="BB817" s="16"/>
    </row>
    <row r="818" spans="54:54" x14ac:dyDescent="0.25">
      <c r="BB818" s="16"/>
    </row>
    <row r="819" spans="54:54" x14ac:dyDescent="0.25">
      <c r="BB819" s="16"/>
    </row>
    <row r="820" spans="54:54" x14ac:dyDescent="0.25">
      <c r="BB820" s="16"/>
    </row>
    <row r="821" spans="54:54" x14ac:dyDescent="0.25">
      <c r="BB821" s="16"/>
    </row>
    <row r="822" spans="54:54" x14ac:dyDescent="0.25">
      <c r="BB822" s="16"/>
    </row>
    <row r="823" spans="54:54" x14ac:dyDescent="0.25">
      <c r="BB823" s="16"/>
    </row>
    <row r="824" spans="54:54" x14ac:dyDescent="0.25">
      <c r="BB824" s="16"/>
    </row>
    <row r="825" spans="54:54" x14ac:dyDescent="0.25">
      <c r="BB825" s="16"/>
    </row>
    <row r="826" spans="54:54" x14ac:dyDescent="0.25">
      <c r="BB826" s="16"/>
    </row>
    <row r="827" spans="54:54" x14ac:dyDescent="0.25">
      <c r="BB827" s="16"/>
    </row>
    <row r="828" spans="54:54" x14ac:dyDescent="0.25">
      <c r="BB828" s="16"/>
    </row>
    <row r="829" spans="54:54" x14ac:dyDescent="0.25">
      <c r="BB829" s="16"/>
    </row>
    <row r="830" spans="54:54" x14ac:dyDescent="0.25">
      <c r="BB830" s="16"/>
    </row>
    <row r="831" spans="54:54" x14ac:dyDescent="0.25">
      <c r="BB831" s="16"/>
    </row>
    <row r="832" spans="54:54" x14ac:dyDescent="0.25">
      <c r="BB832" s="16"/>
    </row>
    <row r="833" spans="54:54" x14ac:dyDescent="0.25">
      <c r="BB833" s="16"/>
    </row>
    <row r="834" spans="54:54" x14ac:dyDescent="0.25">
      <c r="BB834" s="16"/>
    </row>
    <row r="835" spans="54:54" x14ac:dyDescent="0.25">
      <c r="BB835" s="16"/>
    </row>
    <row r="836" spans="54:54" x14ac:dyDescent="0.25">
      <c r="BB836" s="16"/>
    </row>
    <row r="837" spans="54:54" x14ac:dyDescent="0.25">
      <c r="BB837" s="16"/>
    </row>
    <row r="838" spans="54:54" x14ac:dyDescent="0.25">
      <c r="BB838" s="16"/>
    </row>
    <row r="839" spans="54:54" x14ac:dyDescent="0.25">
      <c r="BB839" s="16"/>
    </row>
    <row r="840" spans="54:54" x14ac:dyDescent="0.25">
      <c r="BB840" s="16"/>
    </row>
    <row r="841" spans="54:54" x14ac:dyDescent="0.25">
      <c r="BB841" s="16"/>
    </row>
    <row r="842" spans="54:54" x14ac:dyDescent="0.25">
      <c r="BB842" s="16"/>
    </row>
    <row r="843" spans="54:54" x14ac:dyDescent="0.25">
      <c r="BB843" s="16"/>
    </row>
    <row r="844" spans="54:54" x14ac:dyDescent="0.25">
      <c r="BB844" s="16"/>
    </row>
    <row r="845" spans="54:54" x14ac:dyDescent="0.25">
      <c r="BB845" s="16"/>
    </row>
    <row r="846" spans="54:54" x14ac:dyDescent="0.25">
      <c r="BB846" s="16"/>
    </row>
    <row r="847" spans="54:54" x14ac:dyDescent="0.25">
      <c r="BB847" s="16"/>
    </row>
    <row r="848" spans="54:54" x14ac:dyDescent="0.25">
      <c r="BB848" s="16"/>
    </row>
    <row r="849" spans="54:54" x14ac:dyDescent="0.25">
      <c r="BB849" s="16"/>
    </row>
    <row r="850" spans="54:54" x14ac:dyDescent="0.25">
      <c r="BB850" s="16"/>
    </row>
    <row r="851" spans="54:54" x14ac:dyDescent="0.25">
      <c r="BB851" s="16"/>
    </row>
    <row r="852" spans="54:54" x14ac:dyDescent="0.25">
      <c r="BB852" s="16"/>
    </row>
    <row r="853" spans="54:54" x14ac:dyDescent="0.25">
      <c r="BB853" s="16"/>
    </row>
    <row r="854" spans="54:54" x14ac:dyDescent="0.25">
      <c r="BB854" s="16"/>
    </row>
    <row r="855" spans="54:54" x14ac:dyDescent="0.25">
      <c r="BB855" s="16"/>
    </row>
    <row r="856" spans="54:54" x14ac:dyDescent="0.25">
      <c r="BB856" s="16"/>
    </row>
    <row r="857" spans="54:54" x14ac:dyDescent="0.25">
      <c r="BB857" s="16"/>
    </row>
    <row r="858" spans="54:54" x14ac:dyDescent="0.25">
      <c r="BB858" s="16"/>
    </row>
    <row r="859" spans="54:54" x14ac:dyDescent="0.25">
      <c r="BB859" s="16"/>
    </row>
    <row r="860" spans="54:54" x14ac:dyDescent="0.25">
      <c r="BB860" s="16"/>
    </row>
    <row r="861" spans="54:54" x14ac:dyDescent="0.25">
      <c r="BB861" s="16"/>
    </row>
    <row r="862" spans="54:54" x14ac:dyDescent="0.25">
      <c r="BB862" s="16"/>
    </row>
    <row r="863" spans="54:54" x14ac:dyDescent="0.25">
      <c r="BB863" s="16"/>
    </row>
    <row r="864" spans="54:54" x14ac:dyDescent="0.25">
      <c r="BB864" s="16"/>
    </row>
    <row r="865" spans="54:54" x14ac:dyDescent="0.25">
      <c r="BB865" s="16"/>
    </row>
    <row r="866" spans="54:54" x14ac:dyDescent="0.25">
      <c r="BB866" s="16"/>
    </row>
    <row r="867" spans="54:54" x14ac:dyDescent="0.25">
      <c r="BB867" s="16"/>
    </row>
    <row r="868" spans="54:54" x14ac:dyDescent="0.25">
      <c r="BB868" s="16"/>
    </row>
    <row r="869" spans="54:54" x14ac:dyDescent="0.25">
      <c r="BB869" s="16"/>
    </row>
    <row r="870" spans="54:54" x14ac:dyDescent="0.25">
      <c r="BB870" s="16"/>
    </row>
    <row r="871" spans="54:54" x14ac:dyDescent="0.25">
      <c r="BB871" s="16"/>
    </row>
    <row r="872" spans="54:54" x14ac:dyDescent="0.25">
      <c r="BB872" s="16"/>
    </row>
    <row r="873" spans="54:54" x14ac:dyDescent="0.25">
      <c r="BB873" s="16"/>
    </row>
    <row r="874" spans="54:54" x14ac:dyDescent="0.25">
      <c r="BB874" s="16"/>
    </row>
    <row r="875" spans="54:54" x14ac:dyDescent="0.25">
      <c r="BB875" s="16"/>
    </row>
    <row r="876" spans="54:54" x14ac:dyDescent="0.25">
      <c r="BB876" s="16"/>
    </row>
    <row r="877" spans="54:54" x14ac:dyDescent="0.25">
      <c r="BB877" s="16"/>
    </row>
    <row r="878" spans="54:54" x14ac:dyDescent="0.25">
      <c r="BB878" s="16"/>
    </row>
    <row r="879" spans="54:54" x14ac:dyDescent="0.25">
      <c r="BB879" s="16"/>
    </row>
    <row r="880" spans="54:54" x14ac:dyDescent="0.25">
      <c r="BB880" s="16"/>
    </row>
    <row r="881" spans="54:54" x14ac:dyDescent="0.25">
      <c r="BB881" s="16"/>
    </row>
    <row r="882" spans="54:54" x14ac:dyDescent="0.25">
      <c r="BB882" s="16"/>
    </row>
    <row r="883" spans="54:54" x14ac:dyDescent="0.25">
      <c r="BB883" s="16"/>
    </row>
    <row r="884" spans="54:54" x14ac:dyDescent="0.25">
      <c r="BB884" s="16"/>
    </row>
    <row r="885" spans="54:54" x14ac:dyDescent="0.25">
      <c r="BB885" s="16"/>
    </row>
    <row r="886" spans="54:54" x14ac:dyDescent="0.25">
      <c r="BB886" s="16"/>
    </row>
    <row r="887" spans="54:54" x14ac:dyDescent="0.25">
      <c r="BB887" s="16"/>
    </row>
    <row r="888" spans="54:54" x14ac:dyDescent="0.25">
      <c r="BB888" s="16"/>
    </row>
    <row r="889" spans="54:54" x14ac:dyDescent="0.25">
      <c r="BB889" s="16"/>
    </row>
    <row r="890" spans="54:54" x14ac:dyDescent="0.25">
      <c r="BB890" s="16"/>
    </row>
    <row r="891" spans="54:54" x14ac:dyDescent="0.25">
      <c r="BB891" s="16"/>
    </row>
    <row r="892" spans="54:54" x14ac:dyDescent="0.25">
      <c r="BB892" s="16"/>
    </row>
    <row r="893" spans="54:54" x14ac:dyDescent="0.25">
      <c r="BB893" s="16"/>
    </row>
    <row r="894" spans="54:54" x14ac:dyDescent="0.25">
      <c r="BB894" s="16"/>
    </row>
    <row r="895" spans="54:54" x14ac:dyDescent="0.25">
      <c r="BB895" s="16"/>
    </row>
    <row r="896" spans="54:54" x14ac:dyDescent="0.25">
      <c r="BB896" s="16"/>
    </row>
    <row r="897" spans="54:54" x14ac:dyDescent="0.25">
      <c r="BB897" s="16"/>
    </row>
  </sheetData>
  <autoFilter ref="A2:BD516" xr:uid="{00000000-0009-0000-0000-000001000000}">
    <sortState xmlns:xlrd2="http://schemas.microsoft.com/office/spreadsheetml/2017/richdata2" ref="A3:BD516">
      <sortCondition ref="B2:B516"/>
    </sortState>
  </autoFilter>
  <sortState xmlns:xlrd2="http://schemas.microsoft.com/office/spreadsheetml/2017/richdata2" ref="B209:BA326">
    <sortCondition ref="B209:B326"/>
  </sortState>
  <conditionalFormatting sqref="AR1:BE2 AH1:AP2 D1:AE2">
    <cfRule type="expression" dxfId="2" priority="29" stopIfTrue="1">
      <formula>#REF!=0</formula>
    </cfRule>
  </conditionalFormatting>
  <conditionalFormatting sqref="AH1:AP1 D1:AE1 AR1:BE1">
    <cfRule type="duplicateValues" dxfId="1" priority="1402"/>
  </conditionalFormatting>
  <conditionalFormatting sqref="AH2:AP2 D2:AE2 AR2:BE2">
    <cfRule type="duplicateValues" dxfId="0" priority="1409"/>
  </conditionalFormatting>
  <printOptions horizontalCentered="1"/>
  <pageMargins left="0.143700787" right="0.261811024" top="0.261811024" bottom="0.2" header="0.511811023622047" footer="0.196850393700787"/>
  <pageSetup paperSize="9" scale="45" fitToHeight="0" orientation="landscape" r:id="rId1"/>
  <headerFooter alignWithMargins="0">
    <oddFooter xml:space="preserve">&amp;L&amp;6&amp;D&amp;C&amp;6&amp;P of &amp;N&amp;R&amp;6NC=Name Change Allowed   </oddFooter>
  </headerFooter>
  <customProperties>
    <customPr name="QAA_DRILLPATH_NODE_ID" r:id="rId2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EA940-39D3-4E9B-8CE6-1E47791C432A}">
  <sheetPr codeName="Sheet10"/>
  <dimension ref="A1:C81"/>
  <sheetViews>
    <sheetView workbookViewId="0">
      <selection sqref="A1:C81"/>
    </sheetView>
  </sheetViews>
  <sheetFormatPr defaultRowHeight="12.75" x14ac:dyDescent="0.2"/>
  <cols>
    <col min="1" max="1" width="10.85546875" bestFit="1" customWidth="1"/>
    <col min="2" max="2" width="37.140625" bestFit="1" customWidth="1"/>
    <col min="3" max="3" width="16.42578125" bestFit="1" customWidth="1"/>
  </cols>
  <sheetData>
    <row r="1" spans="1:3" x14ac:dyDescent="0.2">
      <c r="B1" t="s">
        <v>1618</v>
      </c>
      <c r="C1" t="s">
        <v>1583</v>
      </c>
    </row>
    <row r="2" spans="1:3" x14ac:dyDescent="0.2">
      <c r="A2" t="s">
        <v>935</v>
      </c>
      <c r="B2" t="s">
        <v>936</v>
      </c>
      <c r="C2" t="s">
        <v>166</v>
      </c>
    </row>
    <row r="3" spans="1:3" x14ac:dyDescent="0.2">
      <c r="A3">
        <v>45100</v>
      </c>
      <c r="B3" t="s">
        <v>610</v>
      </c>
      <c r="C3" t="s">
        <v>243</v>
      </c>
    </row>
    <row r="4" spans="1:3" x14ac:dyDescent="0.2">
      <c r="A4">
        <v>45300</v>
      </c>
      <c r="B4" t="s">
        <v>211</v>
      </c>
      <c r="C4" t="s">
        <v>243</v>
      </c>
    </row>
    <row r="5" spans="1:3" x14ac:dyDescent="0.2">
      <c r="A5">
        <v>45400</v>
      </c>
      <c r="B5" t="s">
        <v>1517</v>
      </c>
      <c r="C5" t="s">
        <v>243</v>
      </c>
    </row>
    <row r="6" spans="1:3" x14ac:dyDescent="0.2">
      <c r="A6">
        <v>50000</v>
      </c>
      <c r="B6" t="s">
        <v>283</v>
      </c>
      <c r="C6" t="s">
        <v>243</v>
      </c>
    </row>
    <row r="7" spans="1:3" x14ac:dyDescent="0.2">
      <c r="A7">
        <v>50100</v>
      </c>
      <c r="B7" t="s">
        <v>1520</v>
      </c>
      <c r="C7" t="s">
        <v>243</v>
      </c>
    </row>
    <row r="8" spans="1:3" x14ac:dyDescent="0.2">
      <c r="A8">
        <v>50200</v>
      </c>
      <c r="B8" t="s">
        <v>1521</v>
      </c>
      <c r="C8" t="s">
        <v>243</v>
      </c>
    </row>
    <row r="9" spans="1:3" x14ac:dyDescent="0.2">
      <c r="A9">
        <v>50300</v>
      </c>
      <c r="B9" t="s">
        <v>1522</v>
      </c>
      <c r="C9" t="s">
        <v>243</v>
      </c>
    </row>
    <row r="10" spans="1:3" x14ac:dyDescent="0.2">
      <c r="A10">
        <v>50350</v>
      </c>
      <c r="B10" t="s">
        <v>1523</v>
      </c>
      <c r="C10" t="s">
        <v>243</v>
      </c>
    </row>
    <row r="11" spans="1:3" x14ac:dyDescent="0.2">
      <c r="A11">
        <v>50400</v>
      </c>
      <c r="B11" t="s">
        <v>228</v>
      </c>
      <c r="C11" t="s">
        <v>243</v>
      </c>
    </row>
    <row r="12" spans="1:3" x14ac:dyDescent="0.2">
      <c r="A12">
        <v>50500</v>
      </c>
      <c r="B12" t="s">
        <v>287</v>
      </c>
      <c r="C12" t="s">
        <v>243</v>
      </c>
    </row>
    <row r="13" spans="1:3" x14ac:dyDescent="0.2">
      <c r="A13">
        <v>50600</v>
      </c>
      <c r="B13" t="s">
        <v>284</v>
      </c>
      <c r="C13" t="s">
        <v>243</v>
      </c>
    </row>
    <row r="14" spans="1:3" x14ac:dyDescent="0.2">
      <c r="A14">
        <v>50610</v>
      </c>
      <c r="B14" t="s">
        <v>226</v>
      </c>
      <c r="C14" t="s">
        <v>243</v>
      </c>
    </row>
    <row r="15" spans="1:3" x14ac:dyDescent="0.2">
      <c r="A15">
        <v>50620</v>
      </c>
      <c r="B15" t="s">
        <v>285</v>
      </c>
      <c r="C15" t="s">
        <v>243</v>
      </c>
    </row>
    <row r="16" spans="1:3" x14ac:dyDescent="0.2">
      <c r="A16">
        <v>50630</v>
      </c>
      <c r="B16" t="s">
        <v>227</v>
      </c>
      <c r="C16" t="s">
        <v>243</v>
      </c>
    </row>
    <row r="17" spans="1:3" x14ac:dyDescent="0.2">
      <c r="A17">
        <v>50640</v>
      </c>
      <c r="B17" t="s">
        <v>1524</v>
      </c>
      <c r="C17" t="s">
        <v>243</v>
      </c>
    </row>
    <row r="18" spans="1:3" x14ac:dyDescent="0.2">
      <c r="A18">
        <v>50700</v>
      </c>
      <c r="B18" t="s">
        <v>1525</v>
      </c>
      <c r="C18" t="s">
        <v>243</v>
      </c>
    </row>
    <row r="19" spans="1:3" x14ac:dyDescent="0.2">
      <c r="A19">
        <v>50710</v>
      </c>
      <c r="B19" t="s">
        <v>1526</v>
      </c>
      <c r="C19" t="s">
        <v>243</v>
      </c>
    </row>
    <row r="20" spans="1:3" x14ac:dyDescent="0.2">
      <c r="A20">
        <v>51000</v>
      </c>
      <c r="B20" t="s">
        <v>288</v>
      </c>
      <c r="C20" t="s">
        <v>243</v>
      </c>
    </row>
    <row r="21" spans="1:3" x14ac:dyDescent="0.2">
      <c r="A21">
        <v>51100</v>
      </c>
      <c r="B21" t="s">
        <v>289</v>
      </c>
      <c r="C21" t="s">
        <v>243</v>
      </c>
    </row>
    <row r="22" spans="1:3" x14ac:dyDescent="0.2">
      <c r="A22">
        <v>51200</v>
      </c>
      <c r="B22" t="s">
        <v>1527</v>
      </c>
      <c r="C22" t="s">
        <v>243</v>
      </c>
    </row>
    <row r="23" spans="1:3" x14ac:dyDescent="0.2">
      <c r="A23">
        <v>51201</v>
      </c>
      <c r="B23" t="s">
        <v>290</v>
      </c>
      <c r="C23" t="s">
        <v>243</v>
      </c>
    </row>
    <row r="24" spans="1:3" x14ac:dyDescent="0.2">
      <c r="A24">
        <v>51300</v>
      </c>
      <c r="B24" t="s">
        <v>225</v>
      </c>
      <c r="C24" t="s">
        <v>243</v>
      </c>
    </row>
    <row r="25" spans="1:3" x14ac:dyDescent="0.2">
      <c r="A25">
        <v>51301</v>
      </c>
      <c r="B25" t="s">
        <v>291</v>
      </c>
      <c r="C25" t="s">
        <v>243</v>
      </c>
    </row>
    <row r="26" spans="1:3" x14ac:dyDescent="0.2">
      <c r="A26">
        <v>52000</v>
      </c>
      <c r="B26" t="s">
        <v>567</v>
      </c>
      <c r="C26" t="s">
        <v>243</v>
      </c>
    </row>
    <row r="27" spans="1:3" x14ac:dyDescent="0.2">
      <c r="A27">
        <v>52100</v>
      </c>
      <c r="B27" t="s">
        <v>569</v>
      </c>
      <c r="C27" t="s">
        <v>243</v>
      </c>
    </row>
    <row r="28" spans="1:3" x14ac:dyDescent="0.2">
      <c r="A28">
        <v>52101</v>
      </c>
      <c r="B28" t="s">
        <v>571</v>
      </c>
      <c r="C28" t="s">
        <v>243</v>
      </c>
    </row>
    <row r="29" spans="1:3" x14ac:dyDescent="0.2">
      <c r="A29">
        <v>52102</v>
      </c>
      <c r="B29" t="s">
        <v>1528</v>
      </c>
      <c r="C29" t="s">
        <v>243</v>
      </c>
    </row>
    <row r="30" spans="1:3" x14ac:dyDescent="0.2">
      <c r="A30">
        <v>52103</v>
      </c>
      <c r="B30" t="s">
        <v>1529</v>
      </c>
      <c r="C30" t="s">
        <v>243</v>
      </c>
    </row>
    <row r="31" spans="1:3" x14ac:dyDescent="0.2">
      <c r="A31">
        <v>52104</v>
      </c>
      <c r="B31" t="s">
        <v>1530</v>
      </c>
      <c r="C31" t="s">
        <v>243</v>
      </c>
    </row>
    <row r="32" spans="1:3" x14ac:dyDescent="0.2">
      <c r="A32">
        <v>52105</v>
      </c>
      <c r="B32" t="s">
        <v>1531</v>
      </c>
      <c r="C32" t="s">
        <v>243</v>
      </c>
    </row>
    <row r="33" spans="1:3" x14ac:dyDescent="0.2">
      <c r="A33">
        <v>52106</v>
      </c>
      <c r="B33" t="s">
        <v>1532</v>
      </c>
      <c r="C33" t="s">
        <v>243</v>
      </c>
    </row>
    <row r="34" spans="1:3" x14ac:dyDescent="0.2">
      <c r="A34">
        <v>52107</v>
      </c>
      <c r="B34" t="s">
        <v>1533</v>
      </c>
      <c r="C34" t="s">
        <v>243</v>
      </c>
    </row>
    <row r="35" spans="1:3" x14ac:dyDescent="0.2">
      <c r="A35">
        <v>52200</v>
      </c>
      <c r="B35" t="s">
        <v>583</v>
      </c>
      <c r="C35" t="s">
        <v>243</v>
      </c>
    </row>
    <row r="36" spans="1:3" x14ac:dyDescent="0.2">
      <c r="A36">
        <v>52201</v>
      </c>
      <c r="B36" t="s">
        <v>585</v>
      </c>
      <c r="C36" t="s">
        <v>243</v>
      </c>
    </row>
    <row r="37" spans="1:3" x14ac:dyDescent="0.2">
      <c r="A37">
        <v>52300</v>
      </c>
      <c r="B37" t="s">
        <v>1534</v>
      </c>
      <c r="C37" t="s">
        <v>243</v>
      </c>
    </row>
    <row r="38" spans="1:3" x14ac:dyDescent="0.2">
      <c r="A38">
        <v>52301</v>
      </c>
      <c r="B38" t="s">
        <v>1535</v>
      </c>
      <c r="C38" t="s">
        <v>243</v>
      </c>
    </row>
    <row r="39" spans="1:3" x14ac:dyDescent="0.2">
      <c r="A39">
        <v>52400</v>
      </c>
      <c r="B39" t="s">
        <v>591</v>
      </c>
      <c r="C39" t="s">
        <v>243</v>
      </c>
    </row>
    <row r="40" spans="1:3" x14ac:dyDescent="0.2">
      <c r="A40">
        <v>52401</v>
      </c>
      <c r="B40" t="s">
        <v>146</v>
      </c>
      <c r="C40" t="s">
        <v>243</v>
      </c>
    </row>
    <row r="41" spans="1:3" x14ac:dyDescent="0.2">
      <c r="A41">
        <v>52500</v>
      </c>
      <c r="B41" t="s">
        <v>594</v>
      </c>
      <c r="C41" t="s">
        <v>243</v>
      </c>
    </row>
    <row r="42" spans="1:3" x14ac:dyDescent="0.2">
      <c r="A42">
        <v>52501</v>
      </c>
      <c r="B42" t="s">
        <v>596</v>
      </c>
      <c r="C42" t="s">
        <v>243</v>
      </c>
    </row>
    <row r="43" spans="1:3" x14ac:dyDescent="0.2">
      <c r="A43">
        <v>52502</v>
      </c>
      <c r="B43" t="s">
        <v>293</v>
      </c>
      <c r="C43" t="s">
        <v>243</v>
      </c>
    </row>
    <row r="44" spans="1:3" x14ac:dyDescent="0.2">
      <c r="A44">
        <v>52503</v>
      </c>
      <c r="B44" t="s">
        <v>599</v>
      </c>
      <c r="C44" t="s">
        <v>243</v>
      </c>
    </row>
    <row r="45" spans="1:3" x14ac:dyDescent="0.2">
      <c r="A45">
        <v>52504</v>
      </c>
      <c r="B45" t="s">
        <v>601</v>
      </c>
      <c r="C45" t="s">
        <v>243</v>
      </c>
    </row>
    <row r="46" spans="1:3" x14ac:dyDescent="0.2">
      <c r="A46">
        <v>52505</v>
      </c>
      <c r="B46" t="s">
        <v>230</v>
      </c>
      <c r="C46" t="s">
        <v>243</v>
      </c>
    </row>
    <row r="47" spans="1:3" x14ac:dyDescent="0.2">
      <c r="A47">
        <v>52510</v>
      </c>
      <c r="B47" t="s">
        <v>229</v>
      </c>
      <c r="C47" t="s">
        <v>243</v>
      </c>
    </row>
    <row r="48" spans="1:3" x14ac:dyDescent="0.2">
      <c r="A48">
        <v>52520</v>
      </c>
      <c r="B48" t="s">
        <v>1536</v>
      </c>
      <c r="C48" t="s">
        <v>243</v>
      </c>
    </row>
    <row r="49" spans="1:3" x14ac:dyDescent="0.2">
      <c r="A49">
        <v>55100</v>
      </c>
      <c r="B49" t="s">
        <v>1537</v>
      </c>
      <c r="C49" t="s">
        <v>243</v>
      </c>
    </row>
    <row r="50" spans="1:3" x14ac:dyDescent="0.2">
      <c r="A50">
        <v>60185</v>
      </c>
      <c r="B50" t="s">
        <v>1540</v>
      </c>
      <c r="C50" t="s">
        <v>243</v>
      </c>
    </row>
    <row r="51" spans="1:3" x14ac:dyDescent="0.2">
      <c r="A51">
        <v>60190</v>
      </c>
      <c r="B51" t="s">
        <v>640</v>
      </c>
      <c r="C51" t="s">
        <v>243</v>
      </c>
    </row>
    <row r="52" spans="1:3" x14ac:dyDescent="0.2">
      <c r="A52">
        <v>60195</v>
      </c>
      <c r="B52" t="s">
        <v>642</v>
      </c>
      <c r="C52" t="s">
        <v>243</v>
      </c>
    </row>
    <row r="53" spans="1:3" x14ac:dyDescent="0.2">
      <c r="A53">
        <v>60210</v>
      </c>
      <c r="B53" t="s">
        <v>157</v>
      </c>
      <c r="C53" t="s">
        <v>243</v>
      </c>
    </row>
    <row r="54" spans="1:3" x14ac:dyDescent="0.2">
      <c r="A54">
        <v>60230</v>
      </c>
      <c r="B54" t="s">
        <v>158</v>
      </c>
      <c r="C54" t="s">
        <v>243</v>
      </c>
    </row>
    <row r="55" spans="1:3" x14ac:dyDescent="0.2">
      <c r="A55">
        <v>60255</v>
      </c>
      <c r="B55" t="s">
        <v>659</v>
      </c>
      <c r="C55" t="s">
        <v>243</v>
      </c>
    </row>
    <row r="56" spans="1:3" x14ac:dyDescent="0.2">
      <c r="A56">
        <v>60260</v>
      </c>
      <c r="B56" t="s">
        <v>109</v>
      </c>
      <c r="C56" t="s">
        <v>243</v>
      </c>
    </row>
    <row r="57" spans="1:3" x14ac:dyDescent="0.2">
      <c r="A57">
        <v>60335</v>
      </c>
      <c r="B57" t="s">
        <v>166</v>
      </c>
      <c r="C57" t="s">
        <v>243</v>
      </c>
    </row>
    <row r="58" spans="1:3" x14ac:dyDescent="0.2">
      <c r="A58">
        <v>60465</v>
      </c>
      <c r="B58" t="s">
        <v>25</v>
      </c>
      <c r="C58" t="s">
        <v>243</v>
      </c>
    </row>
    <row r="59" spans="1:3" x14ac:dyDescent="0.2">
      <c r="A59">
        <v>60470</v>
      </c>
      <c r="B59" t="s">
        <v>44</v>
      </c>
      <c r="C59" t="s">
        <v>243</v>
      </c>
    </row>
    <row r="60" spans="1:3" x14ac:dyDescent="0.2">
      <c r="A60">
        <v>60515</v>
      </c>
      <c r="B60" t="s">
        <v>737</v>
      </c>
      <c r="C60" t="s">
        <v>243</v>
      </c>
    </row>
    <row r="61" spans="1:3" x14ac:dyDescent="0.2">
      <c r="A61">
        <v>60535</v>
      </c>
      <c r="B61" t="s">
        <v>49</v>
      </c>
      <c r="C61" t="s">
        <v>243</v>
      </c>
    </row>
    <row r="62" spans="1:3" x14ac:dyDescent="0.2">
      <c r="A62">
        <v>60570</v>
      </c>
      <c r="B62" t="s">
        <v>27</v>
      </c>
      <c r="C62" t="s">
        <v>243</v>
      </c>
    </row>
    <row r="63" spans="1:3" x14ac:dyDescent="0.2">
      <c r="A63">
        <v>60640</v>
      </c>
      <c r="B63" t="s">
        <v>773</v>
      </c>
      <c r="C63" t="s">
        <v>243</v>
      </c>
    </row>
    <row r="64" spans="1:3" x14ac:dyDescent="0.2">
      <c r="A64">
        <v>60675</v>
      </c>
      <c r="B64" t="s">
        <v>224</v>
      </c>
      <c r="C64" t="s">
        <v>243</v>
      </c>
    </row>
    <row r="65" spans="1:3" x14ac:dyDescent="0.2">
      <c r="A65">
        <v>60680</v>
      </c>
      <c r="B65" t="s">
        <v>1553</v>
      </c>
      <c r="C65" t="s">
        <v>243</v>
      </c>
    </row>
    <row r="66" spans="1:3" x14ac:dyDescent="0.2">
      <c r="A66">
        <v>60685</v>
      </c>
      <c r="B66" t="s">
        <v>785</v>
      </c>
      <c r="C66" t="s">
        <v>243</v>
      </c>
    </row>
    <row r="67" spans="1:3" x14ac:dyDescent="0.2">
      <c r="A67">
        <v>60690</v>
      </c>
      <c r="B67" t="s">
        <v>787</v>
      </c>
      <c r="C67" t="s">
        <v>243</v>
      </c>
    </row>
    <row r="68" spans="1:3" x14ac:dyDescent="0.2">
      <c r="A68">
        <v>60695</v>
      </c>
      <c r="B68" t="s">
        <v>789</v>
      </c>
      <c r="C68" t="s">
        <v>243</v>
      </c>
    </row>
    <row r="69" spans="1:3" x14ac:dyDescent="0.2">
      <c r="A69">
        <v>96010</v>
      </c>
      <c r="B69" t="s">
        <v>1028</v>
      </c>
      <c r="C69" t="s">
        <v>243</v>
      </c>
    </row>
    <row r="70" spans="1:3" x14ac:dyDescent="0.2">
      <c r="A70">
        <v>96020</v>
      </c>
      <c r="B70" t="s">
        <v>1030</v>
      </c>
      <c r="C70" t="s">
        <v>243</v>
      </c>
    </row>
    <row r="71" spans="1:3" x14ac:dyDescent="0.2">
      <c r="A71">
        <v>96030</v>
      </c>
      <c r="B71" t="s">
        <v>1032</v>
      </c>
      <c r="C71" t="s">
        <v>243</v>
      </c>
    </row>
    <row r="72" spans="1:3" x14ac:dyDescent="0.2">
      <c r="A72">
        <v>96040</v>
      </c>
      <c r="B72" t="s">
        <v>1563</v>
      </c>
      <c r="C72" t="s">
        <v>243</v>
      </c>
    </row>
    <row r="73" spans="1:3" x14ac:dyDescent="0.2">
      <c r="A73">
        <v>96050</v>
      </c>
      <c r="B73" t="s">
        <v>1564</v>
      </c>
      <c r="C73" t="s">
        <v>243</v>
      </c>
    </row>
    <row r="74" spans="1:3" x14ac:dyDescent="0.2">
      <c r="A74">
        <v>96060</v>
      </c>
      <c r="B74" t="s">
        <v>1565</v>
      </c>
      <c r="C74" t="s">
        <v>243</v>
      </c>
    </row>
    <row r="75" spans="1:3" x14ac:dyDescent="0.2">
      <c r="A75">
        <v>96070</v>
      </c>
      <c r="B75" t="s">
        <v>1566</v>
      </c>
      <c r="C75" t="s">
        <v>243</v>
      </c>
    </row>
    <row r="76" spans="1:3" x14ac:dyDescent="0.2">
      <c r="A76">
        <v>96080</v>
      </c>
      <c r="B76" t="s">
        <v>1567</v>
      </c>
      <c r="C76" t="s">
        <v>243</v>
      </c>
    </row>
    <row r="77" spans="1:3" x14ac:dyDescent="0.2">
      <c r="A77">
        <v>96090</v>
      </c>
      <c r="B77" t="s">
        <v>1568</v>
      </c>
      <c r="C77" t="s">
        <v>243</v>
      </c>
    </row>
    <row r="78" spans="1:3" x14ac:dyDescent="0.2">
      <c r="A78">
        <v>96100</v>
      </c>
      <c r="B78" t="s">
        <v>1569</v>
      </c>
      <c r="C78" t="s">
        <v>243</v>
      </c>
    </row>
    <row r="79" spans="1:3" x14ac:dyDescent="0.2">
      <c r="A79">
        <v>96110</v>
      </c>
      <c r="B79" t="s">
        <v>185</v>
      </c>
      <c r="C79" t="s">
        <v>243</v>
      </c>
    </row>
    <row r="80" spans="1:3" x14ac:dyDescent="0.2">
      <c r="A80">
        <v>96120</v>
      </c>
      <c r="B80" t="s">
        <v>184</v>
      </c>
      <c r="C80" t="s">
        <v>243</v>
      </c>
    </row>
    <row r="81" spans="1:3" x14ac:dyDescent="0.2">
      <c r="A81">
        <v>96130</v>
      </c>
      <c r="B81" t="s">
        <v>183</v>
      </c>
      <c r="C81" t="s">
        <v>243</v>
      </c>
    </row>
  </sheetData>
  <autoFilter ref="A1:C81" xr:uid="{89EEA940-39D3-4E9B-8CE6-1E47791C432A}"/>
  <pageMargins left="0.7" right="0.7" top="0.75" bottom="0.75" header="0.3" footer="0.3"/>
  <customProperties>
    <customPr name="QAA_DRILLPATH_NODE_ID" r:id="rId1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4AA79-F203-4C73-966E-F3C7BED87490}">
  <sheetPr codeName="Sheet7"/>
  <dimension ref="A1:H813"/>
  <sheetViews>
    <sheetView view="pageBreakPreview" topLeftCell="A751" zoomScale="60" zoomScaleNormal="100" workbookViewId="0">
      <selection activeCell="A3" sqref="A3"/>
    </sheetView>
  </sheetViews>
  <sheetFormatPr defaultRowHeight="12.75" x14ac:dyDescent="0.2"/>
  <cols>
    <col min="1" max="1" width="13.42578125" bestFit="1" customWidth="1"/>
    <col min="2" max="2" width="48.28515625" bestFit="1" customWidth="1"/>
    <col min="3" max="3" width="12.85546875" bestFit="1" customWidth="1"/>
    <col min="4" max="4" width="7" bestFit="1" customWidth="1"/>
    <col min="5" max="5" width="13.5703125" bestFit="1" customWidth="1"/>
    <col min="6" max="6" width="34.42578125" bestFit="1" customWidth="1"/>
    <col min="7" max="7" width="13.5703125" bestFit="1" customWidth="1"/>
    <col min="8" max="8" width="34.42578125" bestFit="1" customWidth="1"/>
  </cols>
  <sheetData>
    <row r="1" spans="1:8" x14ac:dyDescent="0.2">
      <c r="A1" s="61" t="str">
        <f>[6]!QAA_SR("1,2,SS6,CA,F=WHU,K=DbC,F=&lt;ALL&gt;,K=/CA/AccTyp,F=&lt;ALL&gt;,K=/CA/Cde,E=0,O=/CA/Cde,E=0,O=/CA/Nme,E=20,O=/CA/BalOpn,E=20,O=/CA/Susp,E=0,O=/CA/A0/Cde,E=0,O=/CA/A0/8,E=0,O=/CA/A1/Cde,E=0,O=/CA/A1/8,RT=1,RF=111111011,AF=1,TP=,EA=0",)</f>
        <v>Account Code</v>
      </c>
      <c r="B1" s="61" t="s">
        <v>299</v>
      </c>
      <c r="C1" s="61" t="s">
        <v>1619</v>
      </c>
      <c r="D1" s="61" t="s">
        <v>1620</v>
      </c>
      <c r="E1" s="61" t="s">
        <v>1621</v>
      </c>
      <c r="F1" s="61" t="s">
        <v>865</v>
      </c>
      <c r="G1" s="61" t="s">
        <v>1621</v>
      </c>
      <c r="H1" s="61" t="s">
        <v>865</v>
      </c>
    </row>
    <row r="2" spans="1:8" x14ac:dyDescent="0.2">
      <c r="A2" s="50" t="s">
        <v>2369</v>
      </c>
      <c r="B2" s="50" t="s">
        <v>1815</v>
      </c>
      <c r="C2" s="50" t="s">
        <v>1624</v>
      </c>
      <c r="D2" s="50" t="s">
        <v>1816</v>
      </c>
      <c r="E2" s="50" t="s">
        <v>1817</v>
      </c>
      <c r="F2" s="50" t="s">
        <v>1818</v>
      </c>
      <c r="G2" s="50" t="s">
        <v>1819</v>
      </c>
      <c r="H2" s="50" t="s">
        <v>1820</v>
      </c>
    </row>
    <row r="3" spans="1:8" x14ac:dyDescent="0.2">
      <c r="A3" s="50" t="s">
        <v>2370</v>
      </c>
      <c r="B3" s="50" t="s">
        <v>1821</v>
      </c>
      <c r="C3" s="50" t="s">
        <v>1624</v>
      </c>
      <c r="D3" s="50" t="s">
        <v>1624</v>
      </c>
      <c r="E3" s="50" t="s">
        <v>1817</v>
      </c>
      <c r="F3" s="50" t="s">
        <v>1818</v>
      </c>
      <c r="G3" s="50" t="s">
        <v>1819</v>
      </c>
      <c r="H3" s="50" t="s">
        <v>1820</v>
      </c>
    </row>
    <row r="4" spans="1:8" x14ac:dyDescent="0.2">
      <c r="A4" s="50" t="s">
        <v>1079</v>
      </c>
      <c r="B4" s="50" t="s">
        <v>1822</v>
      </c>
      <c r="C4" s="50" t="s">
        <v>1624</v>
      </c>
      <c r="D4" s="50" t="s">
        <v>1624</v>
      </c>
      <c r="E4" s="50" t="s">
        <v>1817</v>
      </c>
      <c r="F4" s="50" t="s">
        <v>1818</v>
      </c>
      <c r="G4" s="50" t="s">
        <v>1819</v>
      </c>
      <c r="H4" s="50" t="s">
        <v>1820</v>
      </c>
    </row>
    <row r="5" spans="1:8" x14ac:dyDescent="0.2">
      <c r="A5" s="50" t="s">
        <v>2371</v>
      </c>
      <c r="B5" s="50" t="s">
        <v>1823</v>
      </c>
      <c r="C5" s="50" t="s">
        <v>1624</v>
      </c>
      <c r="D5" s="50" t="s">
        <v>1624</v>
      </c>
      <c r="E5" s="50" t="s">
        <v>1817</v>
      </c>
      <c r="F5" s="50" t="s">
        <v>1818</v>
      </c>
      <c r="G5" s="50" t="s">
        <v>1819</v>
      </c>
      <c r="H5" s="50" t="s">
        <v>1820</v>
      </c>
    </row>
    <row r="6" spans="1:8" x14ac:dyDescent="0.2">
      <c r="A6" s="50" t="s">
        <v>2372</v>
      </c>
      <c r="B6" s="50" t="s">
        <v>1824</v>
      </c>
      <c r="C6" s="50" t="s">
        <v>1624</v>
      </c>
      <c r="D6" s="50" t="s">
        <v>1624</v>
      </c>
      <c r="E6" s="50" t="s">
        <v>1817</v>
      </c>
      <c r="F6" s="50" t="s">
        <v>1818</v>
      </c>
      <c r="G6" s="50" t="s">
        <v>1819</v>
      </c>
      <c r="H6" s="50" t="s">
        <v>1820</v>
      </c>
    </row>
    <row r="7" spans="1:8" x14ac:dyDescent="0.2">
      <c r="A7" s="50" t="s">
        <v>2373</v>
      </c>
      <c r="B7" s="50" t="s">
        <v>1825</v>
      </c>
      <c r="C7" s="50" t="s">
        <v>1624</v>
      </c>
      <c r="D7" s="50" t="s">
        <v>1624</v>
      </c>
      <c r="E7" s="50" t="s">
        <v>1817</v>
      </c>
      <c r="F7" s="50" t="s">
        <v>1818</v>
      </c>
      <c r="G7" s="50" t="s">
        <v>1819</v>
      </c>
      <c r="H7" s="50" t="s">
        <v>1820</v>
      </c>
    </row>
    <row r="8" spans="1:8" x14ac:dyDescent="0.2">
      <c r="A8" s="50" t="s">
        <v>2374</v>
      </c>
      <c r="B8" s="50" t="s">
        <v>1826</v>
      </c>
      <c r="C8" s="50" t="s">
        <v>1624</v>
      </c>
      <c r="D8" s="50" t="s">
        <v>1624</v>
      </c>
      <c r="E8" s="50" t="s">
        <v>1817</v>
      </c>
      <c r="F8" s="50" t="s">
        <v>1818</v>
      </c>
      <c r="G8" s="50" t="s">
        <v>1819</v>
      </c>
      <c r="H8" s="50" t="s">
        <v>1820</v>
      </c>
    </row>
    <row r="9" spans="1:8" x14ac:dyDescent="0.2">
      <c r="A9" s="50" t="s">
        <v>2375</v>
      </c>
      <c r="B9" s="50" t="s">
        <v>1827</v>
      </c>
      <c r="C9" s="50" t="s">
        <v>1624</v>
      </c>
      <c r="D9" s="50" t="s">
        <v>1624</v>
      </c>
      <c r="E9" s="50" t="s">
        <v>1817</v>
      </c>
      <c r="F9" s="50" t="s">
        <v>1818</v>
      </c>
      <c r="G9" s="50" t="s">
        <v>1819</v>
      </c>
      <c r="H9" s="50" t="s">
        <v>1820</v>
      </c>
    </row>
    <row r="10" spans="1:8" x14ac:dyDescent="0.2">
      <c r="A10" s="50" t="s">
        <v>2376</v>
      </c>
      <c r="B10" s="50" t="s">
        <v>1828</v>
      </c>
      <c r="C10" s="50" t="s">
        <v>1624</v>
      </c>
      <c r="D10" s="50" t="s">
        <v>1624</v>
      </c>
      <c r="E10" s="50" t="s">
        <v>1817</v>
      </c>
      <c r="F10" s="50" t="s">
        <v>1818</v>
      </c>
      <c r="G10" s="50" t="s">
        <v>1819</v>
      </c>
      <c r="H10" s="50" t="s">
        <v>1820</v>
      </c>
    </row>
    <row r="11" spans="1:8" x14ac:dyDescent="0.2">
      <c r="A11" s="50" t="s">
        <v>2377</v>
      </c>
      <c r="B11" s="50" t="s">
        <v>1829</v>
      </c>
      <c r="C11" s="50" t="s">
        <v>1624</v>
      </c>
      <c r="D11" s="50" t="s">
        <v>1624</v>
      </c>
      <c r="E11" s="50" t="s">
        <v>1817</v>
      </c>
      <c r="F11" s="50" t="s">
        <v>1818</v>
      </c>
      <c r="G11" s="50" t="s">
        <v>1830</v>
      </c>
      <c r="H11" s="50" t="s">
        <v>1831</v>
      </c>
    </row>
    <row r="12" spans="1:8" x14ac:dyDescent="0.2">
      <c r="A12" s="50" t="s">
        <v>1089</v>
      </c>
      <c r="B12" s="50" t="s">
        <v>1832</v>
      </c>
      <c r="C12" s="50" t="s">
        <v>1624</v>
      </c>
      <c r="D12" s="50" t="s">
        <v>1624</v>
      </c>
      <c r="E12" s="50" t="s">
        <v>1817</v>
      </c>
      <c r="F12" s="50" t="s">
        <v>1818</v>
      </c>
      <c r="G12" s="50" t="s">
        <v>1830</v>
      </c>
      <c r="H12" s="50" t="s">
        <v>1831</v>
      </c>
    </row>
    <row r="13" spans="1:8" x14ac:dyDescent="0.2">
      <c r="A13" s="50" t="s">
        <v>1091</v>
      </c>
      <c r="B13" s="50" t="s">
        <v>2304</v>
      </c>
      <c r="C13" s="50" t="s">
        <v>1624</v>
      </c>
      <c r="D13" s="50" t="s">
        <v>1624</v>
      </c>
      <c r="E13" s="50" t="s">
        <v>1817</v>
      </c>
      <c r="F13" s="50" t="s">
        <v>1818</v>
      </c>
      <c r="G13" s="50" t="s">
        <v>1830</v>
      </c>
      <c r="H13" s="50" t="s">
        <v>1831</v>
      </c>
    </row>
    <row r="14" spans="1:8" x14ac:dyDescent="0.2">
      <c r="A14" s="50" t="s">
        <v>1093</v>
      </c>
      <c r="B14" s="50" t="s">
        <v>1833</v>
      </c>
      <c r="C14" s="50" t="s">
        <v>1624</v>
      </c>
      <c r="D14" s="50" t="s">
        <v>1624</v>
      </c>
      <c r="E14" s="50" t="s">
        <v>1817</v>
      </c>
      <c r="F14" s="50" t="s">
        <v>1818</v>
      </c>
      <c r="G14" s="50" t="s">
        <v>1830</v>
      </c>
      <c r="H14" s="50" t="s">
        <v>1831</v>
      </c>
    </row>
    <row r="15" spans="1:8" x14ac:dyDescent="0.2">
      <c r="A15" s="50" t="s">
        <v>2378</v>
      </c>
      <c r="B15" s="50" t="s">
        <v>1834</v>
      </c>
      <c r="C15" s="50" t="s">
        <v>1624</v>
      </c>
      <c r="D15" s="50" t="s">
        <v>1624</v>
      </c>
      <c r="E15" s="50" t="s">
        <v>1817</v>
      </c>
      <c r="F15" s="50" t="s">
        <v>1818</v>
      </c>
      <c r="G15" s="50" t="s">
        <v>1830</v>
      </c>
      <c r="H15" s="50" t="s">
        <v>1831</v>
      </c>
    </row>
    <row r="16" spans="1:8" x14ac:dyDescent="0.2">
      <c r="A16" s="50" t="s">
        <v>2379</v>
      </c>
      <c r="B16" s="50" t="s">
        <v>1835</v>
      </c>
      <c r="C16" s="50" t="s">
        <v>1624</v>
      </c>
      <c r="D16" s="50" t="s">
        <v>1624</v>
      </c>
      <c r="E16" s="50" t="s">
        <v>1817</v>
      </c>
      <c r="F16" s="50" t="s">
        <v>1818</v>
      </c>
      <c r="G16" s="50" t="s">
        <v>1830</v>
      </c>
      <c r="H16" s="50" t="s">
        <v>1831</v>
      </c>
    </row>
    <row r="17" spans="1:8" x14ac:dyDescent="0.2">
      <c r="A17" s="50" t="s">
        <v>2380</v>
      </c>
      <c r="B17" s="50" t="s">
        <v>1836</v>
      </c>
      <c r="C17" s="50" t="s">
        <v>1624</v>
      </c>
      <c r="D17" s="50" t="s">
        <v>1624</v>
      </c>
      <c r="E17" s="50" t="s">
        <v>1817</v>
      </c>
      <c r="F17" s="50" t="s">
        <v>1818</v>
      </c>
      <c r="G17" s="50" t="s">
        <v>1830</v>
      </c>
      <c r="H17" s="50" t="s">
        <v>1831</v>
      </c>
    </row>
    <row r="18" spans="1:8" x14ac:dyDescent="0.2">
      <c r="A18" s="50" t="s">
        <v>2381</v>
      </c>
      <c r="B18" s="50" t="s">
        <v>1096</v>
      </c>
      <c r="C18" s="50" t="s">
        <v>1624</v>
      </c>
      <c r="D18" s="50" t="s">
        <v>1624</v>
      </c>
      <c r="E18" s="50" t="s">
        <v>1817</v>
      </c>
      <c r="F18" s="50" t="s">
        <v>1818</v>
      </c>
      <c r="G18" s="50" t="s">
        <v>1837</v>
      </c>
      <c r="H18" s="50" t="s">
        <v>1818</v>
      </c>
    </row>
    <row r="19" spans="1:8" x14ac:dyDescent="0.2">
      <c r="A19" s="50" t="s">
        <v>2382</v>
      </c>
      <c r="B19" s="50" t="s">
        <v>1098</v>
      </c>
      <c r="C19" s="50" t="s">
        <v>1624</v>
      </c>
      <c r="D19" s="50" t="s">
        <v>1624</v>
      </c>
      <c r="E19" s="50" t="s">
        <v>1817</v>
      </c>
      <c r="F19" s="50" t="s">
        <v>1818</v>
      </c>
      <c r="G19" s="50" t="s">
        <v>1837</v>
      </c>
      <c r="H19" s="50" t="s">
        <v>1818</v>
      </c>
    </row>
    <row r="20" spans="1:8" x14ac:dyDescent="0.2">
      <c r="A20" s="50" t="s">
        <v>2383</v>
      </c>
      <c r="B20" s="50" t="s">
        <v>1100</v>
      </c>
      <c r="C20" s="50" t="s">
        <v>1624</v>
      </c>
      <c r="D20" s="50" t="s">
        <v>1624</v>
      </c>
      <c r="E20" s="50" t="s">
        <v>1817</v>
      </c>
      <c r="F20" s="50" t="s">
        <v>1818</v>
      </c>
      <c r="G20" s="50" t="s">
        <v>1837</v>
      </c>
      <c r="H20" s="50" t="s">
        <v>1818</v>
      </c>
    </row>
    <row r="21" spans="1:8" x14ac:dyDescent="0.2">
      <c r="A21" s="50" t="s">
        <v>2384</v>
      </c>
      <c r="B21" s="50" t="s">
        <v>1102</v>
      </c>
      <c r="C21" s="50" t="s">
        <v>1624</v>
      </c>
      <c r="D21" s="50" t="s">
        <v>1624</v>
      </c>
      <c r="E21" s="50" t="s">
        <v>1817</v>
      </c>
      <c r="F21" s="50" t="s">
        <v>1818</v>
      </c>
      <c r="G21" s="50" t="s">
        <v>1837</v>
      </c>
      <c r="H21" s="50" t="s">
        <v>1818</v>
      </c>
    </row>
    <row r="22" spans="1:8" x14ac:dyDescent="0.2">
      <c r="A22" s="50" t="s">
        <v>2385</v>
      </c>
      <c r="B22" s="50" t="s">
        <v>1104</v>
      </c>
      <c r="C22" s="50" t="s">
        <v>1624</v>
      </c>
      <c r="D22" s="50" t="s">
        <v>1624</v>
      </c>
      <c r="E22" s="50" t="s">
        <v>1817</v>
      </c>
      <c r="F22" s="50" t="s">
        <v>1818</v>
      </c>
      <c r="G22" s="50" t="s">
        <v>1837</v>
      </c>
      <c r="H22" s="50" t="s">
        <v>1818</v>
      </c>
    </row>
    <row r="23" spans="1:8" x14ac:dyDescent="0.2">
      <c r="A23" s="50" t="s">
        <v>1105</v>
      </c>
      <c r="B23" s="50" t="s">
        <v>1106</v>
      </c>
      <c r="C23" s="50" t="s">
        <v>1624</v>
      </c>
      <c r="D23" s="50" t="s">
        <v>1624</v>
      </c>
      <c r="E23" s="50" t="s">
        <v>1838</v>
      </c>
      <c r="F23" s="50" t="s">
        <v>1839</v>
      </c>
      <c r="G23" s="50" t="s">
        <v>1840</v>
      </c>
      <c r="H23" s="50" t="s">
        <v>1839</v>
      </c>
    </row>
    <row r="24" spans="1:8" x14ac:dyDescent="0.2">
      <c r="A24" s="50" t="s">
        <v>1107</v>
      </c>
      <c r="B24" s="50" t="s">
        <v>1108</v>
      </c>
      <c r="C24" s="50" t="s">
        <v>1624</v>
      </c>
      <c r="D24" s="50" t="s">
        <v>1624</v>
      </c>
      <c r="E24" s="50" t="s">
        <v>1838</v>
      </c>
      <c r="F24" s="50" t="s">
        <v>1839</v>
      </c>
      <c r="G24" s="50" t="s">
        <v>1840</v>
      </c>
      <c r="H24" s="50" t="s">
        <v>1839</v>
      </c>
    </row>
    <row r="25" spans="1:8" x14ac:dyDescent="0.2">
      <c r="A25" s="50" t="s">
        <v>1109</v>
      </c>
      <c r="B25" s="50" t="s">
        <v>1114</v>
      </c>
      <c r="C25" s="50" t="s">
        <v>1624</v>
      </c>
      <c r="D25" s="50" t="s">
        <v>1624</v>
      </c>
      <c r="E25" s="50" t="s">
        <v>1838</v>
      </c>
      <c r="F25" s="50" t="s">
        <v>1839</v>
      </c>
      <c r="G25" s="50" t="s">
        <v>1840</v>
      </c>
      <c r="H25" s="50" t="s">
        <v>1839</v>
      </c>
    </row>
    <row r="26" spans="1:8" x14ac:dyDescent="0.2">
      <c r="A26" s="50" t="s">
        <v>1111</v>
      </c>
      <c r="B26" s="50" t="s">
        <v>1841</v>
      </c>
      <c r="C26" s="50" t="s">
        <v>1624</v>
      </c>
      <c r="D26" s="50" t="s">
        <v>1624</v>
      </c>
      <c r="E26" s="50" t="s">
        <v>1838</v>
      </c>
      <c r="F26" s="50" t="s">
        <v>1839</v>
      </c>
      <c r="G26" s="50" t="s">
        <v>1840</v>
      </c>
      <c r="H26" s="50" t="s">
        <v>1839</v>
      </c>
    </row>
    <row r="27" spans="1:8" x14ac:dyDescent="0.2">
      <c r="A27" s="50" t="s">
        <v>1113</v>
      </c>
      <c r="B27" s="50" t="s">
        <v>1110</v>
      </c>
      <c r="C27" s="50" t="s">
        <v>1624</v>
      </c>
      <c r="D27" s="50" t="s">
        <v>1624</v>
      </c>
      <c r="E27" s="50" t="s">
        <v>1838</v>
      </c>
      <c r="F27" s="50" t="s">
        <v>1839</v>
      </c>
      <c r="G27" s="50" t="s">
        <v>1840</v>
      </c>
      <c r="H27" s="50" t="s">
        <v>1839</v>
      </c>
    </row>
    <row r="28" spans="1:8" x14ac:dyDescent="0.2">
      <c r="A28" s="50" t="s">
        <v>1115</v>
      </c>
      <c r="B28" s="50" t="s">
        <v>1116</v>
      </c>
      <c r="C28" s="50" t="s">
        <v>1624</v>
      </c>
      <c r="D28" s="50" t="s">
        <v>1624</v>
      </c>
      <c r="E28" s="50" t="s">
        <v>1838</v>
      </c>
      <c r="F28" s="50" t="s">
        <v>1839</v>
      </c>
      <c r="G28" s="50" t="s">
        <v>1840</v>
      </c>
      <c r="H28" s="50" t="s">
        <v>1839</v>
      </c>
    </row>
    <row r="29" spans="1:8" x14ac:dyDescent="0.2">
      <c r="A29" s="50" t="s">
        <v>1117</v>
      </c>
      <c r="B29" s="50" t="s">
        <v>1118</v>
      </c>
      <c r="C29" s="50" t="s">
        <v>1624</v>
      </c>
      <c r="D29" s="50" t="s">
        <v>1624</v>
      </c>
      <c r="E29" s="50" t="s">
        <v>1838</v>
      </c>
      <c r="F29" s="50" t="s">
        <v>1839</v>
      </c>
      <c r="G29" s="50" t="s">
        <v>1840</v>
      </c>
      <c r="H29" s="50" t="s">
        <v>1839</v>
      </c>
    </row>
    <row r="30" spans="1:8" x14ac:dyDescent="0.2">
      <c r="A30" s="50" t="s">
        <v>1119</v>
      </c>
      <c r="B30" s="50" t="s">
        <v>1120</v>
      </c>
      <c r="C30" s="50" t="s">
        <v>1624</v>
      </c>
      <c r="D30" s="50" t="s">
        <v>1624</v>
      </c>
      <c r="E30" s="50" t="s">
        <v>1838</v>
      </c>
      <c r="F30" s="50" t="s">
        <v>1839</v>
      </c>
      <c r="G30" s="50" t="s">
        <v>1840</v>
      </c>
      <c r="H30" s="50" t="s">
        <v>1839</v>
      </c>
    </row>
    <row r="31" spans="1:8" x14ac:dyDescent="0.2">
      <c r="A31" s="50" t="s">
        <v>1121</v>
      </c>
      <c r="B31" s="50" t="s">
        <v>1132</v>
      </c>
      <c r="C31" s="50" t="s">
        <v>1624</v>
      </c>
      <c r="D31" s="50" t="s">
        <v>1624</v>
      </c>
      <c r="E31" s="50" t="s">
        <v>1838</v>
      </c>
      <c r="F31" s="50" t="s">
        <v>1839</v>
      </c>
      <c r="G31" s="50" t="s">
        <v>1840</v>
      </c>
      <c r="H31" s="50" t="s">
        <v>1839</v>
      </c>
    </row>
    <row r="32" spans="1:8" x14ac:dyDescent="0.2">
      <c r="A32" s="50" t="s">
        <v>1123</v>
      </c>
      <c r="B32" s="50" t="s">
        <v>444</v>
      </c>
      <c r="C32" s="50" t="s">
        <v>1624</v>
      </c>
      <c r="D32" s="50" t="s">
        <v>1624</v>
      </c>
      <c r="E32" s="50" t="s">
        <v>1838</v>
      </c>
      <c r="F32" s="50" t="s">
        <v>1839</v>
      </c>
      <c r="G32" s="50" t="s">
        <v>1840</v>
      </c>
      <c r="H32" s="50" t="s">
        <v>1839</v>
      </c>
    </row>
    <row r="33" spans="1:8" x14ac:dyDescent="0.2">
      <c r="A33" s="50" t="s">
        <v>1133</v>
      </c>
      <c r="B33" s="50" t="s">
        <v>1135</v>
      </c>
      <c r="C33" s="50" t="s">
        <v>1624</v>
      </c>
      <c r="D33" s="50" t="s">
        <v>1624</v>
      </c>
      <c r="E33" s="50" t="s">
        <v>1838</v>
      </c>
      <c r="F33" s="50" t="s">
        <v>1839</v>
      </c>
      <c r="G33" s="50" t="s">
        <v>1840</v>
      </c>
      <c r="H33" s="50" t="s">
        <v>1839</v>
      </c>
    </row>
    <row r="34" spans="1:8" x14ac:dyDescent="0.2">
      <c r="A34" s="50" t="s">
        <v>2386</v>
      </c>
      <c r="B34" s="50" t="s">
        <v>1137</v>
      </c>
      <c r="C34" s="50" t="s">
        <v>1624</v>
      </c>
      <c r="D34" s="50" t="s">
        <v>1624</v>
      </c>
      <c r="E34" s="50" t="s">
        <v>1838</v>
      </c>
      <c r="F34" s="50" t="s">
        <v>1839</v>
      </c>
      <c r="G34" s="50" t="s">
        <v>1840</v>
      </c>
      <c r="H34" s="50" t="s">
        <v>1839</v>
      </c>
    </row>
    <row r="35" spans="1:8" x14ac:dyDescent="0.2">
      <c r="A35" s="50" t="s">
        <v>2387</v>
      </c>
      <c r="B35" s="50" t="s">
        <v>1139</v>
      </c>
      <c r="C35" s="50" t="s">
        <v>1624</v>
      </c>
      <c r="D35" s="50" t="s">
        <v>1624</v>
      </c>
      <c r="E35" s="50" t="s">
        <v>1838</v>
      </c>
      <c r="F35" s="50" t="s">
        <v>1839</v>
      </c>
      <c r="G35" s="50" t="s">
        <v>1840</v>
      </c>
      <c r="H35" s="50" t="s">
        <v>1839</v>
      </c>
    </row>
    <row r="36" spans="1:8" x14ac:dyDescent="0.2">
      <c r="A36" s="50" t="s">
        <v>2388</v>
      </c>
      <c r="B36" s="50" t="s">
        <v>1842</v>
      </c>
      <c r="C36" s="50" t="s">
        <v>1624</v>
      </c>
      <c r="D36" s="50" t="s">
        <v>1624</v>
      </c>
      <c r="E36" s="50" t="s">
        <v>1838</v>
      </c>
      <c r="F36" s="50" t="s">
        <v>1839</v>
      </c>
      <c r="G36" s="50" t="s">
        <v>1840</v>
      </c>
      <c r="H36" s="50" t="s">
        <v>1839</v>
      </c>
    </row>
    <row r="37" spans="1:8" x14ac:dyDescent="0.2">
      <c r="A37" s="50" t="s">
        <v>2389</v>
      </c>
      <c r="B37" s="50" t="s">
        <v>1843</v>
      </c>
      <c r="C37" s="50" t="s">
        <v>1624</v>
      </c>
      <c r="D37" s="50" t="s">
        <v>1624</v>
      </c>
      <c r="E37" s="50" t="s">
        <v>1838</v>
      </c>
      <c r="F37" s="50" t="s">
        <v>1839</v>
      </c>
      <c r="G37" s="50" t="s">
        <v>1840</v>
      </c>
      <c r="H37" s="50" t="s">
        <v>1839</v>
      </c>
    </row>
    <row r="38" spans="1:8" x14ac:dyDescent="0.2">
      <c r="A38" s="50" t="s">
        <v>2390</v>
      </c>
      <c r="B38" s="50" t="s">
        <v>1844</v>
      </c>
      <c r="C38" s="50" t="s">
        <v>1624</v>
      </c>
      <c r="D38" s="50" t="s">
        <v>1624</v>
      </c>
      <c r="E38" s="50" t="s">
        <v>1838</v>
      </c>
      <c r="F38" s="50" t="s">
        <v>1839</v>
      </c>
      <c r="G38" s="50" t="s">
        <v>1840</v>
      </c>
      <c r="H38" s="50" t="s">
        <v>1839</v>
      </c>
    </row>
    <row r="39" spans="1:8" x14ac:dyDescent="0.2">
      <c r="A39" s="50" t="s">
        <v>2391</v>
      </c>
      <c r="B39" s="50" t="s">
        <v>1845</v>
      </c>
      <c r="C39" s="50" t="s">
        <v>1624</v>
      </c>
      <c r="D39" s="50" t="s">
        <v>1624</v>
      </c>
      <c r="E39" s="50" t="s">
        <v>1838</v>
      </c>
      <c r="F39" s="50" t="s">
        <v>1839</v>
      </c>
      <c r="G39" s="50" t="s">
        <v>1840</v>
      </c>
      <c r="H39" s="50" t="s">
        <v>1839</v>
      </c>
    </row>
    <row r="40" spans="1:8" x14ac:dyDescent="0.2">
      <c r="A40" s="50" t="s">
        <v>2392</v>
      </c>
      <c r="B40" s="50" t="s">
        <v>1846</v>
      </c>
      <c r="C40" s="50" t="s">
        <v>1624</v>
      </c>
      <c r="D40" s="50" t="s">
        <v>1624</v>
      </c>
      <c r="E40" s="50" t="s">
        <v>1838</v>
      </c>
      <c r="F40" s="50" t="s">
        <v>1839</v>
      </c>
      <c r="G40" s="50" t="s">
        <v>1840</v>
      </c>
      <c r="H40" s="50" t="s">
        <v>1839</v>
      </c>
    </row>
    <row r="41" spans="1:8" x14ac:dyDescent="0.2">
      <c r="A41" s="50" t="s">
        <v>2393</v>
      </c>
      <c r="B41" s="50" t="s">
        <v>1847</v>
      </c>
      <c r="C41" s="50" t="s">
        <v>1624</v>
      </c>
      <c r="D41" s="50" t="s">
        <v>1624</v>
      </c>
      <c r="E41" s="50" t="s">
        <v>1838</v>
      </c>
      <c r="F41" s="50" t="s">
        <v>1839</v>
      </c>
      <c r="G41" s="50" t="s">
        <v>1840</v>
      </c>
      <c r="H41" s="50" t="s">
        <v>1839</v>
      </c>
    </row>
    <row r="42" spans="1:8" x14ac:dyDescent="0.2">
      <c r="A42" s="50" t="s">
        <v>2394</v>
      </c>
      <c r="B42" s="50" t="s">
        <v>1848</v>
      </c>
      <c r="C42" s="50" t="s">
        <v>1624</v>
      </c>
      <c r="D42" s="50" t="s">
        <v>1624</v>
      </c>
      <c r="E42" s="50" t="s">
        <v>1838</v>
      </c>
      <c r="F42" s="50" t="s">
        <v>1839</v>
      </c>
      <c r="G42" s="50" t="s">
        <v>1840</v>
      </c>
      <c r="H42" s="50" t="s">
        <v>1839</v>
      </c>
    </row>
    <row r="43" spans="1:8" x14ac:dyDescent="0.2">
      <c r="A43" s="50" t="s">
        <v>1154</v>
      </c>
      <c r="B43" s="50" t="s">
        <v>1849</v>
      </c>
      <c r="C43" s="50" t="s">
        <v>1624</v>
      </c>
      <c r="D43" s="50" t="s">
        <v>1624</v>
      </c>
      <c r="E43" s="50" t="s">
        <v>1850</v>
      </c>
      <c r="F43" s="50" t="s">
        <v>1851</v>
      </c>
      <c r="G43" s="50" t="s">
        <v>1852</v>
      </c>
      <c r="H43" s="50" t="s">
        <v>1851</v>
      </c>
    </row>
    <row r="44" spans="1:8" x14ac:dyDescent="0.2">
      <c r="A44" s="50" t="s">
        <v>1156</v>
      </c>
      <c r="B44" s="50" t="s">
        <v>1853</v>
      </c>
      <c r="C44" s="50" t="s">
        <v>1624</v>
      </c>
      <c r="D44" s="50" t="s">
        <v>1624</v>
      </c>
      <c r="E44" s="50" t="s">
        <v>1850</v>
      </c>
      <c r="F44" s="50" t="s">
        <v>1851</v>
      </c>
      <c r="G44" s="50" t="s">
        <v>1852</v>
      </c>
      <c r="H44" s="50" t="s">
        <v>1851</v>
      </c>
    </row>
    <row r="45" spans="1:8" x14ac:dyDescent="0.2">
      <c r="A45" s="50" t="s">
        <v>1158</v>
      </c>
      <c r="B45" s="50" t="s">
        <v>1854</v>
      </c>
      <c r="C45" s="50" t="s">
        <v>1624</v>
      </c>
      <c r="D45" s="50" t="s">
        <v>1624</v>
      </c>
      <c r="E45" s="50" t="s">
        <v>1850</v>
      </c>
      <c r="F45" s="50" t="s">
        <v>1851</v>
      </c>
      <c r="G45" s="50" t="s">
        <v>1852</v>
      </c>
      <c r="H45" s="50" t="s">
        <v>1851</v>
      </c>
    </row>
    <row r="46" spans="1:8" x14ac:dyDescent="0.2">
      <c r="A46" s="50" t="s">
        <v>1160</v>
      </c>
      <c r="B46" s="50" t="s">
        <v>1855</v>
      </c>
      <c r="C46" s="50" t="s">
        <v>1624</v>
      </c>
      <c r="D46" s="50" t="s">
        <v>1624</v>
      </c>
      <c r="E46" s="50" t="s">
        <v>1850</v>
      </c>
      <c r="F46" s="50" t="s">
        <v>1851</v>
      </c>
      <c r="G46" s="50" t="s">
        <v>1852</v>
      </c>
      <c r="H46" s="50" t="s">
        <v>1851</v>
      </c>
    </row>
    <row r="47" spans="1:8" x14ac:dyDescent="0.2">
      <c r="A47" s="50" t="s">
        <v>1162</v>
      </c>
      <c r="B47" s="50" t="s">
        <v>1856</v>
      </c>
      <c r="C47" s="50" t="s">
        <v>1624</v>
      </c>
      <c r="D47" s="50" t="s">
        <v>1624</v>
      </c>
      <c r="E47" s="50" t="s">
        <v>1850</v>
      </c>
      <c r="F47" s="50" t="s">
        <v>1851</v>
      </c>
      <c r="G47" s="50" t="s">
        <v>1852</v>
      </c>
      <c r="H47" s="50" t="s">
        <v>1851</v>
      </c>
    </row>
    <row r="48" spans="1:8" x14ac:dyDescent="0.2">
      <c r="A48" s="50" t="s">
        <v>1164</v>
      </c>
      <c r="B48" s="50" t="s">
        <v>1857</v>
      </c>
      <c r="C48" s="50" t="s">
        <v>1624</v>
      </c>
      <c r="D48" s="50" t="s">
        <v>1624</v>
      </c>
      <c r="E48" s="50" t="s">
        <v>1850</v>
      </c>
      <c r="F48" s="50" t="s">
        <v>1851</v>
      </c>
      <c r="G48" s="50" t="s">
        <v>1852</v>
      </c>
      <c r="H48" s="50" t="s">
        <v>1851</v>
      </c>
    </row>
    <row r="49" spans="1:8" x14ac:dyDescent="0.2">
      <c r="A49" s="50" t="s">
        <v>1165</v>
      </c>
      <c r="B49" s="50" t="s">
        <v>1858</v>
      </c>
      <c r="C49" s="50" t="s">
        <v>1624</v>
      </c>
      <c r="D49" s="50" t="s">
        <v>1624</v>
      </c>
      <c r="E49" s="50" t="s">
        <v>1850</v>
      </c>
      <c r="F49" s="50" t="s">
        <v>1851</v>
      </c>
      <c r="G49" s="50" t="s">
        <v>1852</v>
      </c>
      <c r="H49" s="50" t="s">
        <v>1851</v>
      </c>
    </row>
    <row r="50" spans="1:8" x14ac:dyDescent="0.2">
      <c r="A50" s="50" t="s">
        <v>1167</v>
      </c>
      <c r="B50" s="50" t="s">
        <v>1859</v>
      </c>
      <c r="C50" s="50" t="s">
        <v>1624</v>
      </c>
      <c r="D50" s="50" t="s">
        <v>1624</v>
      </c>
      <c r="E50" s="50" t="s">
        <v>1850</v>
      </c>
      <c r="F50" s="50" t="s">
        <v>1851</v>
      </c>
      <c r="G50" s="50" t="s">
        <v>1852</v>
      </c>
      <c r="H50" s="50" t="s">
        <v>1851</v>
      </c>
    </row>
    <row r="51" spans="1:8" x14ac:dyDescent="0.2">
      <c r="A51" s="50" t="s">
        <v>1169</v>
      </c>
      <c r="B51" s="50" t="s">
        <v>1860</v>
      </c>
      <c r="C51" s="50" t="s">
        <v>1624</v>
      </c>
      <c r="D51" s="50" t="s">
        <v>1624</v>
      </c>
      <c r="E51" s="50" t="s">
        <v>1850</v>
      </c>
      <c r="F51" s="50" t="s">
        <v>1851</v>
      </c>
      <c r="G51" s="50" t="s">
        <v>1852</v>
      </c>
      <c r="H51" s="50" t="s">
        <v>1851</v>
      </c>
    </row>
    <row r="52" spans="1:8" x14ac:dyDescent="0.2">
      <c r="A52" s="50" t="s">
        <v>1171</v>
      </c>
      <c r="B52" s="50" t="s">
        <v>1861</v>
      </c>
      <c r="C52" s="50" t="s">
        <v>1624</v>
      </c>
      <c r="D52" s="50" t="s">
        <v>1624</v>
      </c>
      <c r="E52" s="50" t="s">
        <v>1850</v>
      </c>
      <c r="F52" s="50" t="s">
        <v>1851</v>
      </c>
      <c r="G52" s="50" t="s">
        <v>1852</v>
      </c>
      <c r="H52" s="50" t="s">
        <v>1851</v>
      </c>
    </row>
    <row r="53" spans="1:8" x14ac:dyDescent="0.2">
      <c r="A53" s="50" t="s">
        <v>2395</v>
      </c>
      <c r="B53" s="50" t="s">
        <v>1862</v>
      </c>
      <c r="C53" s="50" t="s">
        <v>1624</v>
      </c>
      <c r="D53" s="50" t="s">
        <v>1624</v>
      </c>
      <c r="E53" s="50" t="s">
        <v>1850</v>
      </c>
      <c r="F53" s="50" t="s">
        <v>1851</v>
      </c>
      <c r="G53" s="50" t="s">
        <v>1852</v>
      </c>
      <c r="H53" s="50" t="s">
        <v>1851</v>
      </c>
    </row>
    <row r="54" spans="1:8" x14ac:dyDescent="0.2">
      <c r="A54" s="50" t="s">
        <v>1173</v>
      </c>
      <c r="B54" s="50" t="s">
        <v>1863</v>
      </c>
      <c r="C54" s="50" t="s">
        <v>1624</v>
      </c>
      <c r="D54" s="50" t="s">
        <v>1624</v>
      </c>
      <c r="E54" s="50" t="s">
        <v>1850</v>
      </c>
      <c r="F54" s="50" t="s">
        <v>1851</v>
      </c>
      <c r="G54" s="50" t="s">
        <v>1852</v>
      </c>
      <c r="H54" s="50" t="s">
        <v>1851</v>
      </c>
    </row>
    <row r="55" spans="1:8" x14ac:dyDescent="0.2">
      <c r="A55" s="50" t="s">
        <v>2396</v>
      </c>
      <c r="B55" s="50" t="s">
        <v>1864</v>
      </c>
      <c r="C55" s="50" t="s">
        <v>1624</v>
      </c>
      <c r="D55" s="50" t="s">
        <v>1624</v>
      </c>
      <c r="E55" s="50" t="s">
        <v>1850</v>
      </c>
      <c r="F55" s="50" t="s">
        <v>1851</v>
      </c>
      <c r="G55" s="50" t="s">
        <v>1852</v>
      </c>
      <c r="H55" s="50" t="s">
        <v>1851</v>
      </c>
    </row>
    <row r="56" spans="1:8" x14ac:dyDescent="0.2">
      <c r="A56" s="50" t="s">
        <v>1175</v>
      </c>
      <c r="B56" s="50" t="s">
        <v>1865</v>
      </c>
      <c r="C56" s="50" t="s">
        <v>1624</v>
      </c>
      <c r="D56" s="50" t="s">
        <v>1624</v>
      </c>
      <c r="E56" s="50" t="s">
        <v>1850</v>
      </c>
      <c r="F56" s="50" t="s">
        <v>1851</v>
      </c>
      <c r="G56" s="50" t="s">
        <v>1852</v>
      </c>
      <c r="H56" s="50" t="s">
        <v>1851</v>
      </c>
    </row>
    <row r="57" spans="1:8" x14ac:dyDescent="0.2">
      <c r="A57" s="50" t="s">
        <v>1177</v>
      </c>
      <c r="B57" s="50" t="s">
        <v>1866</v>
      </c>
      <c r="C57" s="50" t="s">
        <v>1624</v>
      </c>
      <c r="D57" s="50" t="s">
        <v>1624</v>
      </c>
      <c r="E57" s="50" t="s">
        <v>1850</v>
      </c>
      <c r="F57" s="50" t="s">
        <v>1851</v>
      </c>
      <c r="G57" s="50" t="s">
        <v>1852</v>
      </c>
      <c r="H57" s="50" t="s">
        <v>1851</v>
      </c>
    </row>
    <row r="58" spans="1:8" x14ac:dyDescent="0.2">
      <c r="A58" s="50" t="s">
        <v>1179</v>
      </c>
      <c r="B58" s="50" t="s">
        <v>1867</v>
      </c>
      <c r="C58" s="50" t="s">
        <v>1624</v>
      </c>
      <c r="D58" s="50" t="s">
        <v>1624</v>
      </c>
      <c r="E58" s="50" t="s">
        <v>1850</v>
      </c>
      <c r="F58" s="50" t="s">
        <v>1851</v>
      </c>
      <c r="G58" s="50" t="s">
        <v>1852</v>
      </c>
      <c r="H58" s="50" t="s">
        <v>1851</v>
      </c>
    </row>
    <row r="59" spans="1:8" x14ac:dyDescent="0.2">
      <c r="A59" s="50" t="s">
        <v>1181</v>
      </c>
      <c r="B59" s="50" t="s">
        <v>1868</v>
      </c>
      <c r="C59" s="50" t="s">
        <v>1624</v>
      </c>
      <c r="D59" s="50" t="s">
        <v>1624</v>
      </c>
      <c r="E59" s="50" t="s">
        <v>1850</v>
      </c>
      <c r="F59" s="50" t="s">
        <v>1851</v>
      </c>
      <c r="G59" s="50" t="s">
        <v>1852</v>
      </c>
      <c r="H59" s="50" t="s">
        <v>1851</v>
      </c>
    </row>
    <row r="60" spans="1:8" x14ac:dyDescent="0.2">
      <c r="A60" s="50" t="s">
        <v>2397</v>
      </c>
      <c r="B60" s="50" t="s">
        <v>1869</v>
      </c>
      <c r="C60" s="50" t="s">
        <v>1624</v>
      </c>
      <c r="D60" s="50" t="s">
        <v>1624</v>
      </c>
      <c r="E60" s="50" t="s">
        <v>1850</v>
      </c>
      <c r="F60" s="50" t="s">
        <v>1851</v>
      </c>
      <c r="G60" s="50" t="s">
        <v>1852</v>
      </c>
      <c r="H60" s="50" t="s">
        <v>1851</v>
      </c>
    </row>
    <row r="61" spans="1:8" x14ac:dyDescent="0.2">
      <c r="A61" s="50" t="s">
        <v>2398</v>
      </c>
      <c r="B61" s="50" t="s">
        <v>1870</v>
      </c>
      <c r="C61" s="50" t="s">
        <v>1624</v>
      </c>
      <c r="D61" s="50" t="s">
        <v>1624</v>
      </c>
      <c r="E61" s="50" t="s">
        <v>1850</v>
      </c>
      <c r="F61" s="50" t="s">
        <v>1851</v>
      </c>
      <c r="G61" s="50" t="s">
        <v>1852</v>
      </c>
      <c r="H61" s="50" t="s">
        <v>1851</v>
      </c>
    </row>
    <row r="62" spans="1:8" x14ac:dyDescent="0.2">
      <c r="A62" s="50" t="s">
        <v>2399</v>
      </c>
      <c r="B62" s="50" t="s">
        <v>1871</v>
      </c>
      <c r="C62" s="50" t="s">
        <v>1624</v>
      </c>
      <c r="D62" s="50" t="s">
        <v>1624</v>
      </c>
      <c r="E62" s="50" t="s">
        <v>1850</v>
      </c>
      <c r="F62" s="50" t="s">
        <v>1851</v>
      </c>
      <c r="G62" s="50" t="s">
        <v>1852</v>
      </c>
      <c r="H62" s="50" t="s">
        <v>1851</v>
      </c>
    </row>
    <row r="63" spans="1:8" x14ac:dyDescent="0.2">
      <c r="A63" s="50" t="s">
        <v>2400</v>
      </c>
      <c r="B63" s="50" t="s">
        <v>1872</v>
      </c>
      <c r="C63" s="50" t="s">
        <v>1624</v>
      </c>
      <c r="D63" s="50" t="s">
        <v>1624</v>
      </c>
      <c r="E63" s="50" t="s">
        <v>1850</v>
      </c>
      <c r="F63" s="50" t="s">
        <v>1851</v>
      </c>
      <c r="G63" s="50" t="s">
        <v>1852</v>
      </c>
      <c r="H63" s="50" t="s">
        <v>1851</v>
      </c>
    </row>
    <row r="64" spans="1:8" x14ac:dyDescent="0.2">
      <c r="A64" s="50" t="s">
        <v>2401</v>
      </c>
      <c r="B64" s="50" t="s">
        <v>1873</v>
      </c>
      <c r="C64" s="50" t="s">
        <v>1624</v>
      </c>
      <c r="D64" s="50" t="s">
        <v>1624</v>
      </c>
      <c r="E64" s="50" t="s">
        <v>1850</v>
      </c>
      <c r="F64" s="50" t="s">
        <v>1851</v>
      </c>
      <c r="G64" s="50" t="s">
        <v>1852</v>
      </c>
      <c r="H64" s="50" t="s">
        <v>1851</v>
      </c>
    </row>
    <row r="65" spans="1:8" x14ac:dyDescent="0.2">
      <c r="A65" s="50" t="s">
        <v>2402</v>
      </c>
      <c r="B65" s="50" t="s">
        <v>1874</v>
      </c>
      <c r="C65" s="50" t="s">
        <v>1624</v>
      </c>
      <c r="D65" s="50" t="s">
        <v>1624</v>
      </c>
      <c r="E65" s="50" t="s">
        <v>1850</v>
      </c>
      <c r="F65" s="50" t="s">
        <v>1851</v>
      </c>
      <c r="G65" s="50" t="s">
        <v>1852</v>
      </c>
      <c r="H65" s="50" t="s">
        <v>1851</v>
      </c>
    </row>
    <row r="66" spans="1:8" x14ac:dyDescent="0.2">
      <c r="A66" s="50" t="s">
        <v>2403</v>
      </c>
      <c r="B66" s="50" t="s">
        <v>1875</v>
      </c>
      <c r="C66" s="50" t="s">
        <v>1624</v>
      </c>
      <c r="D66" s="50" t="s">
        <v>1624</v>
      </c>
      <c r="E66" s="50" t="s">
        <v>1850</v>
      </c>
      <c r="F66" s="50" t="s">
        <v>1851</v>
      </c>
      <c r="G66" s="50" t="s">
        <v>1852</v>
      </c>
      <c r="H66" s="50" t="s">
        <v>1851</v>
      </c>
    </row>
    <row r="67" spans="1:8" x14ac:dyDescent="0.2">
      <c r="A67" s="50" t="s">
        <v>2404</v>
      </c>
      <c r="B67" s="50" t="s">
        <v>1876</v>
      </c>
      <c r="C67" s="50" t="s">
        <v>1624</v>
      </c>
      <c r="D67" s="50" t="s">
        <v>1624</v>
      </c>
      <c r="E67" s="50" t="s">
        <v>1850</v>
      </c>
      <c r="F67" s="50" t="s">
        <v>1851</v>
      </c>
      <c r="G67" s="50" t="s">
        <v>1852</v>
      </c>
      <c r="H67" s="50" t="s">
        <v>1851</v>
      </c>
    </row>
    <row r="68" spans="1:8" x14ac:dyDescent="0.2">
      <c r="A68" s="50" t="s">
        <v>2405</v>
      </c>
      <c r="B68" s="50" t="s">
        <v>1877</v>
      </c>
      <c r="C68" s="50" t="s">
        <v>1624</v>
      </c>
      <c r="D68" s="50" t="s">
        <v>1624</v>
      </c>
      <c r="E68" s="50" t="s">
        <v>1850</v>
      </c>
      <c r="F68" s="50" t="s">
        <v>1851</v>
      </c>
      <c r="G68" s="50" t="s">
        <v>1852</v>
      </c>
      <c r="H68" s="50" t="s">
        <v>1851</v>
      </c>
    </row>
    <row r="69" spans="1:8" x14ac:dyDescent="0.2">
      <c r="A69" s="50" t="s">
        <v>2406</v>
      </c>
      <c r="B69" s="50" t="s">
        <v>1878</v>
      </c>
      <c r="C69" s="50" t="s">
        <v>1624</v>
      </c>
      <c r="D69" s="50" t="s">
        <v>1624</v>
      </c>
      <c r="E69" s="50" t="s">
        <v>1850</v>
      </c>
      <c r="F69" s="50" t="s">
        <v>1851</v>
      </c>
      <c r="G69" s="50" t="s">
        <v>1852</v>
      </c>
      <c r="H69" s="50" t="s">
        <v>1851</v>
      </c>
    </row>
    <row r="70" spans="1:8" x14ac:dyDescent="0.2">
      <c r="A70" s="50" t="s">
        <v>2407</v>
      </c>
      <c r="B70" s="50" t="s">
        <v>1879</v>
      </c>
      <c r="C70" s="50" t="s">
        <v>1624</v>
      </c>
      <c r="D70" s="50" t="s">
        <v>1624</v>
      </c>
      <c r="E70" s="50" t="s">
        <v>1850</v>
      </c>
      <c r="F70" s="50" t="s">
        <v>1851</v>
      </c>
      <c r="G70" s="50" t="s">
        <v>1852</v>
      </c>
      <c r="H70" s="50" t="s">
        <v>1851</v>
      </c>
    </row>
    <row r="71" spans="1:8" x14ac:dyDescent="0.2">
      <c r="A71" s="50" t="s">
        <v>2408</v>
      </c>
      <c r="B71" s="50" t="s">
        <v>1880</v>
      </c>
      <c r="C71" s="50" t="s">
        <v>1624</v>
      </c>
      <c r="D71" s="50" t="s">
        <v>1624</v>
      </c>
      <c r="E71" s="50" t="s">
        <v>1850</v>
      </c>
      <c r="F71" s="50" t="s">
        <v>1851</v>
      </c>
      <c r="G71" s="50" t="s">
        <v>1852</v>
      </c>
      <c r="H71" s="50" t="s">
        <v>1851</v>
      </c>
    </row>
    <row r="72" spans="1:8" x14ac:dyDescent="0.2">
      <c r="A72" s="50" t="s">
        <v>2409</v>
      </c>
      <c r="B72" s="50" t="s">
        <v>1881</v>
      </c>
      <c r="C72" s="50" t="s">
        <v>1624</v>
      </c>
      <c r="D72" s="50" t="s">
        <v>1624</v>
      </c>
      <c r="E72" s="50" t="s">
        <v>1850</v>
      </c>
      <c r="F72" s="50" t="s">
        <v>1851</v>
      </c>
      <c r="G72" s="50" t="s">
        <v>1852</v>
      </c>
      <c r="H72" s="50" t="s">
        <v>1851</v>
      </c>
    </row>
    <row r="73" spans="1:8" ht="25.5" x14ac:dyDescent="0.2">
      <c r="A73" s="50" t="s">
        <v>1188</v>
      </c>
      <c r="B73" s="62" t="s">
        <v>2327</v>
      </c>
      <c r="C73" s="50" t="s">
        <v>1624</v>
      </c>
      <c r="D73" s="50" t="s">
        <v>1624</v>
      </c>
      <c r="E73" s="50" t="s">
        <v>1882</v>
      </c>
      <c r="F73" s="50" t="s">
        <v>1883</v>
      </c>
      <c r="G73" s="50" t="s">
        <v>1884</v>
      </c>
      <c r="H73" s="50" t="s">
        <v>1883</v>
      </c>
    </row>
    <row r="74" spans="1:8" x14ac:dyDescent="0.2">
      <c r="A74" s="50" t="s">
        <v>1190</v>
      </c>
      <c r="B74" s="50" t="s">
        <v>1885</v>
      </c>
      <c r="C74" s="50" t="s">
        <v>1624</v>
      </c>
      <c r="D74" s="50" t="s">
        <v>1624</v>
      </c>
      <c r="E74" s="50" t="s">
        <v>1882</v>
      </c>
      <c r="F74" s="50" t="s">
        <v>1883</v>
      </c>
      <c r="G74" s="50" t="s">
        <v>1884</v>
      </c>
      <c r="H74" s="50" t="s">
        <v>1883</v>
      </c>
    </row>
    <row r="75" spans="1:8" x14ac:dyDescent="0.2">
      <c r="A75" s="50" t="s">
        <v>1191</v>
      </c>
      <c r="B75" s="50" t="s">
        <v>1886</v>
      </c>
      <c r="C75" s="50" t="s">
        <v>1624</v>
      </c>
      <c r="D75" s="50" t="s">
        <v>1624</v>
      </c>
      <c r="E75" s="50" t="s">
        <v>1882</v>
      </c>
      <c r="F75" s="50" t="s">
        <v>1883</v>
      </c>
      <c r="G75" s="50" t="s">
        <v>1884</v>
      </c>
      <c r="H75" s="50" t="s">
        <v>1883</v>
      </c>
    </row>
    <row r="76" spans="1:8" x14ac:dyDescent="0.2">
      <c r="A76" s="50" t="s">
        <v>1192</v>
      </c>
      <c r="B76" s="50" t="s">
        <v>1887</v>
      </c>
      <c r="C76" s="50" t="s">
        <v>1624</v>
      </c>
      <c r="D76" s="50" t="s">
        <v>1624</v>
      </c>
      <c r="E76" s="50" t="s">
        <v>1882</v>
      </c>
      <c r="F76" s="50" t="s">
        <v>1883</v>
      </c>
      <c r="G76" s="50" t="s">
        <v>1884</v>
      </c>
      <c r="H76" s="50" t="s">
        <v>1883</v>
      </c>
    </row>
    <row r="77" spans="1:8" x14ac:dyDescent="0.2">
      <c r="A77" s="50" t="s">
        <v>1194</v>
      </c>
      <c r="B77" s="50" t="s">
        <v>1888</v>
      </c>
      <c r="C77" s="50" t="s">
        <v>1624</v>
      </c>
      <c r="D77" s="50" t="s">
        <v>1624</v>
      </c>
      <c r="E77" s="50" t="s">
        <v>1882</v>
      </c>
      <c r="F77" s="50" t="s">
        <v>1883</v>
      </c>
      <c r="G77" s="50" t="s">
        <v>1884</v>
      </c>
      <c r="H77" s="50" t="s">
        <v>1883</v>
      </c>
    </row>
    <row r="78" spans="1:8" x14ac:dyDescent="0.2">
      <c r="A78" s="50" t="s">
        <v>1196</v>
      </c>
      <c r="B78" s="50" t="s">
        <v>1889</v>
      </c>
      <c r="C78" s="50" t="s">
        <v>1624</v>
      </c>
      <c r="D78" s="50" t="s">
        <v>1624</v>
      </c>
      <c r="E78" s="50" t="s">
        <v>1882</v>
      </c>
      <c r="F78" s="50" t="s">
        <v>1883</v>
      </c>
      <c r="G78" s="50" t="s">
        <v>1884</v>
      </c>
      <c r="H78" s="50" t="s">
        <v>1883</v>
      </c>
    </row>
    <row r="79" spans="1:8" x14ac:dyDescent="0.2">
      <c r="A79" s="50" t="s">
        <v>1198</v>
      </c>
      <c r="B79" s="50" t="s">
        <v>1890</v>
      </c>
      <c r="C79" s="50" t="s">
        <v>1624</v>
      </c>
      <c r="D79" s="50" t="s">
        <v>1624</v>
      </c>
      <c r="E79" s="50" t="s">
        <v>1882</v>
      </c>
      <c r="F79" s="50" t="s">
        <v>1883</v>
      </c>
      <c r="G79" s="50" t="s">
        <v>1884</v>
      </c>
      <c r="H79" s="50" t="s">
        <v>1883</v>
      </c>
    </row>
    <row r="80" spans="1:8" x14ac:dyDescent="0.2">
      <c r="A80" s="50" t="s">
        <v>1200</v>
      </c>
      <c r="B80" s="50" t="s">
        <v>1891</v>
      </c>
      <c r="C80" s="50" t="s">
        <v>1624</v>
      </c>
      <c r="D80" s="50" t="s">
        <v>1624</v>
      </c>
      <c r="E80" s="50" t="s">
        <v>1882</v>
      </c>
      <c r="F80" s="50" t="s">
        <v>1883</v>
      </c>
      <c r="G80" s="50" t="s">
        <v>1884</v>
      </c>
      <c r="H80" s="50" t="s">
        <v>1883</v>
      </c>
    </row>
    <row r="81" spans="1:8" x14ac:dyDescent="0.2">
      <c r="A81" s="50" t="s">
        <v>1202</v>
      </c>
      <c r="B81" s="50" t="s">
        <v>1892</v>
      </c>
      <c r="C81" s="50" t="s">
        <v>1624</v>
      </c>
      <c r="D81" s="50" t="s">
        <v>1624</v>
      </c>
      <c r="E81" s="50" t="s">
        <v>1882</v>
      </c>
      <c r="F81" s="50" t="s">
        <v>1883</v>
      </c>
      <c r="G81" s="50" t="s">
        <v>1884</v>
      </c>
      <c r="H81" s="50" t="s">
        <v>1883</v>
      </c>
    </row>
    <row r="82" spans="1:8" x14ac:dyDescent="0.2">
      <c r="A82" s="50" t="s">
        <v>1203</v>
      </c>
      <c r="B82" s="50" t="s">
        <v>1893</v>
      </c>
      <c r="C82" s="50" t="s">
        <v>1624</v>
      </c>
      <c r="D82" s="50" t="s">
        <v>1624</v>
      </c>
      <c r="E82" s="50" t="s">
        <v>1882</v>
      </c>
      <c r="F82" s="50" t="s">
        <v>1883</v>
      </c>
      <c r="G82" s="50" t="s">
        <v>1884</v>
      </c>
      <c r="H82" s="50" t="s">
        <v>1883</v>
      </c>
    </row>
    <row r="83" spans="1:8" x14ac:dyDescent="0.2">
      <c r="A83" s="50" t="s">
        <v>1205</v>
      </c>
      <c r="B83" s="50" t="s">
        <v>1894</v>
      </c>
      <c r="C83" s="50" t="s">
        <v>1624</v>
      </c>
      <c r="D83" s="50" t="s">
        <v>1624</v>
      </c>
      <c r="E83" s="50" t="s">
        <v>1882</v>
      </c>
      <c r="F83" s="50" t="s">
        <v>1883</v>
      </c>
      <c r="G83" s="50" t="s">
        <v>1884</v>
      </c>
      <c r="H83" s="50" t="s">
        <v>1883</v>
      </c>
    </row>
    <row r="84" spans="1:8" x14ac:dyDescent="0.2">
      <c r="A84" s="50" t="s">
        <v>1207</v>
      </c>
      <c r="B84" s="50" t="s">
        <v>1895</v>
      </c>
      <c r="C84" s="50" t="s">
        <v>1624</v>
      </c>
      <c r="D84" s="50" t="s">
        <v>1624</v>
      </c>
      <c r="E84" s="50" t="s">
        <v>1882</v>
      </c>
      <c r="F84" s="50" t="s">
        <v>1883</v>
      </c>
      <c r="G84" s="50" t="s">
        <v>1884</v>
      </c>
      <c r="H84" s="50" t="s">
        <v>1883</v>
      </c>
    </row>
    <row r="85" spans="1:8" x14ac:dyDescent="0.2">
      <c r="A85" s="50" t="s">
        <v>1209</v>
      </c>
      <c r="B85" s="50" t="s">
        <v>1896</v>
      </c>
      <c r="C85" s="50" t="s">
        <v>1624</v>
      </c>
      <c r="D85" s="50" t="s">
        <v>1624</v>
      </c>
      <c r="E85" s="50" t="s">
        <v>1882</v>
      </c>
      <c r="F85" s="50" t="s">
        <v>1883</v>
      </c>
      <c r="G85" s="50" t="s">
        <v>1884</v>
      </c>
      <c r="H85" s="50" t="s">
        <v>1883</v>
      </c>
    </row>
    <row r="86" spans="1:8" x14ac:dyDescent="0.2">
      <c r="A86" s="50" t="s">
        <v>1211</v>
      </c>
      <c r="B86" s="50" t="s">
        <v>1897</v>
      </c>
      <c r="C86" s="50" t="s">
        <v>1624</v>
      </c>
      <c r="D86" s="50" t="s">
        <v>1624</v>
      </c>
      <c r="E86" s="50" t="s">
        <v>1882</v>
      </c>
      <c r="F86" s="50" t="s">
        <v>1883</v>
      </c>
      <c r="G86" s="50" t="s">
        <v>1884</v>
      </c>
      <c r="H86" s="50" t="s">
        <v>1883</v>
      </c>
    </row>
    <row r="87" spans="1:8" x14ac:dyDescent="0.2">
      <c r="A87" s="50" t="s">
        <v>1213</v>
      </c>
      <c r="B87" s="50" t="s">
        <v>1898</v>
      </c>
      <c r="C87" s="50" t="s">
        <v>1624</v>
      </c>
      <c r="D87" s="50" t="s">
        <v>1624</v>
      </c>
      <c r="E87" s="50" t="s">
        <v>1882</v>
      </c>
      <c r="F87" s="50" t="s">
        <v>1883</v>
      </c>
      <c r="G87" s="50" t="s">
        <v>1884</v>
      </c>
      <c r="H87" s="50" t="s">
        <v>1883</v>
      </c>
    </row>
    <row r="88" spans="1:8" x14ac:dyDescent="0.2">
      <c r="A88" s="50" t="s">
        <v>1215</v>
      </c>
      <c r="B88" s="50" t="s">
        <v>1899</v>
      </c>
      <c r="C88" s="50" t="s">
        <v>1624</v>
      </c>
      <c r="D88" s="50" t="s">
        <v>1624</v>
      </c>
      <c r="E88" s="50" t="s">
        <v>1882</v>
      </c>
      <c r="F88" s="50" t="s">
        <v>1883</v>
      </c>
      <c r="G88" s="50" t="s">
        <v>1884</v>
      </c>
      <c r="H88" s="50" t="s">
        <v>1883</v>
      </c>
    </row>
    <row r="89" spans="1:8" x14ac:dyDescent="0.2">
      <c r="A89" s="50" t="s">
        <v>1217</v>
      </c>
      <c r="B89" s="50" t="s">
        <v>1900</v>
      </c>
      <c r="C89" s="50" t="s">
        <v>1624</v>
      </c>
      <c r="D89" s="50" t="s">
        <v>1624</v>
      </c>
      <c r="E89" s="50" t="s">
        <v>1882</v>
      </c>
      <c r="F89" s="50" t="s">
        <v>1883</v>
      </c>
      <c r="G89" s="50" t="s">
        <v>1884</v>
      </c>
      <c r="H89" s="50" t="s">
        <v>1883</v>
      </c>
    </row>
    <row r="90" spans="1:8" x14ac:dyDescent="0.2">
      <c r="A90" s="50" t="s">
        <v>2410</v>
      </c>
      <c r="B90" s="50" t="s">
        <v>1901</v>
      </c>
      <c r="C90" s="50" t="s">
        <v>1624</v>
      </c>
      <c r="D90" s="50" t="s">
        <v>1624</v>
      </c>
      <c r="E90" s="50" t="s">
        <v>1882</v>
      </c>
      <c r="F90" s="50" t="s">
        <v>1883</v>
      </c>
      <c r="G90" s="50" t="s">
        <v>1884</v>
      </c>
      <c r="H90" s="50" t="s">
        <v>1883</v>
      </c>
    </row>
    <row r="91" spans="1:8" x14ac:dyDescent="0.2">
      <c r="A91" s="50" t="s">
        <v>2411</v>
      </c>
      <c r="B91" s="50" t="s">
        <v>1902</v>
      </c>
      <c r="C91" s="50" t="s">
        <v>1624</v>
      </c>
      <c r="D91" s="50" t="s">
        <v>1624</v>
      </c>
      <c r="E91" s="50" t="s">
        <v>1882</v>
      </c>
      <c r="F91" s="50" t="s">
        <v>1883</v>
      </c>
      <c r="G91" s="50" t="s">
        <v>1884</v>
      </c>
      <c r="H91" s="50" t="s">
        <v>1883</v>
      </c>
    </row>
    <row r="92" spans="1:8" x14ac:dyDescent="0.2">
      <c r="A92" s="50" t="s">
        <v>2412</v>
      </c>
      <c r="B92" s="50" t="s">
        <v>1903</v>
      </c>
      <c r="C92" s="50" t="s">
        <v>1624</v>
      </c>
      <c r="D92" s="50" t="s">
        <v>1624</v>
      </c>
      <c r="E92" s="50" t="s">
        <v>1882</v>
      </c>
      <c r="F92" s="50" t="s">
        <v>1883</v>
      </c>
      <c r="G92" s="50" t="s">
        <v>1884</v>
      </c>
      <c r="H92" s="50" t="s">
        <v>1883</v>
      </c>
    </row>
    <row r="93" spans="1:8" x14ac:dyDescent="0.2">
      <c r="A93" s="50" t="s">
        <v>2413</v>
      </c>
      <c r="B93" s="50" t="s">
        <v>1904</v>
      </c>
      <c r="C93" s="50" t="s">
        <v>1624</v>
      </c>
      <c r="D93" s="50" t="s">
        <v>1624</v>
      </c>
      <c r="E93" s="50" t="s">
        <v>1882</v>
      </c>
      <c r="F93" s="50" t="s">
        <v>1883</v>
      </c>
      <c r="G93" s="50" t="s">
        <v>1884</v>
      </c>
      <c r="H93" s="50" t="s">
        <v>1883</v>
      </c>
    </row>
    <row r="94" spans="1:8" x14ac:dyDescent="0.2">
      <c r="A94" s="50" t="s">
        <v>2414</v>
      </c>
      <c r="B94" s="50" t="s">
        <v>1905</v>
      </c>
      <c r="C94" s="50" t="s">
        <v>1624</v>
      </c>
      <c r="D94" s="50" t="s">
        <v>1624</v>
      </c>
      <c r="E94" s="50" t="s">
        <v>1882</v>
      </c>
      <c r="F94" s="50" t="s">
        <v>1883</v>
      </c>
      <c r="G94" s="50" t="s">
        <v>1884</v>
      </c>
      <c r="H94" s="50" t="s">
        <v>1883</v>
      </c>
    </row>
    <row r="95" spans="1:8" x14ac:dyDescent="0.2">
      <c r="A95" s="50" t="s">
        <v>2415</v>
      </c>
      <c r="B95" s="50" t="s">
        <v>1906</v>
      </c>
      <c r="C95" s="50" t="s">
        <v>1624</v>
      </c>
      <c r="D95" s="50" t="s">
        <v>1624</v>
      </c>
      <c r="E95" s="50" t="s">
        <v>1882</v>
      </c>
      <c r="F95" s="50" t="s">
        <v>1883</v>
      </c>
      <c r="G95" s="50" t="s">
        <v>1884</v>
      </c>
      <c r="H95" s="50" t="s">
        <v>1883</v>
      </c>
    </row>
    <row r="96" spans="1:8" x14ac:dyDescent="0.2">
      <c r="A96" s="50" t="s">
        <v>2416</v>
      </c>
      <c r="B96" s="50" t="s">
        <v>1907</v>
      </c>
      <c r="C96" s="50" t="s">
        <v>1624</v>
      </c>
      <c r="D96" s="50" t="s">
        <v>1624</v>
      </c>
      <c r="E96" s="50" t="s">
        <v>1882</v>
      </c>
      <c r="F96" s="50" t="s">
        <v>1883</v>
      </c>
      <c r="G96" s="50" t="s">
        <v>1884</v>
      </c>
      <c r="H96" s="50" t="s">
        <v>1883</v>
      </c>
    </row>
    <row r="97" spans="1:8" x14ac:dyDescent="0.2">
      <c r="A97" s="50" t="s">
        <v>2417</v>
      </c>
      <c r="B97" s="50" t="s">
        <v>1908</v>
      </c>
      <c r="C97" s="50" t="s">
        <v>1624</v>
      </c>
      <c r="D97" s="50" t="s">
        <v>1624</v>
      </c>
      <c r="E97" s="50" t="s">
        <v>1909</v>
      </c>
      <c r="F97" s="50" t="s">
        <v>1910</v>
      </c>
      <c r="G97" s="50" t="s">
        <v>1911</v>
      </c>
      <c r="H97" s="50" t="s">
        <v>1910</v>
      </c>
    </row>
    <row r="98" spans="1:8" x14ac:dyDescent="0.2">
      <c r="A98" s="50" t="s">
        <v>2418</v>
      </c>
      <c r="B98" s="50" t="s">
        <v>1912</v>
      </c>
      <c r="C98" s="50" t="s">
        <v>1624</v>
      </c>
      <c r="D98" s="50" t="s">
        <v>1624</v>
      </c>
      <c r="E98" s="50" t="s">
        <v>1909</v>
      </c>
      <c r="F98" s="50" t="s">
        <v>1910</v>
      </c>
      <c r="G98" s="50" t="s">
        <v>1911</v>
      </c>
      <c r="H98" s="50" t="s">
        <v>1910</v>
      </c>
    </row>
    <row r="99" spans="1:8" x14ac:dyDescent="0.2">
      <c r="A99" s="50" t="s">
        <v>2419</v>
      </c>
      <c r="B99" s="50" t="s">
        <v>1913</v>
      </c>
      <c r="C99" s="50" t="s">
        <v>1624</v>
      </c>
      <c r="D99" s="50" t="s">
        <v>1624</v>
      </c>
      <c r="E99" s="50" t="s">
        <v>1909</v>
      </c>
      <c r="F99" s="50" t="s">
        <v>1910</v>
      </c>
      <c r="G99" s="50" t="s">
        <v>1911</v>
      </c>
      <c r="H99" s="50" t="s">
        <v>1910</v>
      </c>
    </row>
    <row r="100" spans="1:8" x14ac:dyDescent="0.2">
      <c r="A100" s="50" t="s">
        <v>2420</v>
      </c>
      <c r="B100" s="50" t="s">
        <v>1914</v>
      </c>
      <c r="C100" s="50" t="s">
        <v>1624</v>
      </c>
      <c r="D100" s="50" t="s">
        <v>1624</v>
      </c>
      <c r="E100" s="50" t="s">
        <v>1915</v>
      </c>
      <c r="F100" s="50" t="s">
        <v>1916</v>
      </c>
      <c r="G100" s="50" t="s">
        <v>1917</v>
      </c>
      <c r="H100" s="50" t="s">
        <v>1918</v>
      </c>
    </row>
    <row r="101" spans="1:8" x14ac:dyDescent="0.2">
      <c r="A101" s="50" t="s">
        <v>2421</v>
      </c>
      <c r="B101" s="50" t="s">
        <v>1919</v>
      </c>
      <c r="C101" s="50" t="s">
        <v>1624</v>
      </c>
      <c r="D101" s="50" t="s">
        <v>1624</v>
      </c>
      <c r="E101" s="50" t="s">
        <v>1915</v>
      </c>
      <c r="F101" s="50" t="s">
        <v>1916</v>
      </c>
      <c r="G101" s="50" t="s">
        <v>1917</v>
      </c>
      <c r="H101" s="50" t="s">
        <v>1918</v>
      </c>
    </row>
    <row r="102" spans="1:8" x14ac:dyDescent="0.2">
      <c r="A102" s="50" t="s">
        <v>2422</v>
      </c>
      <c r="B102" s="50" t="s">
        <v>1920</v>
      </c>
      <c r="C102" s="50" t="s">
        <v>1624</v>
      </c>
      <c r="D102" s="50" t="s">
        <v>1624</v>
      </c>
      <c r="E102" s="50" t="s">
        <v>1915</v>
      </c>
      <c r="F102" s="50" t="s">
        <v>1916</v>
      </c>
      <c r="G102" s="50" t="s">
        <v>1917</v>
      </c>
      <c r="H102" s="50" t="s">
        <v>1918</v>
      </c>
    </row>
    <row r="103" spans="1:8" x14ac:dyDescent="0.2">
      <c r="A103" s="50" t="s">
        <v>2423</v>
      </c>
      <c r="B103" s="50" t="s">
        <v>1921</v>
      </c>
      <c r="C103" s="50" t="s">
        <v>1624</v>
      </c>
      <c r="D103" s="50" t="s">
        <v>1624</v>
      </c>
      <c r="E103" s="50" t="s">
        <v>1915</v>
      </c>
      <c r="F103" s="50" t="s">
        <v>1916</v>
      </c>
      <c r="G103" s="50" t="s">
        <v>1917</v>
      </c>
      <c r="H103" s="50" t="s">
        <v>1918</v>
      </c>
    </row>
    <row r="104" spans="1:8" x14ac:dyDescent="0.2">
      <c r="A104" s="50" t="s">
        <v>2424</v>
      </c>
      <c r="B104" s="50" t="s">
        <v>1922</v>
      </c>
      <c r="C104" s="50" t="s">
        <v>1624</v>
      </c>
      <c r="D104" s="50" t="s">
        <v>1624</v>
      </c>
      <c r="E104" s="50" t="s">
        <v>1915</v>
      </c>
      <c r="F104" s="50" t="s">
        <v>1916</v>
      </c>
      <c r="G104" s="50" t="s">
        <v>1917</v>
      </c>
      <c r="H104" s="50" t="s">
        <v>1918</v>
      </c>
    </row>
    <row r="105" spans="1:8" x14ac:dyDescent="0.2">
      <c r="A105" s="50" t="s">
        <v>2425</v>
      </c>
      <c r="B105" s="50" t="s">
        <v>1923</v>
      </c>
      <c r="C105" s="50" t="s">
        <v>1624</v>
      </c>
      <c r="D105" s="50" t="s">
        <v>1624</v>
      </c>
      <c r="E105" s="50" t="s">
        <v>1915</v>
      </c>
      <c r="F105" s="50" t="s">
        <v>1916</v>
      </c>
      <c r="G105" s="50" t="s">
        <v>1917</v>
      </c>
      <c r="H105" s="50" t="s">
        <v>1918</v>
      </c>
    </row>
    <row r="106" spans="1:8" x14ac:dyDescent="0.2">
      <c r="A106" s="50" t="s">
        <v>2426</v>
      </c>
      <c r="B106" s="50" t="s">
        <v>1924</v>
      </c>
      <c r="C106" s="50" t="s">
        <v>1624</v>
      </c>
      <c r="D106" s="50" t="s">
        <v>1624</v>
      </c>
      <c r="E106" s="50" t="s">
        <v>1915</v>
      </c>
      <c r="F106" s="50" t="s">
        <v>1916</v>
      </c>
      <c r="G106" s="50" t="s">
        <v>1917</v>
      </c>
      <c r="H106" s="50" t="s">
        <v>1918</v>
      </c>
    </row>
    <row r="107" spans="1:8" x14ac:dyDescent="0.2">
      <c r="A107" s="50" t="s">
        <v>2427</v>
      </c>
      <c r="B107" s="50" t="s">
        <v>1925</v>
      </c>
      <c r="C107" s="50" t="s">
        <v>1624</v>
      </c>
      <c r="D107" s="50" t="s">
        <v>1624</v>
      </c>
      <c r="E107" s="50" t="s">
        <v>1915</v>
      </c>
      <c r="F107" s="50" t="s">
        <v>1916</v>
      </c>
      <c r="G107" s="50" t="s">
        <v>1917</v>
      </c>
      <c r="H107" s="50" t="s">
        <v>1918</v>
      </c>
    </row>
    <row r="108" spans="1:8" x14ac:dyDescent="0.2">
      <c r="A108" s="50" t="s">
        <v>2428</v>
      </c>
      <c r="B108" s="50" t="s">
        <v>1926</v>
      </c>
      <c r="C108" s="50" t="s">
        <v>1624</v>
      </c>
      <c r="D108" s="50" t="s">
        <v>1624</v>
      </c>
      <c r="E108" s="50" t="s">
        <v>1915</v>
      </c>
      <c r="F108" s="50" t="s">
        <v>1916</v>
      </c>
      <c r="G108" s="50" t="s">
        <v>1917</v>
      </c>
      <c r="H108" s="50" t="s">
        <v>1918</v>
      </c>
    </row>
    <row r="109" spans="1:8" x14ac:dyDescent="0.2">
      <c r="A109" s="50" t="s">
        <v>2429</v>
      </c>
      <c r="B109" s="50" t="s">
        <v>1927</v>
      </c>
      <c r="C109" s="50" t="s">
        <v>1624</v>
      </c>
      <c r="D109" s="50" t="s">
        <v>1624</v>
      </c>
      <c r="E109" s="50" t="s">
        <v>1915</v>
      </c>
      <c r="F109" s="50" t="s">
        <v>1916</v>
      </c>
      <c r="G109" s="50" t="s">
        <v>1917</v>
      </c>
      <c r="H109" s="50" t="s">
        <v>1918</v>
      </c>
    </row>
    <row r="110" spans="1:8" x14ac:dyDescent="0.2">
      <c r="A110" s="50" t="s">
        <v>2430</v>
      </c>
      <c r="B110" s="50" t="s">
        <v>1928</v>
      </c>
      <c r="C110" s="50" t="s">
        <v>1624</v>
      </c>
      <c r="D110" s="50" t="s">
        <v>1624</v>
      </c>
      <c r="E110" s="50" t="s">
        <v>1915</v>
      </c>
      <c r="F110" s="50" t="s">
        <v>1916</v>
      </c>
      <c r="G110" s="50" t="s">
        <v>1929</v>
      </c>
      <c r="H110" s="50" t="s">
        <v>1916</v>
      </c>
    </row>
    <row r="111" spans="1:8" x14ac:dyDescent="0.2">
      <c r="A111" s="50" t="s">
        <v>2431</v>
      </c>
      <c r="B111" s="50" t="s">
        <v>1930</v>
      </c>
      <c r="C111" s="50" t="s">
        <v>1624</v>
      </c>
      <c r="D111" s="50" t="s">
        <v>1624</v>
      </c>
      <c r="E111" s="50" t="s">
        <v>1915</v>
      </c>
      <c r="F111" s="50" t="s">
        <v>1916</v>
      </c>
      <c r="G111" s="50" t="s">
        <v>1929</v>
      </c>
      <c r="H111" s="50" t="s">
        <v>1916</v>
      </c>
    </row>
    <row r="112" spans="1:8" x14ac:dyDescent="0.2">
      <c r="A112" s="50" t="s">
        <v>2432</v>
      </c>
      <c r="B112" s="50" t="s">
        <v>1931</v>
      </c>
      <c r="C112" s="50" t="s">
        <v>1624</v>
      </c>
      <c r="D112" s="50" t="s">
        <v>1624</v>
      </c>
      <c r="E112" s="50" t="s">
        <v>1915</v>
      </c>
      <c r="F112" s="50" t="s">
        <v>1916</v>
      </c>
      <c r="G112" s="50" t="s">
        <v>1929</v>
      </c>
      <c r="H112" s="50" t="s">
        <v>1916</v>
      </c>
    </row>
    <row r="113" spans="1:8" x14ac:dyDescent="0.2">
      <c r="A113" s="50" t="s">
        <v>2433</v>
      </c>
      <c r="B113" s="50" t="s">
        <v>1225</v>
      </c>
      <c r="C113" s="50" t="s">
        <v>1624</v>
      </c>
      <c r="D113" s="50" t="s">
        <v>1624</v>
      </c>
      <c r="E113" s="50" t="s">
        <v>1915</v>
      </c>
      <c r="F113" s="50" t="s">
        <v>1916</v>
      </c>
      <c r="G113" s="50" t="s">
        <v>1929</v>
      </c>
      <c r="H113" s="50" t="s">
        <v>1916</v>
      </c>
    </row>
    <row r="114" spans="1:8" x14ac:dyDescent="0.2">
      <c r="A114" s="50" t="s">
        <v>2434</v>
      </c>
      <c r="B114" s="50" t="s">
        <v>1227</v>
      </c>
      <c r="C114" s="50" t="s">
        <v>1624</v>
      </c>
      <c r="D114" s="50" t="s">
        <v>1624</v>
      </c>
      <c r="E114" s="50" t="s">
        <v>1915</v>
      </c>
      <c r="F114" s="50" t="s">
        <v>1916</v>
      </c>
      <c r="G114" s="50" t="s">
        <v>1929</v>
      </c>
      <c r="H114" s="50" t="s">
        <v>1916</v>
      </c>
    </row>
    <row r="115" spans="1:8" x14ac:dyDescent="0.2">
      <c r="A115" s="50" t="s">
        <v>2435</v>
      </c>
      <c r="B115" s="50" t="s">
        <v>1229</v>
      </c>
      <c r="C115" s="50" t="s">
        <v>1624</v>
      </c>
      <c r="D115" s="50" t="s">
        <v>1624</v>
      </c>
      <c r="E115" s="50" t="s">
        <v>1915</v>
      </c>
      <c r="F115" s="50" t="s">
        <v>1916</v>
      </c>
      <c r="G115" s="50" t="s">
        <v>1929</v>
      </c>
      <c r="H115" s="50" t="s">
        <v>1916</v>
      </c>
    </row>
    <row r="116" spans="1:8" x14ac:dyDescent="0.2">
      <c r="A116" s="50" t="s">
        <v>2436</v>
      </c>
      <c r="B116" s="50" t="s">
        <v>1932</v>
      </c>
      <c r="C116" s="50" t="s">
        <v>1624</v>
      </c>
      <c r="D116" s="50" t="s">
        <v>1624</v>
      </c>
      <c r="E116" s="50" t="s">
        <v>1915</v>
      </c>
      <c r="F116" s="50" t="s">
        <v>1916</v>
      </c>
      <c r="G116" s="50" t="s">
        <v>1929</v>
      </c>
      <c r="H116" s="50" t="s">
        <v>1916</v>
      </c>
    </row>
    <row r="117" spans="1:8" x14ac:dyDescent="0.2">
      <c r="A117" s="50" t="s">
        <v>2437</v>
      </c>
      <c r="B117" s="50" t="s">
        <v>1933</v>
      </c>
      <c r="C117" s="50" t="s">
        <v>1624</v>
      </c>
      <c r="D117" s="50" t="s">
        <v>1624</v>
      </c>
      <c r="E117" s="50" t="s">
        <v>1915</v>
      </c>
      <c r="F117" s="50" t="s">
        <v>1916</v>
      </c>
      <c r="G117" s="50" t="s">
        <v>1929</v>
      </c>
      <c r="H117" s="50" t="s">
        <v>1916</v>
      </c>
    </row>
    <row r="118" spans="1:8" x14ac:dyDescent="0.2">
      <c r="A118" s="50" t="s">
        <v>2438</v>
      </c>
      <c r="B118" s="50" t="s">
        <v>1934</v>
      </c>
      <c r="C118" s="50" t="s">
        <v>1624</v>
      </c>
      <c r="D118" s="50" t="s">
        <v>1624</v>
      </c>
      <c r="E118" s="50" t="s">
        <v>1915</v>
      </c>
      <c r="F118" s="50" t="s">
        <v>1916</v>
      </c>
      <c r="G118" s="50" t="s">
        <v>1929</v>
      </c>
      <c r="H118" s="50" t="s">
        <v>1916</v>
      </c>
    </row>
    <row r="119" spans="1:8" x14ac:dyDescent="0.2">
      <c r="A119" s="50" t="s">
        <v>2439</v>
      </c>
      <c r="B119" s="50" t="s">
        <v>1935</v>
      </c>
      <c r="C119" s="50" t="s">
        <v>1624</v>
      </c>
      <c r="D119" s="50" t="s">
        <v>1624</v>
      </c>
      <c r="E119" s="50" t="s">
        <v>1915</v>
      </c>
      <c r="F119" s="50" t="s">
        <v>1916</v>
      </c>
      <c r="G119" s="50" t="s">
        <v>1929</v>
      </c>
      <c r="H119" s="50" t="s">
        <v>1916</v>
      </c>
    </row>
    <row r="120" spans="1:8" x14ac:dyDescent="0.2">
      <c r="A120" s="50" t="s">
        <v>2440</v>
      </c>
      <c r="B120" s="50" t="s">
        <v>1936</v>
      </c>
      <c r="C120" s="50" t="s">
        <v>1624</v>
      </c>
      <c r="D120" s="50" t="s">
        <v>1624</v>
      </c>
      <c r="E120" s="50" t="s">
        <v>1915</v>
      </c>
      <c r="F120" s="50" t="s">
        <v>1916</v>
      </c>
      <c r="G120" s="50" t="s">
        <v>1929</v>
      </c>
      <c r="H120" s="50" t="s">
        <v>1916</v>
      </c>
    </row>
    <row r="121" spans="1:8" x14ac:dyDescent="0.2">
      <c r="A121" s="50" t="s">
        <v>2441</v>
      </c>
      <c r="B121" s="50" t="s">
        <v>1937</v>
      </c>
      <c r="C121" s="50" t="s">
        <v>1624</v>
      </c>
      <c r="D121" s="50" t="s">
        <v>1624</v>
      </c>
      <c r="E121" s="50" t="s">
        <v>1915</v>
      </c>
      <c r="F121" s="50" t="s">
        <v>1916</v>
      </c>
      <c r="G121" s="50" t="s">
        <v>1929</v>
      </c>
      <c r="H121" s="50" t="s">
        <v>1916</v>
      </c>
    </row>
    <row r="122" spans="1:8" x14ac:dyDescent="0.2">
      <c r="A122" s="50" t="s">
        <v>2442</v>
      </c>
      <c r="B122" s="50" t="s">
        <v>1938</v>
      </c>
      <c r="C122" s="50" t="s">
        <v>1624</v>
      </c>
      <c r="D122" s="50" t="s">
        <v>1624</v>
      </c>
      <c r="E122" s="50" t="s">
        <v>1915</v>
      </c>
      <c r="F122" s="50" t="s">
        <v>1916</v>
      </c>
      <c r="G122" s="50" t="s">
        <v>1929</v>
      </c>
      <c r="H122" s="50" t="s">
        <v>1916</v>
      </c>
    </row>
    <row r="123" spans="1:8" x14ac:dyDescent="0.2">
      <c r="A123" s="50" t="s">
        <v>2443</v>
      </c>
      <c r="B123" s="50" t="s">
        <v>1939</v>
      </c>
      <c r="C123" s="50" t="s">
        <v>1624</v>
      </c>
      <c r="D123" s="50" t="s">
        <v>1624</v>
      </c>
      <c r="E123" s="50" t="s">
        <v>1915</v>
      </c>
      <c r="F123" s="50" t="s">
        <v>1916</v>
      </c>
      <c r="G123" s="50" t="s">
        <v>1929</v>
      </c>
      <c r="H123" s="50" t="s">
        <v>1916</v>
      </c>
    </row>
    <row r="124" spans="1:8" x14ac:dyDescent="0.2">
      <c r="A124" s="50" t="s">
        <v>2444</v>
      </c>
      <c r="B124" s="50" t="s">
        <v>1231</v>
      </c>
      <c r="C124" s="50" t="s">
        <v>1624</v>
      </c>
      <c r="D124" s="50" t="s">
        <v>1624</v>
      </c>
      <c r="E124" s="50" t="s">
        <v>1940</v>
      </c>
      <c r="F124" s="50" t="s">
        <v>1941</v>
      </c>
      <c r="G124" s="50" t="s">
        <v>1942</v>
      </c>
      <c r="H124" s="50" t="s">
        <v>1943</v>
      </c>
    </row>
    <row r="125" spans="1:8" x14ac:dyDescent="0.2">
      <c r="A125" s="50" t="s">
        <v>2445</v>
      </c>
      <c r="B125" s="50" t="s">
        <v>1233</v>
      </c>
      <c r="C125" s="50" t="s">
        <v>1624</v>
      </c>
      <c r="D125" s="50" t="s">
        <v>1624</v>
      </c>
      <c r="E125" s="50" t="s">
        <v>1940</v>
      </c>
      <c r="F125" s="50" t="s">
        <v>1941</v>
      </c>
      <c r="G125" s="50" t="s">
        <v>1942</v>
      </c>
      <c r="H125" s="50" t="s">
        <v>1943</v>
      </c>
    </row>
    <row r="126" spans="1:8" x14ac:dyDescent="0.2">
      <c r="A126" s="50" t="s">
        <v>2446</v>
      </c>
      <c r="B126" s="50" t="s">
        <v>1235</v>
      </c>
      <c r="C126" s="50" t="s">
        <v>1624</v>
      </c>
      <c r="D126" s="50" t="s">
        <v>1624</v>
      </c>
      <c r="E126" s="50" t="s">
        <v>1940</v>
      </c>
      <c r="F126" s="50" t="s">
        <v>1941</v>
      </c>
      <c r="G126" s="50" t="s">
        <v>1942</v>
      </c>
      <c r="H126" s="50" t="s">
        <v>1943</v>
      </c>
    </row>
    <row r="127" spans="1:8" x14ac:dyDescent="0.2">
      <c r="A127" s="50" t="s">
        <v>2447</v>
      </c>
      <c r="B127" s="50" t="s">
        <v>1237</v>
      </c>
      <c r="C127" s="50" t="s">
        <v>1624</v>
      </c>
      <c r="D127" s="50" t="s">
        <v>1624</v>
      </c>
      <c r="E127" s="50" t="s">
        <v>1940</v>
      </c>
      <c r="F127" s="50" t="s">
        <v>1941</v>
      </c>
      <c r="G127" s="50" t="s">
        <v>1942</v>
      </c>
      <c r="H127" s="50" t="s">
        <v>1943</v>
      </c>
    </row>
    <row r="128" spans="1:8" x14ac:dyDescent="0.2">
      <c r="A128" s="50" t="s">
        <v>2448</v>
      </c>
      <c r="B128" s="50" t="s">
        <v>1239</v>
      </c>
      <c r="C128" s="50" t="s">
        <v>1624</v>
      </c>
      <c r="D128" s="50" t="s">
        <v>1624</v>
      </c>
      <c r="E128" s="50" t="s">
        <v>1940</v>
      </c>
      <c r="F128" s="50" t="s">
        <v>1941</v>
      </c>
      <c r="G128" s="50" t="s">
        <v>1942</v>
      </c>
      <c r="H128" s="50" t="s">
        <v>1943</v>
      </c>
    </row>
    <row r="129" spans="1:8" x14ac:dyDescent="0.2">
      <c r="A129" s="50" t="s">
        <v>2449</v>
      </c>
      <c r="B129" s="50" t="s">
        <v>294</v>
      </c>
      <c r="C129" s="50" t="s">
        <v>1624</v>
      </c>
      <c r="D129" s="50" t="s">
        <v>1624</v>
      </c>
      <c r="E129" s="50" t="s">
        <v>1940</v>
      </c>
      <c r="F129" s="50" t="s">
        <v>1941</v>
      </c>
      <c r="G129" s="50" t="s">
        <v>1942</v>
      </c>
      <c r="H129" s="50" t="s">
        <v>1943</v>
      </c>
    </row>
    <row r="130" spans="1:8" x14ac:dyDescent="0.2">
      <c r="A130" s="50" t="s">
        <v>2450</v>
      </c>
      <c r="B130" s="50" t="s">
        <v>1242</v>
      </c>
      <c r="C130" s="50" t="s">
        <v>1624</v>
      </c>
      <c r="D130" s="50" t="s">
        <v>1624</v>
      </c>
      <c r="E130" s="50" t="s">
        <v>1940</v>
      </c>
      <c r="F130" s="50" t="s">
        <v>1941</v>
      </c>
      <c r="G130" s="50" t="s">
        <v>1942</v>
      </c>
      <c r="H130" s="50" t="s">
        <v>1943</v>
      </c>
    </row>
    <row r="131" spans="1:8" x14ac:dyDescent="0.2">
      <c r="A131" s="50" t="s">
        <v>2451</v>
      </c>
      <c r="B131" s="50" t="s">
        <v>1244</v>
      </c>
      <c r="C131" s="50" t="s">
        <v>1624</v>
      </c>
      <c r="D131" s="50" t="s">
        <v>1624</v>
      </c>
      <c r="E131" s="50" t="s">
        <v>1940</v>
      </c>
      <c r="F131" s="50" t="s">
        <v>1941</v>
      </c>
      <c r="G131" s="50" t="s">
        <v>1942</v>
      </c>
      <c r="H131" s="50" t="s">
        <v>1943</v>
      </c>
    </row>
    <row r="132" spans="1:8" x14ac:dyDescent="0.2">
      <c r="A132" s="50" t="s">
        <v>2452</v>
      </c>
      <c r="B132" s="50" t="s">
        <v>1246</v>
      </c>
      <c r="C132" s="50" t="s">
        <v>1624</v>
      </c>
      <c r="D132" s="50" t="s">
        <v>1624</v>
      </c>
      <c r="E132" s="50" t="s">
        <v>1940</v>
      </c>
      <c r="F132" s="50" t="s">
        <v>1941</v>
      </c>
      <c r="G132" s="50" t="s">
        <v>1944</v>
      </c>
      <c r="H132" s="50" t="s">
        <v>1945</v>
      </c>
    </row>
    <row r="133" spans="1:8" x14ac:dyDescent="0.2">
      <c r="A133" s="50" t="s">
        <v>2453</v>
      </c>
      <c r="B133" s="50" t="s">
        <v>1248</v>
      </c>
      <c r="C133" s="50" t="s">
        <v>1624</v>
      </c>
      <c r="D133" s="50" t="s">
        <v>1624</v>
      </c>
      <c r="E133" s="50" t="s">
        <v>1940</v>
      </c>
      <c r="F133" s="50" t="s">
        <v>1941</v>
      </c>
      <c r="G133" s="50" t="s">
        <v>1944</v>
      </c>
      <c r="H133" s="50" t="s">
        <v>1945</v>
      </c>
    </row>
    <row r="134" spans="1:8" x14ac:dyDescent="0.2">
      <c r="A134" s="50" t="s">
        <v>2454</v>
      </c>
      <c r="B134" s="50" t="s">
        <v>1250</v>
      </c>
      <c r="C134" s="50" t="s">
        <v>1624</v>
      </c>
      <c r="D134" s="50" t="s">
        <v>1624</v>
      </c>
      <c r="E134" s="50" t="s">
        <v>1940</v>
      </c>
      <c r="F134" s="50" t="s">
        <v>1941</v>
      </c>
      <c r="G134" s="50" t="s">
        <v>1944</v>
      </c>
      <c r="H134" s="50" t="s">
        <v>1945</v>
      </c>
    </row>
    <row r="135" spans="1:8" x14ac:dyDescent="0.2">
      <c r="A135" s="50" t="s">
        <v>2455</v>
      </c>
      <c r="B135" s="50" t="s">
        <v>1252</v>
      </c>
      <c r="C135" s="50" t="s">
        <v>1624</v>
      </c>
      <c r="D135" s="50" t="s">
        <v>1624</v>
      </c>
      <c r="E135" s="50" t="s">
        <v>1940</v>
      </c>
      <c r="F135" s="50" t="s">
        <v>1941</v>
      </c>
      <c r="G135" s="50" t="s">
        <v>1944</v>
      </c>
      <c r="H135" s="50" t="s">
        <v>1945</v>
      </c>
    </row>
    <row r="136" spans="1:8" x14ac:dyDescent="0.2">
      <c r="A136" s="50" t="s">
        <v>2456</v>
      </c>
      <c r="B136" s="50" t="s">
        <v>1254</v>
      </c>
      <c r="C136" s="50" t="s">
        <v>1624</v>
      </c>
      <c r="D136" s="50" t="s">
        <v>1624</v>
      </c>
      <c r="E136" s="50" t="s">
        <v>1940</v>
      </c>
      <c r="F136" s="50" t="s">
        <v>1941</v>
      </c>
      <c r="G136" s="50" t="s">
        <v>1944</v>
      </c>
      <c r="H136" s="50" t="s">
        <v>1945</v>
      </c>
    </row>
    <row r="137" spans="1:8" x14ac:dyDescent="0.2">
      <c r="A137" s="50" t="s">
        <v>2457</v>
      </c>
      <c r="B137" s="50" t="s">
        <v>1256</v>
      </c>
      <c r="C137" s="50" t="s">
        <v>1624</v>
      </c>
      <c r="D137" s="50" t="s">
        <v>1624</v>
      </c>
      <c r="E137" s="50" t="s">
        <v>1940</v>
      </c>
      <c r="F137" s="50" t="s">
        <v>1941</v>
      </c>
      <c r="G137" s="50" t="s">
        <v>1944</v>
      </c>
      <c r="H137" s="50" t="s">
        <v>1945</v>
      </c>
    </row>
    <row r="138" spans="1:8" x14ac:dyDescent="0.2">
      <c r="A138" s="50" t="s">
        <v>2458</v>
      </c>
      <c r="B138" s="50" t="s">
        <v>1258</v>
      </c>
      <c r="C138" s="50" t="s">
        <v>1624</v>
      </c>
      <c r="D138" s="50" t="s">
        <v>1624</v>
      </c>
      <c r="E138" s="50" t="s">
        <v>1940</v>
      </c>
      <c r="F138" s="50" t="s">
        <v>1941</v>
      </c>
      <c r="G138" s="50" t="s">
        <v>1944</v>
      </c>
      <c r="H138" s="50" t="s">
        <v>1945</v>
      </c>
    </row>
    <row r="139" spans="1:8" x14ac:dyDescent="0.2">
      <c r="A139" s="50" t="s">
        <v>2459</v>
      </c>
      <c r="B139" s="50" t="s">
        <v>1260</v>
      </c>
      <c r="C139" s="50" t="s">
        <v>1624</v>
      </c>
      <c r="D139" s="50" t="s">
        <v>1624</v>
      </c>
      <c r="E139" s="50" t="s">
        <v>1940</v>
      </c>
      <c r="F139" s="50" t="s">
        <v>1941</v>
      </c>
      <c r="G139" s="50" t="s">
        <v>1946</v>
      </c>
      <c r="H139" s="50" t="s">
        <v>1941</v>
      </c>
    </row>
    <row r="140" spans="1:8" x14ac:dyDescent="0.2">
      <c r="A140" s="50" t="s">
        <v>2460</v>
      </c>
      <c r="B140" s="50" t="s">
        <v>1262</v>
      </c>
      <c r="C140" s="50" t="s">
        <v>1624</v>
      </c>
      <c r="D140" s="50" t="s">
        <v>1624</v>
      </c>
      <c r="E140" s="50" t="s">
        <v>1940</v>
      </c>
      <c r="F140" s="50" t="s">
        <v>1941</v>
      </c>
      <c r="G140" s="50" t="s">
        <v>1946</v>
      </c>
      <c r="H140" s="50" t="s">
        <v>1941</v>
      </c>
    </row>
    <row r="141" spans="1:8" x14ac:dyDescent="0.2">
      <c r="A141" s="50" t="s">
        <v>2461</v>
      </c>
      <c r="B141" s="50" t="s">
        <v>640</v>
      </c>
      <c r="C141" s="50" t="s">
        <v>1624</v>
      </c>
      <c r="D141" s="50" t="s">
        <v>1624</v>
      </c>
      <c r="E141" s="50" t="s">
        <v>1940</v>
      </c>
      <c r="F141" s="50" t="s">
        <v>1941</v>
      </c>
      <c r="G141" s="50" t="s">
        <v>1946</v>
      </c>
      <c r="H141" s="50" t="s">
        <v>1941</v>
      </c>
    </row>
    <row r="142" spans="1:8" x14ac:dyDescent="0.2">
      <c r="A142" s="50" t="s">
        <v>2462</v>
      </c>
      <c r="B142" s="50" t="s">
        <v>34</v>
      </c>
      <c r="C142" s="50" t="s">
        <v>1624</v>
      </c>
      <c r="D142" s="50" t="s">
        <v>1624</v>
      </c>
      <c r="E142" s="50" t="s">
        <v>1940</v>
      </c>
      <c r="F142" s="50" t="s">
        <v>1941</v>
      </c>
      <c r="G142" s="50" t="s">
        <v>1946</v>
      </c>
      <c r="H142" s="50" t="s">
        <v>1941</v>
      </c>
    </row>
    <row r="143" spans="1:8" x14ac:dyDescent="0.2">
      <c r="A143" s="50" t="s">
        <v>2463</v>
      </c>
      <c r="B143" s="50" t="s">
        <v>1266</v>
      </c>
      <c r="C143" s="50" t="s">
        <v>1624</v>
      </c>
      <c r="D143" s="50" t="s">
        <v>1624</v>
      </c>
      <c r="E143" s="50" t="s">
        <v>1940</v>
      </c>
      <c r="F143" s="50" t="s">
        <v>1941</v>
      </c>
      <c r="G143" s="50" t="s">
        <v>1946</v>
      </c>
      <c r="H143" s="50" t="s">
        <v>1941</v>
      </c>
    </row>
    <row r="144" spans="1:8" x14ac:dyDescent="0.2">
      <c r="A144" s="50" t="s">
        <v>2464</v>
      </c>
      <c r="B144" s="50" t="s">
        <v>1268</v>
      </c>
      <c r="C144" s="50" t="s">
        <v>1624</v>
      </c>
      <c r="D144" s="50" t="s">
        <v>1624</v>
      </c>
      <c r="E144" s="50" t="s">
        <v>1940</v>
      </c>
      <c r="F144" s="50" t="s">
        <v>1941</v>
      </c>
      <c r="G144" s="50" t="s">
        <v>1946</v>
      </c>
      <c r="H144" s="50" t="s">
        <v>1941</v>
      </c>
    </row>
    <row r="145" spans="1:8" x14ac:dyDescent="0.2">
      <c r="A145" s="50" t="s">
        <v>2465</v>
      </c>
      <c r="B145" s="50" t="s">
        <v>1068</v>
      </c>
      <c r="C145" s="50" t="s">
        <v>1624</v>
      </c>
      <c r="D145" s="50" t="s">
        <v>1624</v>
      </c>
      <c r="E145" s="50" t="s">
        <v>1940</v>
      </c>
      <c r="F145" s="50" t="s">
        <v>1941</v>
      </c>
      <c r="G145" s="50" t="s">
        <v>1946</v>
      </c>
      <c r="H145" s="50" t="s">
        <v>1941</v>
      </c>
    </row>
    <row r="146" spans="1:8" x14ac:dyDescent="0.2">
      <c r="A146" s="50" t="s">
        <v>2466</v>
      </c>
      <c r="B146" s="50" t="s">
        <v>1272</v>
      </c>
      <c r="C146" s="50" t="s">
        <v>1624</v>
      </c>
      <c r="D146" s="50" t="s">
        <v>1624</v>
      </c>
      <c r="E146" s="50" t="s">
        <v>1940</v>
      </c>
      <c r="F146" s="50" t="s">
        <v>1941</v>
      </c>
      <c r="G146" s="50" t="s">
        <v>1946</v>
      </c>
      <c r="H146" s="50" t="s">
        <v>1941</v>
      </c>
    </row>
    <row r="147" spans="1:8" x14ac:dyDescent="0.2">
      <c r="A147" s="50" t="s">
        <v>2467</v>
      </c>
      <c r="B147" s="50" t="s">
        <v>1274</v>
      </c>
      <c r="C147" s="50" t="s">
        <v>1624</v>
      </c>
      <c r="D147" s="50" t="s">
        <v>1624</v>
      </c>
      <c r="E147" s="50" t="s">
        <v>1940</v>
      </c>
      <c r="F147" s="50" t="s">
        <v>1941</v>
      </c>
      <c r="G147" s="50" t="s">
        <v>1946</v>
      </c>
      <c r="H147" s="50" t="s">
        <v>1941</v>
      </c>
    </row>
    <row r="148" spans="1:8" x14ac:dyDescent="0.2">
      <c r="A148" s="50" t="s">
        <v>2468</v>
      </c>
      <c r="B148" s="50" t="s">
        <v>1276</v>
      </c>
      <c r="C148" s="50" t="s">
        <v>1624</v>
      </c>
      <c r="D148" s="50" t="s">
        <v>1624</v>
      </c>
      <c r="E148" s="50" t="s">
        <v>1940</v>
      </c>
      <c r="F148" s="50" t="s">
        <v>1941</v>
      </c>
      <c r="G148" s="50" t="s">
        <v>1946</v>
      </c>
      <c r="H148" s="50" t="s">
        <v>1941</v>
      </c>
    </row>
    <row r="149" spans="1:8" x14ac:dyDescent="0.2">
      <c r="A149" s="50" t="s">
        <v>2469</v>
      </c>
      <c r="B149" s="50" t="s">
        <v>1278</v>
      </c>
      <c r="C149" s="50" t="s">
        <v>1624</v>
      </c>
      <c r="D149" s="50" t="s">
        <v>1624</v>
      </c>
      <c r="E149" s="50" t="s">
        <v>1940</v>
      </c>
      <c r="F149" s="50" t="s">
        <v>1941</v>
      </c>
      <c r="G149" s="50" t="s">
        <v>1946</v>
      </c>
      <c r="H149" s="50" t="s">
        <v>1941</v>
      </c>
    </row>
    <row r="150" spans="1:8" x14ac:dyDescent="0.2">
      <c r="A150" s="50" t="s">
        <v>2470</v>
      </c>
      <c r="B150" s="50" t="s">
        <v>1280</v>
      </c>
      <c r="C150" s="50" t="s">
        <v>1624</v>
      </c>
      <c r="D150" s="50" t="s">
        <v>1624</v>
      </c>
      <c r="E150" s="50" t="s">
        <v>1940</v>
      </c>
      <c r="F150" s="50" t="s">
        <v>1941</v>
      </c>
      <c r="G150" s="50" t="s">
        <v>1946</v>
      </c>
      <c r="H150" s="50" t="s">
        <v>1941</v>
      </c>
    </row>
    <row r="151" spans="1:8" x14ac:dyDescent="0.2">
      <c r="A151" s="50" t="s">
        <v>2471</v>
      </c>
      <c r="B151" s="50" t="s">
        <v>1282</v>
      </c>
      <c r="C151" s="50" t="s">
        <v>1624</v>
      </c>
      <c r="D151" s="50" t="s">
        <v>1624</v>
      </c>
      <c r="E151" s="50" t="s">
        <v>1940</v>
      </c>
      <c r="F151" s="50" t="s">
        <v>1941</v>
      </c>
      <c r="G151" s="50" t="s">
        <v>1946</v>
      </c>
      <c r="H151" s="50" t="s">
        <v>1941</v>
      </c>
    </row>
    <row r="152" spans="1:8" x14ac:dyDescent="0.2">
      <c r="A152" s="50" t="s">
        <v>2472</v>
      </c>
      <c r="B152" s="50" t="s">
        <v>1284</v>
      </c>
      <c r="C152" s="50" t="s">
        <v>1624</v>
      </c>
      <c r="D152" s="50" t="s">
        <v>1624</v>
      </c>
      <c r="E152" s="50" t="s">
        <v>1940</v>
      </c>
      <c r="F152" s="50" t="s">
        <v>1941</v>
      </c>
      <c r="G152" s="50" t="s">
        <v>1946</v>
      </c>
      <c r="H152" s="50" t="s">
        <v>1941</v>
      </c>
    </row>
    <row r="153" spans="1:8" x14ac:dyDescent="0.2">
      <c r="A153" s="50" t="s">
        <v>2473</v>
      </c>
      <c r="B153" s="50" t="s">
        <v>1286</v>
      </c>
      <c r="C153" s="50" t="s">
        <v>1624</v>
      </c>
      <c r="D153" s="50" t="s">
        <v>1624</v>
      </c>
      <c r="E153" s="50" t="s">
        <v>1940</v>
      </c>
      <c r="F153" s="50" t="s">
        <v>1941</v>
      </c>
      <c r="G153" s="50" t="s">
        <v>1946</v>
      </c>
      <c r="H153" s="50" t="s">
        <v>1941</v>
      </c>
    </row>
    <row r="154" spans="1:8" x14ac:dyDescent="0.2">
      <c r="A154" s="50" t="s">
        <v>2474</v>
      </c>
      <c r="B154" s="50" t="s">
        <v>1288</v>
      </c>
      <c r="C154" s="50" t="s">
        <v>1624</v>
      </c>
      <c r="D154" s="50" t="s">
        <v>1624</v>
      </c>
      <c r="E154" s="50" t="s">
        <v>1940</v>
      </c>
      <c r="F154" s="50" t="s">
        <v>1941</v>
      </c>
      <c r="G154" s="50" t="s">
        <v>1946</v>
      </c>
      <c r="H154" s="50" t="s">
        <v>1941</v>
      </c>
    </row>
    <row r="155" spans="1:8" x14ac:dyDescent="0.2">
      <c r="A155" s="50" t="s">
        <v>2475</v>
      </c>
      <c r="B155" s="50" t="s">
        <v>1947</v>
      </c>
      <c r="C155" s="50" t="s">
        <v>1624</v>
      </c>
      <c r="D155" s="50" t="s">
        <v>1624</v>
      </c>
      <c r="E155" s="50" t="s">
        <v>1940</v>
      </c>
      <c r="F155" s="50" t="s">
        <v>1941</v>
      </c>
      <c r="G155" s="50" t="s">
        <v>1946</v>
      </c>
      <c r="H155" s="50" t="s">
        <v>1941</v>
      </c>
    </row>
    <row r="156" spans="1:8" x14ac:dyDescent="0.2">
      <c r="A156" s="50" t="s">
        <v>2476</v>
      </c>
      <c r="B156" s="50" t="s">
        <v>1948</v>
      </c>
      <c r="C156" s="50" t="s">
        <v>1624</v>
      </c>
      <c r="D156" s="50" t="s">
        <v>1624</v>
      </c>
      <c r="E156" s="50" t="s">
        <v>1949</v>
      </c>
      <c r="F156" s="50" t="s">
        <v>1950</v>
      </c>
      <c r="G156" s="50" t="s">
        <v>1951</v>
      </c>
      <c r="H156" s="50" t="s">
        <v>1950</v>
      </c>
    </row>
    <row r="157" spans="1:8" x14ac:dyDescent="0.2">
      <c r="A157" s="50" t="s">
        <v>1230</v>
      </c>
      <c r="B157" s="50" t="s">
        <v>1952</v>
      </c>
      <c r="C157" s="50" t="s">
        <v>1624</v>
      </c>
      <c r="D157" s="50" t="s">
        <v>1624</v>
      </c>
      <c r="E157" s="50" t="s">
        <v>1949</v>
      </c>
      <c r="F157" s="50" t="s">
        <v>1950</v>
      </c>
      <c r="G157" s="50" t="s">
        <v>1951</v>
      </c>
      <c r="H157" s="50" t="s">
        <v>1950</v>
      </c>
    </row>
    <row r="158" spans="1:8" x14ac:dyDescent="0.2">
      <c r="A158" s="50" t="s">
        <v>2477</v>
      </c>
      <c r="B158" s="50" t="s">
        <v>1953</v>
      </c>
      <c r="C158" s="50" t="s">
        <v>1624</v>
      </c>
      <c r="D158" s="50" t="s">
        <v>1624</v>
      </c>
      <c r="E158" s="50" t="s">
        <v>1949</v>
      </c>
      <c r="F158" s="50" t="s">
        <v>1950</v>
      </c>
      <c r="G158" s="50" t="s">
        <v>1951</v>
      </c>
      <c r="H158" s="50" t="s">
        <v>1950</v>
      </c>
    </row>
    <row r="159" spans="1:8" x14ac:dyDescent="0.2">
      <c r="A159" s="50" t="s">
        <v>2478</v>
      </c>
      <c r="B159" s="50" t="s">
        <v>1954</v>
      </c>
      <c r="C159" s="50" t="s">
        <v>1624</v>
      </c>
      <c r="D159" s="50" t="s">
        <v>1624</v>
      </c>
      <c r="E159" s="50" t="s">
        <v>1949</v>
      </c>
      <c r="F159" s="50" t="s">
        <v>1950</v>
      </c>
      <c r="G159" s="50" t="s">
        <v>1951</v>
      </c>
      <c r="H159" s="50" t="s">
        <v>1950</v>
      </c>
    </row>
    <row r="160" spans="1:8" x14ac:dyDescent="0.2">
      <c r="A160" s="50" t="s">
        <v>2479</v>
      </c>
      <c r="B160" s="50" t="s">
        <v>1955</v>
      </c>
      <c r="C160" s="50" t="s">
        <v>1624</v>
      </c>
      <c r="D160" s="50" t="s">
        <v>1624</v>
      </c>
      <c r="E160" s="50" t="s">
        <v>1949</v>
      </c>
      <c r="F160" s="50" t="s">
        <v>1950</v>
      </c>
      <c r="G160" s="50" t="s">
        <v>1951</v>
      </c>
      <c r="H160" s="50" t="s">
        <v>1950</v>
      </c>
    </row>
    <row r="161" spans="1:8" x14ac:dyDescent="0.2">
      <c r="A161" s="50" t="s">
        <v>2480</v>
      </c>
      <c r="B161" s="50" t="s">
        <v>1956</v>
      </c>
      <c r="C161" s="50" t="s">
        <v>1624</v>
      </c>
      <c r="D161" s="50" t="s">
        <v>1624</v>
      </c>
      <c r="E161" s="50" t="s">
        <v>1949</v>
      </c>
      <c r="F161" s="50" t="s">
        <v>1950</v>
      </c>
      <c r="G161" s="50" t="s">
        <v>1951</v>
      </c>
      <c r="H161" s="50" t="s">
        <v>1950</v>
      </c>
    </row>
    <row r="162" spans="1:8" x14ac:dyDescent="0.2">
      <c r="A162" s="50" t="s">
        <v>1289</v>
      </c>
      <c r="B162" s="50" t="s">
        <v>1290</v>
      </c>
      <c r="C162" s="50" t="s">
        <v>1624</v>
      </c>
      <c r="D162" s="50" t="s">
        <v>1624</v>
      </c>
      <c r="E162" s="50" t="s">
        <v>1957</v>
      </c>
      <c r="F162" s="50" t="s">
        <v>1628</v>
      </c>
      <c r="G162" s="50" t="s">
        <v>1627</v>
      </c>
      <c r="H162" s="50" t="s">
        <v>1628</v>
      </c>
    </row>
    <row r="163" spans="1:8" x14ac:dyDescent="0.2">
      <c r="A163" s="50" t="s">
        <v>1291</v>
      </c>
      <c r="B163" s="50" t="s">
        <v>1292</v>
      </c>
      <c r="C163" s="50" t="s">
        <v>1624</v>
      </c>
      <c r="D163" s="50" t="s">
        <v>1624</v>
      </c>
      <c r="E163" s="50" t="s">
        <v>1625</v>
      </c>
      <c r="F163" s="50" t="s">
        <v>1626</v>
      </c>
      <c r="G163" s="50" t="s">
        <v>1958</v>
      </c>
      <c r="H163" s="50" t="s">
        <v>1626</v>
      </c>
    </row>
    <row r="164" spans="1:8" x14ac:dyDescent="0.2">
      <c r="A164" s="50" t="s">
        <v>1293</v>
      </c>
      <c r="B164" s="50" t="s">
        <v>1294</v>
      </c>
      <c r="C164" s="50" t="s">
        <v>1624</v>
      </c>
      <c r="D164" s="50" t="s">
        <v>1624</v>
      </c>
      <c r="E164" s="50" t="s">
        <v>1625</v>
      </c>
      <c r="F164" s="50" t="s">
        <v>1626</v>
      </c>
      <c r="G164" s="50" t="s">
        <v>1958</v>
      </c>
      <c r="H164" s="50" t="s">
        <v>1626</v>
      </c>
    </row>
    <row r="165" spans="1:8" x14ac:dyDescent="0.2">
      <c r="A165" s="50" t="s">
        <v>1295</v>
      </c>
      <c r="B165" s="50" t="s">
        <v>1296</v>
      </c>
      <c r="C165" s="50" t="s">
        <v>1624</v>
      </c>
      <c r="D165" s="50" t="s">
        <v>1624</v>
      </c>
      <c r="E165" s="50" t="s">
        <v>1625</v>
      </c>
      <c r="F165" s="50" t="s">
        <v>1626</v>
      </c>
      <c r="G165" s="50" t="s">
        <v>1958</v>
      </c>
      <c r="H165" s="50" t="s">
        <v>1626</v>
      </c>
    </row>
    <row r="166" spans="1:8" x14ac:dyDescent="0.2">
      <c r="A166" s="50" t="s">
        <v>1297</v>
      </c>
      <c r="B166" s="50" t="s">
        <v>1298</v>
      </c>
      <c r="C166" s="50" t="s">
        <v>1624</v>
      </c>
      <c r="D166" s="50" t="s">
        <v>1624</v>
      </c>
      <c r="E166" s="50" t="s">
        <v>1625</v>
      </c>
      <c r="F166" s="50" t="s">
        <v>1626</v>
      </c>
      <c r="G166" s="50" t="s">
        <v>1958</v>
      </c>
      <c r="H166" s="50" t="s">
        <v>1626</v>
      </c>
    </row>
    <row r="167" spans="1:8" x14ac:dyDescent="0.2">
      <c r="A167" s="50" t="s">
        <v>1299</v>
      </c>
      <c r="B167" s="50" t="s">
        <v>1300</v>
      </c>
      <c r="C167" s="50" t="s">
        <v>1624</v>
      </c>
      <c r="D167" s="50" t="s">
        <v>1624</v>
      </c>
      <c r="E167" s="50" t="s">
        <v>1625</v>
      </c>
      <c r="F167" s="50" t="s">
        <v>1626</v>
      </c>
      <c r="G167" s="50" t="s">
        <v>1958</v>
      </c>
      <c r="H167" s="50" t="s">
        <v>1626</v>
      </c>
    </row>
    <row r="168" spans="1:8" x14ac:dyDescent="0.2">
      <c r="A168" s="50" t="s">
        <v>1301</v>
      </c>
      <c r="B168" s="50" t="s">
        <v>1302</v>
      </c>
      <c r="C168" s="50" t="s">
        <v>1624</v>
      </c>
      <c r="D168" s="50" t="s">
        <v>1624</v>
      </c>
      <c r="E168" s="50" t="s">
        <v>1625</v>
      </c>
      <c r="F168" s="50" t="s">
        <v>1626</v>
      </c>
      <c r="G168" s="50" t="s">
        <v>1958</v>
      </c>
      <c r="H168" s="50" t="s">
        <v>1626</v>
      </c>
    </row>
    <row r="169" spans="1:8" x14ac:dyDescent="0.2">
      <c r="A169" s="50" t="s">
        <v>1303</v>
      </c>
      <c r="B169" s="50" t="s">
        <v>1304</v>
      </c>
      <c r="C169" s="50" t="s">
        <v>1624</v>
      </c>
      <c r="D169" s="50" t="s">
        <v>1624</v>
      </c>
      <c r="E169" s="50" t="s">
        <v>1625</v>
      </c>
      <c r="F169" s="50" t="s">
        <v>1626</v>
      </c>
      <c r="G169" s="50" t="s">
        <v>1958</v>
      </c>
      <c r="H169" s="50" t="s">
        <v>1626</v>
      </c>
    </row>
    <row r="170" spans="1:8" x14ac:dyDescent="0.2">
      <c r="A170" s="50" t="s">
        <v>1305</v>
      </c>
      <c r="B170" s="50" t="s">
        <v>1306</v>
      </c>
      <c r="C170" s="50" t="s">
        <v>1624</v>
      </c>
      <c r="D170" s="50" t="s">
        <v>1624</v>
      </c>
      <c r="E170" s="50" t="s">
        <v>1625</v>
      </c>
      <c r="F170" s="50" t="s">
        <v>1626</v>
      </c>
      <c r="G170" s="50" t="s">
        <v>1958</v>
      </c>
      <c r="H170" s="50" t="s">
        <v>1626</v>
      </c>
    </row>
    <row r="171" spans="1:8" x14ac:dyDescent="0.2">
      <c r="A171" s="50" t="s">
        <v>1307</v>
      </c>
      <c r="B171" s="50" t="s">
        <v>1308</v>
      </c>
      <c r="C171" s="50" t="s">
        <v>1624</v>
      </c>
      <c r="D171" s="50" t="s">
        <v>1624</v>
      </c>
      <c r="E171" s="50" t="s">
        <v>1625</v>
      </c>
      <c r="F171" s="50" t="s">
        <v>1626</v>
      </c>
      <c r="G171" s="50" t="s">
        <v>1958</v>
      </c>
      <c r="H171" s="50" t="s">
        <v>1626</v>
      </c>
    </row>
    <row r="172" spans="1:8" x14ac:dyDescent="0.2">
      <c r="A172" s="50" t="s">
        <v>1309</v>
      </c>
      <c r="B172" s="50" t="s">
        <v>1310</v>
      </c>
      <c r="C172" s="50" t="s">
        <v>1624</v>
      </c>
      <c r="D172" s="50" t="s">
        <v>1624</v>
      </c>
      <c r="E172" s="50" t="s">
        <v>1625</v>
      </c>
      <c r="F172" s="50" t="s">
        <v>1626</v>
      </c>
      <c r="G172" s="50" t="s">
        <v>1958</v>
      </c>
      <c r="H172" s="50" t="s">
        <v>1626</v>
      </c>
    </row>
    <row r="173" spans="1:8" x14ac:dyDescent="0.2">
      <c r="A173" s="50" t="s">
        <v>1311</v>
      </c>
      <c r="B173" s="50" t="s">
        <v>1312</v>
      </c>
      <c r="C173" s="50" t="s">
        <v>1624</v>
      </c>
      <c r="D173" s="50" t="s">
        <v>1624</v>
      </c>
      <c r="E173" s="50" t="s">
        <v>1625</v>
      </c>
      <c r="F173" s="50" t="s">
        <v>1626</v>
      </c>
      <c r="G173" s="50" t="s">
        <v>1958</v>
      </c>
      <c r="H173" s="50" t="s">
        <v>1626</v>
      </c>
    </row>
    <row r="174" spans="1:8" x14ac:dyDescent="0.2">
      <c r="A174" s="50" t="s">
        <v>1313</v>
      </c>
      <c r="B174" s="50" t="s">
        <v>1314</v>
      </c>
      <c r="C174" s="50" t="s">
        <v>1624</v>
      </c>
      <c r="D174" s="50" t="s">
        <v>1624</v>
      </c>
      <c r="E174" s="50" t="s">
        <v>1625</v>
      </c>
      <c r="F174" s="50" t="s">
        <v>1626</v>
      </c>
      <c r="G174" s="50" t="s">
        <v>1958</v>
      </c>
      <c r="H174" s="50" t="s">
        <v>1626</v>
      </c>
    </row>
    <row r="175" spans="1:8" x14ac:dyDescent="0.2">
      <c r="A175" s="50" t="s">
        <v>1315</v>
      </c>
      <c r="B175" s="50" t="s">
        <v>1316</v>
      </c>
      <c r="C175" s="50" t="s">
        <v>1624</v>
      </c>
      <c r="D175" s="50" t="s">
        <v>1624</v>
      </c>
      <c r="E175" s="50" t="s">
        <v>1625</v>
      </c>
      <c r="F175" s="50" t="s">
        <v>1626</v>
      </c>
      <c r="G175" s="50" t="s">
        <v>1958</v>
      </c>
      <c r="H175" s="50" t="s">
        <v>1626</v>
      </c>
    </row>
    <row r="176" spans="1:8" x14ac:dyDescent="0.2">
      <c r="A176" s="50" t="s">
        <v>1317</v>
      </c>
      <c r="B176" s="50" t="s">
        <v>1318</v>
      </c>
      <c r="C176" s="50" t="s">
        <v>1624</v>
      </c>
      <c r="D176" s="50" t="s">
        <v>1624</v>
      </c>
      <c r="E176" s="50" t="s">
        <v>1625</v>
      </c>
      <c r="F176" s="50" t="s">
        <v>1626</v>
      </c>
      <c r="G176" s="50" t="s">
        <v>1958</v>
      </c>
      <c r="H176" s="50" t="s">
        <v>1626</v>
      </c>
    </row>
    <row r="177" spans="1:8" x14ac:dyDescent="0.2">
      <c r="A177" s="50" t="s">
        <v>1319</v>
      </c>
      <c r="B177" s="50" t="s">
        <v>1320</v>
      </c>
      <c r="C177" s="50" t="s">
        <v>1624</v>
      </c>
      <c r="D177" s="50" t="s">
        <v>1624</v>
      </c>
      <c r="E177" s="50" t="s">
        <v>1625</v>
      </c>
      <c r="F177" s="50" t="s">
        <v>1626</v>
      </c>
      <c r="G177" s="50" t="s">
        <v>1958</v>
      </c>
      <c r="H177" s="50" t="s">
        <v>1626</v>
      </c>
    </row>
    <row r="178" spans="1:8" x14ac:dyDescent="0.2">
      <c r="A178" s="50" t="s">
        <v>1321</v>
      </c>
      <c r="B178" s="50" t="s">
        <v>1322</v>
      </c>
      <c r="C178" s="50" t="s">
        <v>1624</v>
      </c>
      <c r="D178" s="50" t="s">
        <v>1624</v>
      </c>
      <c r="E178" s="50" t="s">
        <v>1625</v>
      </c>
      <c r="F178" s="50" t="s">
        <v>1626</v>
      </c>
      <c r="G178" s="50" t="s">
        <v>1958</v>
      </c>
      <c r="H178" s="50" t="s">
        <v>1626</v>
      </c>
    </row>
    <row r="179" spans="1:8" x14ac:dyDescent="0.2">
      <c r="A179" s="50" t="s">
        <v>1323</v>
      </c>
      <c r="B179" s="50" t="s">
        <v>1959</v>
      </c>
      <c r="C179" s="50" t="s">
        <v>1624</v>
      </c>
      <c r="D179" s="50" t="s">
        <v>1624</v>
      </c>
      <c r="E179" s="50" t="s">
        <v>1625</v>
      </c>
      <c r="F179" s="50" t="s">
        <v>1626</v>
      </c>
      <c r="G179" s="50" t="s">
        <v>1958</v>
      </c>
      <c r="H179" s="50" t="s">
        <v>1626</v>
      </c>
    </row>
    <row r="180" spans="1:8" x14ac:dyDescent="0.2">
      <c r="A180" s="50" t="s">
        <v>2481</v>
      </c>
      <c r="B180" s="50" t="s">
        <v>1324</v>
      </c>
      <c r="C180" s="50" t="s">
        <v>1624</v>
      </c>
      <c r="D180" s="50" t="s">
        <v>1624</v>
      </c>
      <c r="E180" s="50" t="s">
        <v>1625</v>
      </c>
      <c r="F180" s="50" t="s">
        <v>1626</v>
      </c>
      <c r="G180" s="50" t="s">
        <v>1958</v>
      </c>
      <c r="H180" s="50" t="s">
        <v>1626</v>
      </c>
    </row>
    <row r="181" spans="1:8" x14ac:dyDescent="0.2">
      <c r="A181" s="50" t="s">
        <v>1325</v>
      </c>
      <c r="B181" s="50" t="s">
        <v>1326</v>
      </c>
      <c r="C181" s="50" t="s">
        <v>1624</v>
      </c>
      <c r="D181" s="50" t="s">
        <v>1624</v>
      </c>
      <c r="E181" s="50" t="s">
        <v>1625</v>
      </c>
      <c r="F181" s="50" t="s">
        <v>1626</v>
      </c>
      <c r="G181" s="50" t="s">
        <v>1958</v>
      </c>
      <c r="H181" s="50" t="s">
        <v>1626</v>
      </c>
    </row>
    <row r="182" spans="1:8" x14ac:dyDescent="0.2">
      <c r="A182" s="50" t="s">
        <v>1327</v>
      </c>
      <c r="B182" s="50" t="s">
        <v>1328</v>
      </c>
      <c r="C182" s="50" t="s">
        <v>1624</v>
      </c>
      <c r="D182" s="50" t="s">
        <v>1624</v>
      </c>
      <c r="E182" s="50" t="s">
        <v>1960</v>
      </c>
      <c r="F182" s="50" t="s">
        <v>1961</v>
      </c>
      <c r="G182" s="50" t="s">
        <v>1962</v>
      </c>
      <c r="H182" s="50" t="s">
        <v>1963</v>
      </c>
    </row>
    <row r="183" spans="1:8" x14ac:dyDescent="0.2">
      <c r="A183" s="50" t="s">
        <v>1329</v>
      </c>
      <c r="B183" s="50" t="s">
        <v>1330</v>
      </c>
      <c r="C183" s="50" t="s">
        <v>1624</v>
      </c>
      <c r="D183" s="50" t="s">
        <v>1624</v>
      </c>
      <c r="E183" s="50" t="s">
        <v>1960</v>
      </c>
      <c r="F183" s="50" t="s">
        <v>1961</v>
      </c>
      <c r="G183" s="50" t="s">
        <v>1962</v>
      </c>
      <c r="H183" s="50" t="s">
        <v>1963</v>
      </c>
    </row>
    <row r="184" spans="1:8" x14ac:dyDescent="0.2">
      <c r="A184" s="50" t="s">
        <v>1331</v>
      </c>
      <c r="B184" s="50" t="s">
        <v>1332</v>
      </c>
      <c r="C184" s="50" t="s">
        <v>1624</v>
      </c>
      <c r="D184" s="50" t="s">
        <v>1624</v>
      </c>
      <c r="E184" s="50" t="s">
        <v>1960</v>
      </c>
      <c r="F184" s="50" t="s">
        <v>1961</v>
      </c>
      <c r="G184" s="50" t="s">
        <v>1962</v>
      </c>
      <c r="H184" s="50" t="s">
        <v>1963</v>
      </c>
    </row>
    <row r="185" spans="1:8" x14ac:dyDescent="0.2">
      <c r="A185" s="50" t="s">
        <v>1333</v>
      </c>
      <c r="B185" s="50" t="s">
        <v>1334</v>
      </c>
      <c r="C185" s="50" t="s">
        <v>1624</v>
      </c>
      <c r="D185" s="50" t="s">
        <v>1624</v>
      </c>
      <c r="E185" s="50" t="s">
        <v>1960</v>
      </c>
      <c r="F185" s="50" t="s">
        <v>1961</v>
      </c>
      <c r="G185" s="50" t="s">
        <v>1962</v>
      </c>
      <c r="H185" s="50" t="s">
        <v>1963</v>
      </c>
    </row>
    <row r="186" spans="1:8" x14ac:dyDescent="0.2">
      <c r="A186" s="50" t="s">
        <v>1335</v>
      </c>
      <c r="B186" s="50" t="s">
        <v>1336</v>
      </c>
      <c r="C186" s="50" t="s">
        <v>1624</v>
      </c>
      <c r="D186" s="50" t="s">
        <v>1624</v>
      </c>
      <c r="E186" s="50" t="s">
        <v>1960</v>
      </c>
      <c r="F186" s="50" t="s">
        <v>1961</v>
      </c>
      <c r="G186" s="50" t="s">
        <v>1962</v>
      </c>
      <c r="H186" s="50" t="s">
        <v>1963</v>
      </c>
    </row>
    <row r="187" spans="1:8" x14ac:dyDescent="0.2">
      <c r="A187" s="50" t="s">
        <v>1337</v>
      </c>
      <c r="B187" s="50" t="s">
        <v>1338</v>
      </c>
      <c r="C187" s="50" t="s">
        <v>1624</v>
      </c>
      <c r="D187" s="50" t="s">
        <v>1624</v>
      </c>
      <c r="E187" s="50" t="s">
        <v>1960</v>
      </c>
      <c r="F187" s="50" t="s">
        <v>1961</v>
      </c>
      <c r="G187" s="50" t="s">
        <v>1962</v>
      </c>
      <c r="H187" s="50" t="s">
        <v>1963</v>
      </c>
    </row>
    <row r="188" spans="1:8" x14ac:dyDescent="0.2">
      <c r="A188" s="50" t="s">
        <v>1339</v>
      </c>
      <c r="B188" s="50" t="s">
        <v>1340</v>
      </c>
      <c r="C188" s="50" t="s">
        <v>1624</v>
      </c>
      <c r="D188" s="50" t="s">
        <v>1624</v>
      </c>
      <c r="E188" s="50" t="s">
        <v>1960</v>
      </c>
      <c r="F188" s="50" t="s">
        <v>1961</v>
      </c>
      <c r="G188" s="50" t="s">
        <v>1962</v>
      </c>
      <c r="H188" s="50" t="s">
        <v>1963</v>
      </c>
    </row>
    <row r="189" spans="1:8" x14ac:dyDescent="0.2">
      <c r="A189" s="50" t="s">
        <v>1341</v>
      </c>
      <c r="B189" s="50" t="s">
        <v>1964</v>
      </c>
      <c r="C189" s="50" t="s">
        <v>1624</v>
      </c>
      <c r="D189" s="50" t="s">
        <v>1624</v>
      </c>
      <c r="E189" s="50" t="s">
        <v>1960</v>
      </c>
      <c r="F189" s="50" t="s">
        <v>1961</v>
      </c>
      <c r="G189" s="50" t="s">
        <v>1962</v>
      </c>
      <c r="H189" s="50" t="s">
        <v>1963</v>
      </c>
    </row>
    <row r="190" spans="1:8" x14ac:dyDescent="0.2">
      <c r="A190" s="50" t="s">
        <v>1343</v>
      </c>
      <c r="B190" s="50" t="s">
        <v>1965</v>
      </c>
      <c r="C190" s="50" t="s">
        <v>1624</v>
      </c>
      <c r="D190" s="50" t="s">
        <v>1624</v>
      </c>
      <c r="E190" s="50" t="s">
        <v>1960</v>
      </c>
      <c r="F190" s="50" t="s">
        <v>1961</v>
      </c>
      <c r="G190" s="50" t="s">
        <v>1962</v>
      </c>
      <c r="H190" s="50" t="s">
        <v>1963</v>
      </c>
    </row>
    <row r="191" spans="1:8" x14ac:dyDescent="0.2">
      <c r="A191" s="50" t="s">
        <v>1347</v>
      </c>
      <c r="B191" s="50" t="s">
        <v>2328</v>
      </c>
      <c r="C191" s="50" t="s">
        <v>1624</v>
      </c>
      <c r="D191" s="50" t="s">
        <v>1624</v>
      </c>
      <c r="E191" s="50" t="s">
        <v>1960</v>
      </c>
      <c r="F191" s="50" t="s">
        <v>1961</v>
      </c>
      <c r="G191" s="50" t="s">
        <v>1962</v>
      </c>
      <c r="H191" s="50" t="s">
        <v>1963</v>
      </c>
    </row>
    <row r="192" spans="1:8" x14ac:dyDescent="0.2">
      <c r="A192" s="50" t="s">
        <v>1349</v>
      </c>
      <c r="B192" s="50" t="s">
        <v>1966</v>
      </c>
      <c r="C192" s="50" t="s">
        <v>1624</v>
      </c>
      <c r="D192" s="50" t="s">
        <v>1624</v>
      </c>
      <c r="E192" s="50" t="s">
        <v>1960</v>
      </c>
      <c r="F192" s="50" t="s">
        <v>1961</v>
      </c>
      <c r="G192" s="50" t="s">
        <v>1962</v>
      </c>
      <c r="H192" s="50" t="s">
        <v>1963</v>
      </c>
    </row>
    <row r="193" spans="1:8" x14ac:dyDescent="0.2">
      <c r="A193" s="50" t="s">
        <v>1351</v>
      </c>
      <c r="B193" s="50" t="s">
        <v>1967</v>
      </c>
      <c r="C193" s="50" t="s">
        <v>1624</v>
      </c>
      <c r="D193" s="50" t="s">
        <v>1624</v>
      </c>
      <c r="E193" s="50" t="s">
        <v>1960</v>
      </c>
      <c r="F193" s="50" t="s">
        <v>1961</v>
      </c>
      <c r="G193" s="50" t="s">
        <v>1962</v>
      </c>
      <c r="H193" s="50" t="s">
        <v>1963</v>
      </c>
    </row>
    <row r="194" spans="1:8" x14ac:dyDescent="0.2">
      <c r="A194" s="50" t="s">
        <v>1353</v>
      </c>
      <c r="B194" s="50" t="s">
        <v>1354</v>
      </c>
      <c r="C194" s="50" t="s">
        <v>1624</v>
      </c>
      <c r="D194" s="50" t="s">
        <v>1624</v>
      </c>
      <c r="E194" s="50" t="s">
        <v>1960</v>
      </c>
      <c r="F194" s="50" t="s">
        <v>1961</v>
      </c>
      <c r="G194" s="50" t="s">
        <v>1962</v>
      </c>
      <c r="H194" s="50" t="s">
        <v>1963</v>
      </c>
    </row>
    <row r="195" spans="1:8" x14ac:dyDescent="0.2">
      <c r="A195" s="50" t="s">
        <v>1355</v>
      </c>
      <c r="B195" s="50" t="s">
        <v>1356</v>
      </c>
      <c r="C195" s="50" t="s">
        <v>1624</v>
      </c>
      <c r="D195" s="50" t="s">
        <v>1624</v>
      </c>
      <c r="E195" s="50" t="s">
        <v>1960</v>
      </c>
      <c r="F195" s="50" t="s">
        <v>1961</v>
      </c>
      <c r="G195" s="50" t="s">
        <v>1962</v>
      </c>
      <c r="H195" s="50" t="s">
        <v>1963</v>
      </c>
    </row>
    <row r="196" spans="1:8" x14ac:dyDescent="0.2">
      <c r="A196" s="50" t="s">
        <v>1357</v>
      </c>
      <c r="B196" s="50" t="s">
        <v>1358</v>
      </c>
      <c r="C196" s="50" t="s">
        <v>1624</v>
      </c>
      <c r="D196" s="50" t="s">
        <v>1624</v>
      </c>
      <c r="E196" s="50" t="s">
        <v>1960</v>
      </c>
      <c r="F196" s="50" t="s">
        <v>1961</v>
      </c>
      <c r="G196" s="50" t="s">
        <v>1962</v>
      </c>
      <c r="H196" s="50" t="s">
        <v>1963</v>
      </c>
    </row>
    <row r="197" spans="1:8" x14ac:dyDescent="0.2">
      <c r="A197" s="50" t="s">
        <v>1359</v>
      </c>
      <c r="B197" s="50" t="s">
        <v>1360</v>
      </c>
      <c r="C197" s="50" t="s">
        <v>1624</v>
      </c>
      <c r="D197" s="50" t="s">
        <v>1624</v>
      </c>
      <c r="E197" s="50" t="s">
        <v>1960</v>
      </c>
      <c r="F197" s="50" t="s">
        <v>1961</v>
      </c>
      <c r="G197" s="50" t="s">
        <v>1962</v>
      </c>
      <c r="H197" s="50" t="s">
        <v>1963</v>
      </c>
    </row>
    <row r="198" spans="1:8" x14ac:dyDescent="0.2">
      <c r="A198" s="50" t="s">
        <v>1361</v>
      </c>
      <c r="B198" s="50" t="s">
        <v>1362</v>
      </c>
      <c r="C198" s="50" t="s">
        <v>1624</v>
      </c>
      <c r="D198" s="50" t="s">
        <v>1624</v>
      </c>
      <c r="E198" s="50" t="s">
        <v>1960</v>
      </c>
      <c r="F198" s="50" t="s">
        <v>1961</v>
      </c>
      <c r="G198" s="50" t="s">
        <v>1962</v>
      </c>
      <c r="H198" s="50" t="s">
        <v>1963</v>
      </c>
    </row>
    <row r="199" spans="1:8" x14ac:dyDescent="0.2">
      <c r="A199" s="50" t="s">
        <v>1363</v>
      </c>
      <c r="B199" s="50" t="s">
        <v>1364</v>
      </c>
      <c r="C199" s="50" t="s">
        <v>1624</v>
      </c>
      <c r="D199" s="50" t="s">
        <v>1624</v>
      </c>
      <c r="E199" s="50" t="s">
        <v>1960</v>
      </c>
      <c r="F199" s="50" t="s">
        <v>1961</v>
      </c>
      <c r="G199" s="50" t="s">
        <v>1962</v>
      </c>
      <c r="H199" s="50" t="s">
        <v>1963</v>
      </c>
    </row>
    <row r="200" spans="1:8" x14ac:dyDescent="0.2">
      <c r="A200" s="50" t="s">
        <v>1365</v>
      </c>
      <c r="B200" s="50" t="s">
        <v>1366</v>
      </c>
      <c r="C200" s="50" t="s">
        <v>1624</v>
      </c>
      <c r="D200" s="50" t="s">
        <v>1624</v>
      </c>
      <c r="E200" s="50" t="s">
        <v>1960</v>
      </c>
      <c r="F200" s="50" t="s">
        <v>1961</v>
      </c>
      <c r="G200" s="50" t="s">
        <v>1962</v>
      </c>
      <c r="H200" s="50" t="s">
        <v>1963</v>
      </c>
    </row>
    <row r="201" spans="1:8" x14ac:dyDescent="0.2">
      <c r="A201" s="50" t="s">
        <v>1367</v>
      </c>
      <c r="B201" s="50" t="s">
        <v>1368</v>
      </c>
      <c r="C201" s="50" t="s">
        <v>1624</v>
      </c>
      <c r="D201" s="50" t="s">
        <v>1624</v>
      </c>
      <c r="E201" s="50" t="s">
        <v>1960</v>
      </c>
      <c r="F201" s="50" t="s">
        <v>1961</v>
      </c>
      <c r="G201" s="50" t="s">
        <v>1962</v>
      </c>
      <c r="H201" s="50" t="s">
        <v>1963</v>
      </c>
    </row>
    <row r="202" spans="1:8" x14ac:dyDescent="0.2">
      <c r="A202" s="50" t="s">
        <v>1369</v>
      </c>
      <c r="B202" s="50" t="s">
        <v>1370</v>
      </c>
      <c r="C202" s="50" t="s">
        <v>1624</v>
      </c>
      <c r="D202" s="50" t="s">
        <v>1624</v>
      </c>
      <c r="E202" s="50" t="s">
        <v>1960</v>
      </c>
      <c r="F202" s="50" t="s">
        <v>1961</v>
      </c>
      <c r="G202" s="50" t="s">
        <v>1962</v>
      </c>
      <c r="H202" s="50" t="s">
        <v>1963</v>
      </c>
    </row>
    <row r="203" spans="1:8" x14ac:dyDescent="0.2">
      <c r="A203" s="50" t="s">
        <v>1371</v>
      </c>
      <c r="B203" s="50" t="s">
        <v>1968</v>
      </c>
      <c r="C203" s="50" t="s">
        <v>1624</v>
      </c>
      <c r="D203" s="50" t="s">
        <v>1624</v>
      </c>
      <c r="E203" s="50" t="s">
        <v>1960</v>
      </c>
      <c r="F203" s="50" t="s">
        <v>1961</v>
      </c>
      <c r="G203" s="50" t="s">
        <v>1962</v>
      </c>
      <c r="H203" s="50" t="s">
        <v>1963</v>
      </c>
    </row>
    <row r="204" spans="1:8" x14ac:dyDescent="0.2">
      <c r="A204" s="50" t="s">
        <v>1373</v>
      </c>
      <c r="B204" s="50" t="s">
        <v>1374</v>
      </c>
      <c r="C204" s="50" t="s">
        <v>1624</v>
      </c>
      <c r="D204" s="50" t="s">
        <v>1624</v>
      </c>
      <c r="E204" s="50" t="s">
        <v>1960</v>
      </c>
      <c r="F204" s="50" t="s">
        <v>1961</v>
      </c>
      <c r="G204" s="50" t="s">
        <v>1962</v>
      </c>
      <c r="H204" s="50" t="s">
        <v>1963</v>
      </c>
    </row>
    <row r="205" spans="1:8" x14ac:dyDescent="0.2">
      <c r="A205" s="50" t="s">
        <v>1375</v>
      </c>
      <c r="B205" s="50" t="s">
        <v>1376</v>
      </c>
      <c r="C205" s="50" t="s">
        <v>1624</v>
      </c>
      <c r="D205" s="50" t="s">
        <v>1624</v>
      </c>
      <c r="E205" s="50" t="s">
        <v>1960</v>
      </c>
      <c r="F205" s="50" t="s">
        <v>1961</v>
      </c>
      <c r="G205" s="50" t="s">
        <v>1962</v>
      </c>
      <c r="H205" s="50" t="s">
        <v>1963</v>
      </c>
    </row>
    <row r="206" spans="1:8" x14ac:dyDescent="0.2">
      <c r="A206" s="50" t="s">
        <v>1377</v>
      </c>
      <c r="B206" s="50" t="s">
        <v>1378</v>
      </c>
      <c r="C206" s="50" t="s">
        <v>1624</v>
      </c>
      <c r="D206" s="50" t="s">
        <v>1624</v>
      </c>
      <c r="E206" s="50" t="s">
        <v>1960</v>
      </c>
      <c r="F206" s="50" t="s">
        <v>1961</v>
      </c>
      <c r="G206" s="50" t="s">
        <v>1962</v>
      </c>
      <c r="H206" s="50" t="s">
        <v>1963</v>
      </c>
    </row>
    <row r="207" spans="1:8" x14ac:dyDescent="0.2">
      <c r="A207" s="50" t="s">
        <v>1379</v>
      </c>
      <c r="B207" s="50" t="s">
        <v>1380</v>
      </c>
      <c r="C207" s="50" t="s">
        <v>1624</v>
      </c>
      <c r="D207" s="50" t="s">
        <v>1624</v>
      </c>
      <c r="E207" s="50" t="s">
        <v>1960</v>
      </c>
      <c r="F207" s="50" t="s">
        <v>1961</v>
      </c>
      <c r="G207" s="50" t="s">
        <v>1962</v>
      </c>
      <c r="H207" s="50" t="s">
        <v>1963</v>
      </c>
    </row>
    <row r="208" spans="1:8" x14ac:dyDescent="0.2">
      <c r="A208" s="50" t="s">
        <v>1381</v>
      </c>
      <c r="B208" s="50" t="s">
        <v>1382</v>
      </c>
      <c r="C208" s="50" t="s">
        <v>1624</v>
      </c>
      <c r="D208" s="50" t="s">
        <v>1624</v>
      </c>
      <c r="E208" s="50" t="s">
        <v>1960</v>
      </c>
      <c r="F208" s="50" t="s">
        <v>1961</v>
      </c>
      <c r="G208" s="50" t="s">
        <v>1962</v>
      </c>
      <c r="H208" s="50" t="s">
        <v>1963</v>
      </c>
    </row>
    <row r="209" spans="1:8" x14ac:dyDescent="0.2">
      <c r="A209" s="50" t="s">
        <v>1383</v>
      </c>
      <c r="B209" s="50" t="s">
        <v>1384</v>
      </c>
      <c r="C209" s="50" t="s">
        <v>1624</v>
      </c>
      <c r="D209" s="50" t="s">
        <v>1624</v>
      </c>
      <c r="E209" s="50" t="s">
        <v>1960</v>
      </c>
      <c r="F209" s="50" t="s">
        <v>1961</v>
      </c>
      <c r="G209" s="50" t="s">
        <v>1962</v>
      </c>
      <c r="H209" s="50" t="s">
        <v>1963</v>
      </c>
    </row>
    <row r="210" spans="1:8" x14ac:dyDescent="0.2">
      <c r="A210" s="50" t="s">
        <v>1385</v>
      </c>
      <c r="B210" s="50" t="s">
        <v>1386</v>
      </c>
      <c r="C210" s="50" t="s">
        <v>1624</v>
      </c>
      <c r="D210" s="50" t="s">
        <v>1624</v>
      </c>
      <c r="E210" s="50" t="s">
        <v>1960</v>
      </c>
      <c r="F210" s="50" t="s">
        <v>1961</v>
      </c>
      <c r="G210" s="50" t="s">
        <v>1962</v>
      </c>
      <c r="H210" s="50" t="s">
        <v>1963</v>
      </c>
    </row>
    <row r="211" spans="1:8" x14ac:dyDescent="0.2">
      <c r="A211" s="50" t="s">
        <v>1387</v>
      </c>
      <c r="B211" s="50" t="s">
        <v>1969</v>
      </c>
      <c r="C211" s="50" t="s">
        <v>1624</v>
      </c>
      <c r="D211" s="50" t="s">
        <v>1624</v>
      </c>
      <c r="E211" s="50" t="s">
        <v>1960</v>
      </c>
      <c r="F211" s="50" t="s">
        <v>1961</v>
      </c>
      <c r="G211" s="50" t="s">
        <v>1962</v>
      </c>
      <c r="H211" s="50" t="s">
        <v>1963</v>
      </c>
    </row>
    <row r="212" spans="1:8" x14ac:dyDescent="0.2">
      <c r="A212" s="50" t="s">
        <v>1389</v>
      </c>
      <c r="B212" s="50" t="s">
        <v>1970</v>
      </c>
      <c r="C212" s="50" t="s">
        <v>1624</v>
      </c>
      <c r="D212" s="50" t="s">
        <v>1624</v>
      </c>
      <c r="E212" s="50" t="s">
        <v>1960</v>
      </c>
      <c r="F212" s="50" t="s">
        <v>1961</v>
      </c>
      <c r="G212" s="50" t="s">
        <v>1962</v>
      </c>
      <c r="H212" s="50" t="s">
        <v>1963</v>
      </c>
    </row>
    <row r="213" spans="1:8" x14ac:dyDescent="0.2">
      <c r="A213" s="50" t="s">
        <v>1391</v>
      </c>
      <c r="B213" s="50" t="s">
        <v>1971</v>
      </c>
      <c r="C213" s="50" t="s">
        <v>1624</v>
      </c>
      <c r="D213" s="50" t="s">
        <v>1624</v>
      </c>
      <c r="E213" s="50" t="s">
        <v>1960</v>
      </c>
      <c r="F213" s="50" t="s">
        <v>1961</v>
      </c>
      <c r="G213" s="50" t="s">
        <v>1962</v>
      </c>
      <c r="H213" s="50" t="s">
        <v>1963</v>
      </c>
    </row>
    <row r="214" spans="1:8" x14ac:dyDescent="0.2">
      <c r="A214" s="50" t="s">
        <v>2482</v>
      </c>
      <c r="B214" s="50" t="s">
        <v>1972</v>
      </c>
      <c r="C214" s="50" t="s">
        <v>1624</v>
      </c>
      <c r="D214" s="50" t="s">
        <v>1624</v>
      </c>
      <c r="E214" s="50" t="s">
        <v>1960</v>
      </c>
      <c r="F214" s="50" t="s">
        <v>1961</v>
      </c>
      <c r="G214" s="50" t="s">
        <v>1962</v>
      </c>
      <c r="H214" s="50" t="s">
        <v>1963</v>
      </c>
    </row>
    <row r="215" spans="1:8" x14ac:dyDescent="0.2">
      <c r="A215" s="50" t="s">
        <v>2483</v>
      </c>
      <c r="B215" s="50" t="s">
        <v>1390</v>
      </c>
      <c r="C215" s="50" t="s">
        <v>1624</v>
      </c>
      <c r="D215" s="50" t="s">
        <v>1624</v>
      </c>
      <c r="E215" s="50" t="s">
        <v>1960</v>
      </c>
      <c r="F215" s="50" t="s">
        <v>1961</v>
      </c>
      <c r="G215" s="50" t="s">
        <v>1962</v>
      </c>
      <c r="H215" s="50" t="s">
        <v>1963</v>
      </c>
    </row>
    <row r="216" spans="1:8" x14ac:dyDescent="0.2">
      <c r="A216" s="50" t="s">
        <v>2484</v>
      </c>
      <c r="B216" s="50" t="s">
        <v>1973</v>
      </c>
      <c r="C216" s="50" t="s">
        <v>1624</v>
      </c>
      <c r="D216" s="50" t="s">
        <v>1624</v>
      </c>
      <c r="E216" s="50" t="s">
        <v>1960</v>
      </c>
      <c r="F216" s="50" t="s">
        <v>1961</v>
      </c>
      <c r="G216" s="50" t="s">
        <v>1962</v>
      </c>
      <c r="H216" s="50" t="s">
        <v>1963</v>
      </c>
    </row>
    <row r="217" spans="1:8" x14ac:dyDescent="0.2">
      <c r="A217" s="50" t="s">
        <v>2485</v>
      </c>
      <c r="B217" s="50" t="s">
        <v>1392</v>
      </c>
      <c r="C217" s="50" t="s">
        <v>1624</v>
      </c>
      <c r="D217" s="50" t="s">
        <v>1624</v>
      </c>
      <c r="E217" s="50" t="s">
        <v>1960</v>
      </c>
      <c r="F217" s="50" t="s">
        <v>1961</v>
      </c>
      <c r="G217" s="50" t="s">
        <v>1962</v>
      </c>
      <c r="H217" s="50" t="s">
        <v>1963</v>
      </c>
    </row>
    <row r="218" spans="1:8" x14ac:dyDescent="0.2">
      <c r="A218" s="50" t="s">
        <v>1393</v>
      </c>
      <c r="B218" s="50" t="s">
        <v>1394</v>
      </c>
      <c r="C218" s="50" t="s">
        <v>1624</v>
      </c>
      <c r="D218" s="50" t="s">
        <v>1624</v>
      </c>
      <c r="E218" s="50" t="s">
        <v>1960</v>
      </c>
      <c r="F218" s="50" t="s">
        <v>1961</v>
      </c>
      <c r="G218" s="50" t="s">
        <v>1974</v>
      </c>
      <c r="H218" s="50" t="s">
        <v>1961</v>
      </c>
    </row>
    <row r="219" spans="1:8" x14ac:dyDescent="0.2">
      <c r="A219" s="50" t="s">
        <v>1395</v>
      </c>
      <c r="B219" s="50" t="s">
        <v>1396</v>
      </c>
      <c r="C219" s="50" t="s">
        <v>1624</v>
      </c>
      <c r="D219" s="50" t="s">
        <v>1624</v>
      </c>
      <c r="E219" s="50" t="s">
        <v>1960</v>
      </c>
      <c r="F219" s="50" t="s">
        <v>1961</v>
      </c>
      <c r="G219" s="50" t="s">
        <v>1974</v>
      </c>
      <c r="H219" s="50" t="s">
        <v>1961</v>
      </c>
    </row>
    <row r="220" spans="1:8" x14ac:dyDescent="0.2">
      <c r="A220" s="50" t="s">
        <v>1397</v>
      </c>
      <c r="B220" s="50" t="s">
        <v>1398</v>
      </c>
      <c r="C220" s="50" t="s">
        <v>1624</v>
      </c>
      <c r="D220" s="50" t="s">
        <v>1624</v>
      </c>
      <c r="E220" s="50" t="s">
        <v>1960</v>
      </c>
      <c r="F220" s="50" t="s">
        <v>1961</v>
      </c>
      <c r="G220" s="50" t="s">
        <v>1974</v>
      </c>
      <c r="H220" s="50" t="s">
        <v>1961</v>
      </c>
    </row>
    <row r="221" spans="1:8" x14ac:dyDescent="0.2">
      <c r="A221" s="50" t="s">
        <v>1399</v>
      </c>
      <c r="B221" s="50" t="s">
        <v>1400</v>
      </c>
      <c r="C221" s="50" t="s">
        <v>1624</v>
      </c>
      <c r="D221" s="50" t="s">
        <v>1624</v>
      </c>
      <c r="E221" s="50" t="s">
        <v>1960</v>
      </c>
      <c r="F221" s="50" t="s">
        <v>1961</v>
      </c>
      <c r="G221" s="50" t="s">
        <v>1974</v>
      </c>
      <c r="H221" s="50" t="s">
        <v>1961</v>
      </c>
    </row>
    <row r="222" spans="1:8" x14ac:dyDescent="0.2">
      <c r="A222" s="50" t="s">
        <v>1401</v>
      </c>
      <c r="B222" s="50" t="s">
        <v>1402</v>
      </c>
      <c r="C222" s="50" t="s">
        <v>1624</v>
      </c>
      <c r="D222" s="50" t="s">
        <v>1624</v>
      </c>
      <c r="E222" s="50" t="s">
        <v>1960</v>
      </c>
      <c r="F222" s="50" t="s">
        <v>1961</v>
      </c>
      <c r="G222" s="50" t="s">
        <v>1974</v>
      </c>
      <c r="H222" s="50" t="s">
        <v>1961</v>
      </c>
    </row>
    <row r="223" spans="1:8" x14ac:dyDescent="0.2">
      <c r="A223" s="50" t="s">
        <v>1403</v>
      </c>
      <c r="B223" s="50" t="s">
        <v>1404</v>
      </c>
      <c r="C223" s="50" t="s">
        <v>1624</v>
      </c>
      <c r="D223" s="50" t="s">
        <v>1624</v>
      </c>
      <c r="E223" s="50" t="s">
        <v>1960</v>
      </c>
      <c r="F223" s="50" t="s">
        <v>1961</v>
      </c>
      <c r="G223" s="50" t="s">
        <v>1974</v>
      </c>
      <c r="H223" s="50" t="s">
        <v>1961</v>
      </c>
    </row>
    <row r="224" spans="1:8" x14ac:dyDescent="0.2">
      <c r="A224" s="50" t="s">
        <v>1405</v>
      </c>
      <c r="B224" s="50" t="s">
        <v>1406</v>
      </c>
      <c r="C224" s="50" t="s">
        <v>1624</v>
      </c>
      <c r="D224" s="50" t="s">
        <v>1624</v>
      </c>
      <c r="E224" s="50" t="s">
        <v>1960</v>
      </c>
      <c r="F224" s="50" t="s">
        <v>1961</v>
      </c>
      <c r="G224" s="50" t="s">
        <v>1974</v>
      </c>
      <c r="H224" s="50" t="s">
        <v>1961</v>
      </c>
    </row>
    <row r="225" spans="1:8" x14ac:dyDescent="0.2">
      <c r="A225" s="50" t="s">
        <v>1407</v>
      </c>
      <c r="B225" s="50" t="s">
        <v>1408</v>
      </c>
      <c r="C225" s="50" t="s">
        <v>1624</v>
      </c>
      <c r="D225" s="50" t="s">
        <v>1624</v>
      </c>
      <c r="E225" s="50" t="s">
        <v>1960</v>
      </c>
      <c r="F225" s="50" t="s">
        <v>1961</v>
      </c>
      <c r="G225" s="50" t="s">
        <v>1974</v>
      </c>
      <c r="H225" s="50" t="s">
        <v>1961</v>
      </c>
    </row>
    <row r="226" spans="1:8" x14ac:dyDescent="0.2">
      <c r="A226" s="50" t="s">
        <v>1409</v>
      </c>
      <c r="B226" s="50" t="s">
        <v>1410</v>
      </c>
      <c r="C226" s="50" t="s">
        <v>1624</v>
      </c>
      <c r="D226" s="50" t="s">
        <v>1624</v>
      </c>
      <c r="E226" s="50" t="s">
        <v>1960</v>
      </c>
      <c r="F226" s="50" t="s">
        <v>1961</v>
      </c>
      <c r="G226" s="50" t="s">
        <v>1974</v>
      </c>
      <c r="H226" s="50" t="s">
        <v>1961</v>
      </c>
    </row>
    <row r="227" spans="1:8" x14ac:dyDescent="0.2">
      <c r="A227" s="50" t="s">
        <v>1411</v>
      </c>
      <c r="B227" s="50" t="s">
        <v>1412</v>
      </c>
      <c r="C227" s="50" t="s">
        <v>1624</v>
      </c>
      <c r="D227" s="50" t="s">
        <v>1624</v>
      </c>
      <c r="E227" s="50" t="s">
        <v>1960</v>
      </c>
      <c r="F227" s="50" t="s">
        <v>1961</v>
      </c>
      <c r="G227" s="50" t="s">
        <v>1974</v>
      </c>
      <c r="H227" s="50" t="s">
        <v>1961</v>
      </c>
    </row>
    <row r="228" spans="1:8" x14ac:dyDescent="0.2">
      <c r="A228" s="50" t="s">
        <v>1413</v>
      </c>
      <c r="B228" s="50" t="s">
        <v>1414</v>
      </c>
      <c r="C228" s="50" t="s">
        <v>1624</v>
      </c>
      <c r="D228" s="50" t="s">
        <v>1624</v>
      </c>
      <c r="E228" s="50" t="s">
        <v>1960</v>
      </c>
      <c r="F228" s="50" t="s">
        <v>1961</v>
      </c>
      <c r="G228" s="50" t="s">
        <v>1974</v>
      </c>
      <c r="H228" s="50" t="s">
        <v>1961</v>
      </c>
    </row>
    <row r="229" spans="1:8" x14ac:dyDescent="0.2">
      <c r="A229" s="50" t="s">
        <v>1415</v>
      </c>
      <c r="B229" s="50" t="s">
        <v>1416</v>
      </c>
      <c r="C229" s="50" t="s">
        <v>1624</v>
      </c>
      <c r="D229" s="50" t="s">
        <v>1624</v>
      </c>
      <c r="E229" s="50" t="s">
        <v>1960</v>
      </c>
      <c r="F229" s="50" t="s">
        <v>1961</v>
      </c>
      <c r="G229" s="50" t="s">
        <v>1974</v>
      </c>
      <c r="H229" s="50" t="s">
        <v>1961</v>
      </c>
    </row>
    <row r="230" spans="1:8" x14ac:dyDescent="0.2">
      <c r="A230" s="50" t="s">
        <v>1417</v>
      </c>
      <c r="B230" s="50" t="s">
        <v>1418</v>
      </c>
      <c r="C230" s="50" t="s">
        <v>1624</v>
      </c>
      <c r="D230" s="50" t="s">
        <v>1624</v>
      </c>
      <c r="E230" s="50" t="s">
        <v>1960</v>
      </c>
      <c r="F230" s="50" t="s">
        <v>1961</v>
      </c>
      <c r="G230" s="50" t="s">
        <v>1974</v>
      </c>
      <c r="H230" s="50" t="s">
        <v>1961</v>
      </c>
    </row>
    <row r="231" spans="1:8" x14ac:dyDescent="0.2">
      <c r="A231" s="50" t="s">
        <v>1419</v>
      </c>
      <c r="B231" s="50" t="s">
        <v>1420</v>
      </c>
      <c r="C231" s="50" t="s">
        <v>1624</v>
      </c>
      <c r="D231" s="50" t="s">
        <v>1624</v>
      </c>
      <c r="E231" s="50" t="s">
        <v>1960</v>
      </c>
      <c r="F231" s="50" t="s">
        <v>1961</v>
      </c>
      <c r="G231" s="50" t="s">
        <v>1974</v>
      </c>
      <c r="H231" s="50" t="s">
        <v>1961</v>
      </c>
    </row>
    <row r="232" spans="1:8" x14ac:dyDescent="0.2">
      <c r="A232" s="50" t="s">
        <v>1421</v>
      </c>
      <c r="B232" s="50" t="s">
        <v>1422</v>
      </c>
      <c r="C232" s="50" t="s">
        <v>1624</v>
      </c>
      <c r="D232" s="50" t="s">
        <v>1624</v>
      </c>
      <c r="E232" s="50" t="s">
        <v>1960</v>
      </c>
      <c r="F232" s="50" t="s">
        <v>1961</v>
      </c>
      <c r="G232" s="50" t="s">
        <v>1974</v>
      </c>
      <c r="H232" s="50" t="s">
        <v>1961</v>
      </c>
    </row>
    <row r="233" spans="1:8" x14ac:dyDescent="0.2">
      <c r="A233" s="50" t="s">
        <v>1423</v>
      </c>
      <c r="B233" s="50" t="s">
        <v>1424</v>
      </c>
      <c r="C233" s="50" t="s">
        <v>1624</v>
      </c>
      <c r="D233" s="50" t="s">
        <v>1624</v>
      </c>
      <c r="E233" s="50" t="s">
        <v>1960</v>
      </c>
      <c r="F233" s="50" t="s">
        <v>1961</v>
      </c>
      <c r="G233" s="50" t="s">
        <v>1974</v>
      </c>
      <c r="H233" s="50" t="s">
        <v>1961</v>
      </c>
    </row>
    <row r="234" spans="1:8" x14ac:dyDescent="0.2">
      <c r="A234" s="50" t="s">
        <v>1425</v>
      </c>
      <c r="B234" s="50" t="s">
        <v>1975</v>
      </c>
      <c r="C234" s="50" t="s">
        <v>1624</v>
      </c>
      <c r="D234" s="50" t="s">
        <v>1624</v>
      </c>
      <c r="E234" s="50" t="s">
        <v>1960</v>
      </c>
      <c r="F234" s="50" t="s">
        <v>1961</v>
      </c>
      <c r="G234" s="50" t="s">
        <v>1974</v>
      </c>
      <c r="H234" s="50" t="s">
        <v>1961</v>
      </c>
    </row>
    <row r="235" spans="1:8" x14ac:dyDescent="0.2">
      <c r="A235" s="50" t="s">
        <v>2486</v>
      </c>
      <c r="B235" s="50" t="s">
        <v>1976</v>
      </c>
      <c r="C235" s="50" t="s">
        <v>1624</v>
      </c>
      <c r="D235" s="50" t="s">
        <v>1624</v>
      </c>
      <c r="E235" s="50" t="s">
        <v>1960</v>
      </c>
      <c r="F235" s="50" t="s">
        <v>1961</v>
      </c>
      <c r="G235" s="50" t="s">
        <v>1974</v>
      </c>
      <c r="H235" s="50" t="s">
        <v>1961</v>
      </c>
    </row>
    <row r="236" spans="1:8" x14ac:dyDescent="0.2">
      <c r="A236" s="50" t="s">
        <v>2487</v>
      </c>
      <c r="B236" s="50" t="s">
        <v>1977</v>
      </c>
      <c r="C236" s="50" t="s">
        <v>1624</v>
      </c>
      <c r="D236" s="50" t="s">
        <v>1624</v>
      </c>
      <c r="E236" s="50" t="s">
        <v>1960</v>
      </c>
      <c r="F236" s="50" t="s">
        <v>1961</v>
      </c>
      <c r="G236" s="50" t="s">
        <v>1974</v>
      </c>
      <c r="H236" s="50" t="s">
        <v>1961</v>
      </c>
    </row>
    <row r="237" spans="1:8" x14ac:dyDescent="0.2">
      <c r="A237" s="50" t="s">
        <v>1427</v>
      </c>
      <c r="B237" s="50" t="s">
        <v>1428</v>
      </c>
      <c r="C237" s="50" t="s">
        <v>1624</v>
      </c>
      <c r="D237" s="50" t="s">
        <v>1624</v>
      </c>
      <c r="E237" s="50" t="s">
        <v>1978</v>
      </c>
      <c r="F237" s="50" t="s">
        <v>1979</v>
      </c>
      <c r="G237" s="50" t="s">
        <v>1980</v>
      </c>
      <c r="H237" s="50" t="s">
        <v>1979</v>
      </c>
    </row>
    <row r="238" spans="1:8" x14ac:dyDescent="0.2">
      <c r="A238" s="50" t="s">
        <v>1429</v>
      </c>
      <c r="B238" s="50" t="s">
        <v>1430</v>
      </c>
      <c r="C238" s="50" t="s">
        <v>1624</v>
      </c>
      <c r="D238" s="50" t="s">
        <v>1624</v>
      </c>
      <c r="E238" s="50" t="s">
        <v>1981</v>
      </c>
      <c r="F238" s="50" t="s">
        <v>1982</v>
      </c>
      <c r="G238" s="50" t="s">
        <v>1983</v>
      </c>
      <c r="H238" s="50" t="s">
        <v>1984</v>
      </c>
    </row>
    <row r="239" spans="1:8" x14ac:dyDescent="0.2">
      <c r="A239" s="50" t="s">
        <v>1431</v>
      </c>
      <c r="B239" s="50" t="s">
        <v>1432</v>
      </c>
      <c r="C239" s="50" t="s">
        <v>1624</v>
      </c>
      <c r="D239" s="50" t="s">
        <v>1624</v>
      </c>
      <c r="E239" s="50" t="s">
        <v>1981</v>
      </c>
      <c r="F239" s="50" t="s">
        <v>1982</v>
      </c>
      <c r="G239" s="50" t="s">
        <v>1983</v>
      </c>
      <c r="H239" s="50" t="s">
        <v>1984</v>
      </c>
    </row>
    <row r="240" spans="1:8" x14ac:dyDescent="0.2">
      <c r="A240" s="50" t="s">
        <v>1433</v>
      </c>
      <c r="B240" s="50" t="s">
        <v>1434</v>
      </c>
      <c r="C240" s="50" t="s">
        <v>1624</v>
      </c>
      <c r="D240" s="50" t="s">
        <v>1624</v>
      </c>
      <c r="E240" s="50" t="s">
        <v>1981</v>
      </c>
      <c r="F240" s="50" t="s">
        <v>1982</v>
      </c>
      <c r="G240" s="50" t="s">
        <v>1983</v>
      </c>
      <c r="H240" s="50" t="s">
        <v>1984</v>
      </c>
    </row>
    <row r="241" spans="1:8" x14ac:dyDescent="0.2">
      <c r="A241" s="50" t="s">
        <v>1435</v>
      </c>
      <c r="B241" s="50" t="s">
        <v>1436</v>
      </c>
      <c r="C241" s="50" t="s">
        <v>1624</v>
      </c>
      <c r="D241" s="50" t="s">
        <v>1624</v>
      </c>
      <c r="E241" s="50" t="s">
        <v>1981</v>
      </c>
      <c r="F241" s="50" t="s">
        <v>1982</v>
      </c>
      <c r="G241" s="50" t="s">
        <v>1983</v>
      </c>
      <c r="H241" s="50" t="s">
        <v>1984</v>
      </c>
    </row>
    <row r="242" spans="1:8" x14ac:dyDescent="0.2">
      <c r="A242" s="50" t="s">
        <v>1437</v>
      </c>
      <c r="B242" s="50" t="s">
        <v>1985</v>
      </c>
      <c r="C242" s="50" t="s">
        <v>1624</v>
      </c>
      <c r="D242" s="50" t="s">
        <v>1624</v>
      </c>
      <c r="E242" s="50" t="s">
        <v>1981</v>
      </c>
      <c r="F242" s="50" t="s">
        <v>1982</v>
      </c>
      <c r="G242" s="50" t="s">
        <v>1986</v>
      </c>
      <c r="H242" s="50" t="s">
        <v>1982</v>
      </c>
    </row>
    <row r="243" spans="1:8" x14ac:dyDescent="0.2">
      <c r="A243" s="50" t="s">
        <v>1439</v>
      </c>
      <c r="B243" s="50" t="s">
        <v>1440</v>
      </c>
      <c r="C243" s="50" t="s">
        <v>1624</v>
      </c>
      <c r="D243" s="50" t="s">
        <v>1624</v>
      </c>
      <c r="E243" s="50" t="s">
        <v>1981</v>
      </c>
      <c r="F243" s="50" t="s">
        <v>1982</v>
      </c>
      <c r="G243" s="50" t="s">
        <v>1986</v>
      </c>
      <c r="H243" s="50" t="s">
        <v>1982</v>
      </c>
    </row>
    <row r="244" spans="1:8" x14ac:dyDescent="0.2">
      <c r="A244" s="50" t="s">
        <v>1441</v>
      </c>
      <c r="B244" s="50" t="s">
        <v>1442</v>
      </c>
      <c r="C244" s="50" t="s">
        <v>1624</v>
      </c>
      <c r="D244" s="50" t="s">
        <v>1624</v>
      </c>
      <c r="E244" s="50" t="s">
        <v>1981</v>
      </c>
      <c r="F244" s="50" t="s">
        <v>1982</v>
      </c>
      <c r="G244" s="50" t="s">
        <v>1986</v>
      </c>
      <c r="H244" s="50" t="s">
        <v>1982</v>
      </c>
    </row>
    <row r="245" spans="1:8" x14ac:dyDescent="0.2">
      <c r="A245" s="50" t="s">
        <v>1443</v>
      </c>
      <c r="B245" s="50" t="s">
        <v>1444</v>
      </c>
      <c r="C245" s="50" t="s">
        <v>1624</v>
      </c>
      <c r="D245" s="50" t="s">
        <v>1624</v>
      </c>
      <c r="E245" s="50" t="s">
        <v>1981</v>
      </c>
      <c r="F245" s="50" t="s">
        <v>1982</v>
      </c>
      <c r="G245" s="50" t="s">
        <v>1986</v>
      </c>
      <c r="H245" s="50" t="s">
        <v>1982</v>
      </c>
    </row>
    <row r="246" spans="1:8" x14ac:dyDescent="0.2">
      <c r="A246" s="50" t="s">
        <v>1445</v>
      </c>
      <c r="B246" s="50" t="s">
        <v>1987</v>
      </c>
      <c r="C246" s="50" t="s">
        <v>1624</v>
      </c>
      <c r="D246" s="50" t="s">
        <v>1624</v>
      </c>
      <c r="E246" s="50" t="s">
        <v>1981</v>
      </c>
      <c r="F246" s="50" t="s">
        <v>1982</v>
      </c>
      <c r="G246" s="50" t="s">
        <v>1986</v>
      </c>
      <c r="H246" s="50" t="s">
        <v>1982</v>
      </c>
    </row>
    <row r="247" spans="1:8" x14ac:dyDescent="0.2">
      <c r="A247" s="50" t="s">
        <v>2488</v>
      </c>
      <c r="B247" s="50" t="s">
        <v>1988</v>
      </c>
      <c r="C247" s="50" t="s">
        <v>1624</v>
      </c>
      <c r="D247" s="50" t="s">
        <v>1624</v>
      </c>
      <c r="E247" s="50" t="s">
        <v>1981</v>
      </c>
      <c r="F247" s="50" t="s">
        <v>1982</v>
      </c>
      <c r="G247" s="50" t="s">
        <v>1986</v>
      </c>
      <c r="H247" s="50" t="s">
        <v>1982</v>
      </c>
    </row>
    <row r="248" spans="1:8" x14ac:dyDescent="0.2">
      <c r="A248" s="50" t="s">
        <v>2489</v>
      </c>
      <c r="B248" s="50" t="s">
        <v>1989</v>
      </c>
      <c r="C248" s="50" t="s">
        <v>1624</v>
      </c>
      <c r="D248" s="50" t="s">
        <v>1624</v>
      </c>
      <c r="E248" s="50" t="s">
        <v>1981</v>
      </c>
      <c r="F248" s="50" t="s">
        <v>1982</v>
      </c>
      <c r="G248" s="50" t="s">
        <v>1986</v>
      </c>
      <c r="H248" s="50" t="s">
        <v>1982</v>
      </c>
    </row>
    <row r="249" spans="1:8" x14ac:dyDescent="0.2">
      <c r="A249" s="50" t="s">
        <v>2490</v>
      </c>
      <c r="B249" s="50" t="s">
        <v>1990</v>
      </c>
      <c r="C249" s="50" t="s">
        <v>1624</v>
      </c>
      <c r="D249" s="50" t="s">
        <v>1624</v>
      </c>
      <c r="E249" s="50" t="s">
        <v>1981</v>
      </c>
      <c r="F249" s="50" t="s">
        <v>1982</v>
      </c>
      <c r="G249" s="50" t="s">
        <v>1986</v>
      </c>
      <c r="H249" s="50" t="s">
        <v>1982</v>
      </c>
    </row>
    <row r="250" spans="1:8" x14ac:dyDescent="0.2">
      <c r="A250" s="50" t="s">
        <v>2491</v>
      </c>
      <c r="B250" s="50" t="s">
        <v>1991</v>
      </c>
      <c r="C250" s="50" t="s">
        <v>1624</v>
      </c>
      <c r="D250" s="50" t="s">
        <v>1624</v>
      </c>
      <c r="E250" s="50" t="s">
        <v>1981</v>
      </c>
      <c r="F250" s="50" t="s">
        <v>1982</v>
      </c>
      <c r="G250" s="50" t="s">
        <v>1986</v>
      </c>
      <c r="H250" s="50" t="s">
        <v>1982</v>
      </c>
    </row>
    <row r="251" spans="1:8" x14ac:dyDescent="0.2">
      <c r="A251" s="50" t="s">
        <v>2492</v>
      </c>
      <c r="B251" s="50" t="s">
        <v>1992</v>
      </c>
      <c r="C251" s="50" t="s">
        <v>1624</v>
      </c>
      <c r="D251" s="50" t="s">
        <v>1624</v>
      </c>
      <c r="E251" s="50" t="s">
        <v>1981</v>
      </c>
      <c r="F251" s="50" t="s">
        <v>1982</v>
      </c>
      <c r="G251" s="50" t="s">
        <v>1986</v>
      </c>
      <c r="H251" s="50" t="s">
        <v>1982</v>
      </c>
    </row>
    <row r="252" spans="1:8" x14ac:dyDescent="0.2">
      <c r="A252" s="50" t="s">
        <v>1451</v>
      </c>
      <c r="B252" s="50" t="s">
        <v>1452</v>
      </c>
      <c r="C252" s="50" t="s">
        <v>1624</v>
      </c>
      <c r="D252" s="50" t="s">
        <v>1624</v>
      </c>
      <c r="E252" s="50" t="s">
        <v>1993</v>
      </c>
      <c r="F252" s="50" t="s">
        <v>1994</v>
      </c>
      <c r="G252" s="50" t="s">
        <v>1995</v>
      </c>
      <c r="H252" s="50" t="s">
        <v>1994</v>
      </c>
    </row>
    <row r="253" spans="1:8" x14ac:dyDescent="0.2">
      <c r="A253" s="50" t="s">
        <v>1453</v>
      </c>
      <c r="B253" s="50" t="s">
        <v>1454</v>
      </c>
      <c r="C253" s="50" t="s">
        <v>1624</v>
      </c>
      <c r="D253" s="50" t="s">
        <v>1624</v>
      </c>
      <c r="E253" s="50" t="s">
        <v>1993</v>
      </c>
      <c r="F253" s="50" t="s">
        <v>1994</v>
      </c>
      <c r="G253" s="50" t="s">
        <v>1995</v>
      </c>
      <c r="H253" s="50" t="s">
        <v>1994</v>
      </c>
    </row>
    <row r="254" spans="1:8" x14ac:dyDescent="0.2">
      <c r="A254" s="50" t="s">
        <v>1455</v>
      </c>
      <c r="B254" s="50" t="s">
        <v>1456</v>
      </c>
      <c r="C254" s="50" t="s">
        <v>1624</v>
      </c>
      <c r="D254" s="50" t="s">
        <v>1624</v>
      </c>
      <c r="E254" s="50" t="s">
        <v>1996</v>
      </c>
      <c r="F254" s="50" t="s">
        <v>1997</v>
      </c>
      <c r="G254" s="50" t="s">
        <v>1998</v>
      </c>
      <c r="H254" s="50" t="s">
        <v>1997</v>
      </c>
    </row>
    <row r="255" spans="1:8" x14ac:dyDescent="0.2">
      <c r="A255" s="50" t="s">
        <v>1457</v>
      </c>
      <c r="B255" s="50" t="s">
        <v>1999</v>
      </c>
      <c r="C255" s="50" t="s">
        <v>1624</v>
      </c>
      <c r="D255" s="50" t="s">
        <v>1624</v>
      </c>
      <c r="E255" s="50" t="s">
        <v>1996</v>
      </c>
      <c r="F255" s="50" t="s">
        <v>1997</v>
      </c>
      <c r="G255" s="50" t="s">
        <v>1998</v>
      </c>
      <c r="H255" s="50" t="s">
        <v>1997</v>
      </c>
    </row>
    <row r="256" spans="1:8" x14ac:dyDescent="0.2">
      <c r="A256" s="50" t="s">
        <v>2493</v>
      </c>
      <c r="B256" s="50" t="s">
        <v>2000</v>
      </c>
      <c r="C256" s="50" t="s">
        <v>1624</v>
      </c>
      <c r="D256" s="50" t="s">
        <v>1624</v>
      </c>
      <c r="E256" s="50" t="s">
        <v>1996</v>
      </c>
      <c r="F256" s="50" t="s">
        <v>1997</v>
      </c>
      <c r="G256" s="50" t="s">
        <v>1998</v>
      </c>
      <c r="H256" s="50" t="s">
        <v>1997</v>
      </c>
    </row>
    <row r="257" spans="1:8" x14ac:dyDescent="0.2">
      <c r="A257" s="50" t="s">
        <v>2494</v>
      </c>
      <c r="B257" s="50" t="s">
        <v>2001</v>
      </c>
      <c r="C257" s="50" t="s">
        <v>1624</v>
      </c>
      <c r="D257" s="50" t="s">
        <v>1624</v>
      </c>
      <c r="E257" s="50" t="s">
        <v>1996</v>
      </c>
      <c r="F257" s="50" t="s">
        <v>1997</v>
      </c>
      <c r="G257" s="50" t="s">
        <v>1998</v>
      </c>
      <c r="H257" s="50" t="s">
        <v>1997</v>
      </c>
    </row>
    <row r="258" spans="1:8" x14ac:dyDescent="0.2">
      <c r="A258" s="50" t="s">
        <v>2495</v>
      </c>
      <c r="B258" s="50" t="s">
        <v>2002</v>
      </c>
      <c r="C258" s="50" t="s">
        <v>1624</v>
      </c>
      <c r="D258" s="50" t="s">
        <v>1624</v>
      </c>
      <c r="E258" s="50" t="s">
        <v>1996</v>
      </c>
      <c r="F258" s="50" t="s">
        <v>1997</v>
      </c>
      <c r="G258" s="50" t="s">
        <v>1998</v>
      </c>
      <c r="H258" s="50" t="s">
        <v>1997</v>
      </c>
    </row>
    <row r="259" spans="1:8" x14ac:dyDescent="0.2">
      <c r="A259" s="50" t="s">
        <v>2496</v>
      </c>
      <c r="B259" s="50" t="s">
        <v>2003</v>
      </c>
      <c r="C259" s="50" t="s">
        <v>1624</v>
      </c>
      <c r="D259" s="50" t="s">
        <v>1624</v>
      </c>
      <c r="E259" s="50" t="s">
        <v>1996</v>
      </c>
      <c r="F259" s="50" t="s">
        <v>1997</v>
      </c>
      <c r="G259" s="50" t="s">
        <v>1998</v>
      </c>
      <c r="H259" s="50" t="s">
        <v>1997</v>
      </c>
    </row>
    <row r="260" spans="1:8" x14ac:dyDescent="0.2">
      <c r="A260" s="50" t="s">
        <v>2497</v>
      </c>
      <c r="B260" s="50" t="s">
        <v>2004</v>
      </c>
      <c r="C260" s="50" t="s">
        <v>1624</v>
      </c>
      <c r="D260" s="50" t="s">
        <v>1624</v>
      </c>
      <c r="E260" s="50" t="s">
        <v>1996</v>
      </c>
      <c r="F260" s="50" t="s">
        <v>1997</v>
      </c>
      <c r="G260" s="50" t="s">
        <v>1998</v>
      </c>
      <c r="H260" s="50" t="s">
        <v>1997</v>
      </c>
    </row>
    <row r="261" spans="1:8" x14ac:dyDescent="0.2">
      <c r="A261" s="50" t="s">
        <v>2498</v>
      </c>
      <c r="B261" s="50" t="s">
        <v>78</v>
      </c>
      <c r="C261" s="50" t="s">
        <v>1624</v>
      </c>
      <c r="D261" s="50" t="s">
        <v>1624</v>
      </c>
      <c r="E261" s="50" t="s">
        <v>2005</v>
      </c>
      <c r="F261" s="50" t="s">
        <v>2005</v>
      </c>
      <c r="G261" s="50" t="s">
        <v>2006</v>
      </c>
      <c r="H261" s="50" t="s">
        <v>2007</v>
      </c>
    </row>
    <row r="262" spans="1:8" x14ac:dyDescent="0.2">
      <c r="A262" s="50" t="s">
        <v>939</v>
      </c>
      <c r="B262" s="50" t="s">
        <v>302</v>
      </c>
      <c r="C262" s="50" t="s">
        <v>1624</v>
      </c>
      <c r="D262" s="50" t="s">
        <v>1624</v>
      </c>
      <c r="E262" s="50" t="s">
        <v>2005</v>
      </c>
      <c r="F262" s="50" t="s">
        <v>2005</v>
      </c>
      <c r="G262" s="50" t="s">
        <v>2006</v>
      </c>
      <c r="H262" s="50" t="s">
        <v>2007</v>
      </c>
    </row>
    <row r="263" spans="1:8" x14ac:dyDescent="0.2">
      <c r="A263" s="50" t="s">
        <v>940</v>
      </c>
      <c r="B263" s="50" t="s">
        <v>304</v>
      </c>
      <c r="C263" s="50" t="s">
        <v>1624</v>
      </c>
      <c r="D263" s="50" t="s">
        <v>1624</v>
      </c>
      <c r="E263" s="50" t="s">
        <v>2008</v>
      </c>
      <c r="F263" s="50" t="s">
        <v>2008</v>
      </c>
      <c r="G263" s="50" t="s">
        <v>2009</v>
      </c>
      <c r="H263" s="50" t="s">
        <v>2007</v>
      </c>
    </row>
    <row r="264" spans="1:8" x14ac:dyDescent="0.2">
      <c r="A264" s="50" t="s">
        <v>941</v>
      </c>
      <c r="B264" s="50" t="s">
        <v>306</v>
      </c>
      <c r="C264" s="50" t="s">
        <v>1624</v>
      </c>
      <c r="D264" s="50" t="s">
        <v>1624</v>
      </c>
      <c r="E264" s="50" t="s">
        <v>2008</v>
      </c>
      <c r="F264" s="50" t="s">
        <v>2008</v>
      </c>
      <c r="G264" s="50" t="s">
        <v>2009</v>
      </c>
      <c r="H264" s="50" t="s">
        <v>2007</v>
      </c>
    </row>
    <row r="265" spans="1:8" x14ac:dyDescent="0.2">
      <c r="A265" s="50" t="s">
        <v>942</v>
      </c>
      <c r="B265" s="50" t="s">
        <v>310</v>
      </c>
      <c r="C265" s="50" t="s">
        <v>1624</v>
      </c>
      <c r="D265" s="50" t="s">
        <v>1624</v>
      </c>
      <c r="E265" s="50" t="s">
        <v>2008</v>
      </c>
      <c r="F265" s="50" t="s">
        <v>2008</v>
      </c>
      <c r="G265" s="50" t="s">
        <v>2009</v>
      </c>
      <c r="H265" s="50" t="s">
        <v>2007</v>
      </c>
    </row>
    <row r="266" spans="1:8" x14ac:dyDescent="0.2">
      <c r="A266" s="50" t="s">
        <v>943</v>
      </c>
      <c r="B266" s="50" t="s">
        <v>1459</v>
      </c>
      <c r="C266" s="50" t="s">
        <v>1624</v>
      </c>
      <c r="D266" s="50" t="s">
        <v>1624</v>
      </c>
      <c r="E266" s="50" t="s">
        <v>2008</v>
      </c>
      <c r="F266" s="50" t="s">
        <v>2008</v>
      </c>
      <c r="G266" s="50" t="s">
        <v>2009</v>
      </c>
      <c r="H266" s="50" t="s">
        <v>2007</v>
      </c>
    </row>
    <row r="267" spans="1:8" x14ac:dyDescent="0.2">
      <c r="A267" s="50" t="s">
        <v>945</v>
      </c>
      <c r="B267" s="50" t="s">
        <v>312</v>
      </c>
      <c r="C267" s="50" t="s">
        <v>1624</v>
      </c>
      <c r="D267" s="50" t="s">
        <v>1624</v>
      </c>
      <c r="E267" s="50" t="s">
        <v>2008</v>
      </c>
      <c r="F267" s="50" t="s">
        <v>2008</v>
      </c>
      <c r="G267" s="50" t="s">
        <v>2009</v>
      </c>
      <c r="H267" s="50" t="s">
        <v>2007</v>
      </c>
    </row>
    <row r="268" spans="1:8" x14ac:dyDescent="0.2">
      <c r="A268" s="50" t="s">
        <v>2499</v>
      </c>
      <c r="B268" s="50" t="s">
        <v>242</v>
      </c>
      <c r="C268" s="50" t="s">
        <v>1624</v>
      </c>
      <c r="D268" s="50" t="s">
        <v>1624</v>
      </c>
      <c r="E268" s="50" t="s">
        <v>2008</v>
      </c>
      <c r="F268" s="50" t="s">
        <v>2008</v>
      </c>
      <c r="G268" s="50" t="s">
        <v>2009</v>
      </c>
      <c r="H268" s="50" t="s">
        <v>2007</v>
      </c>
    </row>
    <row r="269" spans="1:8" x14ac:dyDescent="0.2">
      <c r="A269" s="50" t="s">
        <v>949</v>
      </c>
      <c r="B269" s="50" t="s">
        <v>79</v>
      </c>
      <c r="C269" s="50" t="s">
        <v>1624</v>
      </c>
      <c r="D269" s="50" t="s">
        <v>1624</v>
      </c>
      <c r="E269" s="50" t="s">
        <v>2005</v>
      </c>
      <c r="F269" s="50" t="s">
        <v>2005</v>
      </c>
      <c r="G269" s="50" t="s">
        <v>2010</v>
      </c>
      <c r="H269" s="50" t="s">
        <v>2007</v>
      </c>
    </row>
    <row r="270" spans="1:8" x14ac:dyDescent="0.2">
      <c r="A270" s="50" t="s">
        <v>2500</v>
      </c>
      <c r="B270" s="50" t="s">
        <v>1460</v>
      </c>
      <c r="C270" s="50" t="s">
        <v>1624</v>
      </c>
      <c r="D270" s="50" t="s">
        <v>1624</v>
      </c>
      <c r="E270" s="50" t="s">
        <v>2011</v>
      </c>
      <c r="F270" s="50" t="s">
        <v>2011</v>
      </c>
      <c r="G270" s="50" t="s">
        <v>2012</v>
      </c>
      <c r="H270" s="50" t="s">
        <v>2007</v>
      </c>
    </row>
    <row r="271" spans="1:8" x14ac:dyDescent="0.2">
      <c r="A271" s="50" t="s">
        <v>2501</v>
      </c>
      <c r="B271" s="50" t="s">
        <v>1461</v>
      </c>
      <c r="C271" s="50" t="s">
        <v>1624</v>
      </c>
      <c r="D271" s="50" t="s">
        <v>1624</v>
      </c>
      <c r="E271" s="50" t="s">
        <v>2005</v>
      </c>
      <c r="F271" s="50" t="s">
        <v>2005</v>
      </c>
      <c r="G271" s="50" t="s">
        <v>2013</v>
      </c>
      <c r="H271" s="50" t="s">
        <v>2007</v>
      </c>
    </row>
    <row r="272" spans="1:8" x14ac:dyDescent="0.2">
      <c r="A272" s="50" t="s">
        <v>2502</v>
      </c>
      <c r="B272" s="50" t="s">
        <v>1462</v>
      </c>
      <c r="C272" s="50" t="s">
        <v>1624</v>
      </c>
      <c r="D272" s="50" t="s">
        <v>1624</v>
      </c>
      <c r="E272" s="50" t="s">
        <v>2011</v>
      </c>
      <c r="F272" s="50" t="s">
        <v>2011</v>
      </c>
      <c r="G272" s="50" t="s">
        <v>2014</v>
      </c>
      <c r="H272" s="50" t="s">
        <v>2007</v>
      </c>
    </row>
    <row r="273" spans="1:8" x14ac:dyDescent="0.2">
      <c r="A273" s="50" t="s">
        <v>2503</v>
      </c>
      <c r="B273" s="50" t="s">
        <v>323</v>
      </c>
      <c r="C273" s="50" t="s">
        <v>1624</v>
      </c>
      <c r="D273" s="50" t="s">
        <v>1624</v>
      </c>
      <c r="E273" s="50" t="s">
        <v>2015</v>
      </c>
      <c r="F273" s="50" t="s">
        <v>2015</v>
      </c>
      <c r="G273" s="50" t="s">
        <v>2016</v>
      </c>
      <c r="H273" s="50" t="s">
        <v>2007</v>
      </c>
    </row>
    <row r="274" spans="1:8" x14ac:dyDescent="0.2">
      <c r="A274" s="50" t="s">
        <v>2504</v>
      </c>
      <c r="B274" s="50" t="s">
        <v>325</v>
      </c>
      <c r="C274" s="50" t="s">
        <v>1624</v>
      </c>
      <c r="D274" s="50" t="s">
        <v>1624</v>
      </c>
      <c r="E274" s="50" t="s">
        <v>2015</v>
      </c>
      <c r="F274" s="50" t="s">
        <v>2015</v>
      </c>
      <c r="G274" s="50" t="s">
        <v>2016</v>
      </c>
      <c r="H274" s="50" t="s">
        <v>2007</v>
      </c>
    </row>
    <row r="275" spans="1:8" x14ac:dyDescent="0.2">
      <c r="A275" s="50" t="s">
        <v>2505</v>
      </c>
      <c r="B275" s="50" t="s">
        <v>327</v>
      </c>
      <c r="C275" s="50" t="s">
        <v>1624</v>
      </c>
      <c r="D275" s="50" t="s">
        <v>1624</v>
      </c>
      <c r="E275" s="50" t="s">
        <v>2015</v>
      </c>
      <c r="F275" s="50" t="s">
        <v>2015</v>
      </c>
      <c r="G275" s="50" t="s">
        <v>2016</v>
      </c>
      <c r="H275" s="50" t="s">
        <v>2007</v>
      </c>
    </row>
    <row r="276" spans="1:8" x14ac:dyDescent="0.2">
      <c r="A276" s="50" t="s">
        <v>2506</v>
      </c>
      <c r="B276" s="50" t="s">
        <v>329</v>
      </c>
      <c r="C276" s="50" t="s">
        <v>1624</v>
      </c>
      <c r="D276" s="50" t="s">
        <v>1624</v>
      </c>
      <c r="E276" s="50" t="s">
        <v>2015</v>
      </c>
      <c r="F276" s="50" t="s">
        <v>2015</v>
      </c>
      <c r="G276" s="50" t="s">
        <v>2016</v>
      </c>
      <c r="H276" s="50" t="s">
        <v>2007</v>
      </c>
    </row>
    <row r="277" spans="1:8" x14ac:dyDescent="0.2">
      <c r="A277" s="50" t="s">
        <v>2507</v>
      </c>
      <c r="B277" s="50" t="s">
        <v>80</v>
      </c>
      <c r="C277" s="50" t="s">
        <v>1624</v>
      </c>
      <c r="D277" s="50" t="s">
        <v>1624</v>
      </c>
      <c r="E277" s="50" t="s">
        <v>2015</v>
      </c>
      <c r="F277" s="50" t="s">
        <v>2015</v>
      </c>
      <c r="G277" s="50" t="s">
        <v>2016</v>
      </c>
      <c r="H277" s="50" t="s">
        <v>2007</v>
      </c>
    </row>
    <row r="278" spans="1:8" x14ac:dyDescent="0.2">
      <c r="A278" s="50" t="s">
        <v>2508</v>
      </c>
      <c r="B278" s="50" t="s">
        <v>1463</v>
      </c>
      <c r="C278" s="50" t="s">
        <v>1624</v>
      </c>
      <c r="D278" s="50" t="s">
        <v>1624</v>
      </c>
      <c r="E278" s="50" t="s">
        <v>2015</v>
      </c>
      <c r="F278" s="50" t="s">
        <v>2015</v>
      </c>
      <c r="G278" s="50" t="s">
        <v>2016</v>
      </c>
      <c r="H278" s="50" t="s">
        <v>2007</v>
      </c>
    </row>
    <row r="279" spans="1:8" x14ac:dyDescent="0.2">
      <c r="A279" s="50" t="s">
        <v>2509</v>
      </c>
      <c r="B279" s="50" t="s">
        <v>2317</v>
      </c>
      <c r="C279" s="50" t="s">
        <v>1624</v>
      </c>
      <c r="D279" s="50" t="s">
        <v>1624</v>
      </c>
      <c r="E279" s="50" t="s">
        <v>2017</v>
      </c>
      <c r="F279" s="50" t="s">
        <v>2017</v>
      </c>
      <c r="G279" s="50" t="s">
        <v>2018</v>
      </c>
      <c r="H279" s="50" t="s">
        <v>2007</v>
      </c>
    </row>
    <row r="280" spans="1:8" x14ac:dyDescent="0.2">
      <c r="A280" s="50" t="s">
        <v>2510</v>
      </c>
      <c r="B280" s="50" t="s">
        <v>335</v>
      </c>
      <c r="C280" s="50" t="s">
        <v>1624</v>
      </c>
      <c r="D280" s="50" t="s">
        <v>1624</v>
      </c>
      <c r="E280" s="50" t="s">
        <v>2017</v>
      </c>
      <c r="F280" s="50" t="s">
        <v>2017</v>
      </c>
      <c r="G280" s="50" t="s">
        <v>2018</v>
      </c>
      <c r="H280" s="50" t="s">
        <v>2007</v>
      </c>
    </row>
    <row r="281" spans="1:8" x14ac:dyDescent="0.2">
      <c r="A281" s="50" t="s">
        <v>2511</v>
      </c>
      <c r="B281" s="50" t="s">
        <v>337</v>
      </c>
      <c r="C281" s="50" t="s">
        <v>1624</v>
      </c>
      <c r="D281" s="50" t="s">
        <v>1624</v>
      </c>
      <c r="E281" s="50" t="s">
        <v>2017</v>
      </c>
      <c r="F281" s="50" t="s">
        <v>2017</v>
      </c>
      <c r="G281" s="50" t="s">
        <v>2018</v>
      </c>
      <c r="H281" s="50" t="s">
        <v>2007</v>
      </c>
    </row>
    <row r="282" spans="1:8" x14ac:dyDescent="0.2">
      <c r="A282" s="50" t="s">
        <v>2512</v>
      </c>
      <c r="B282" s="50" t="s">
        <v>339</v>
      </c>
      <c r="C282" s="50" t="s">
        <v>1624</v>
      </c>
      <c r="D282" s="50" t="s">
        <v>1624</v>
      </c>
      <c r="E282" s="50" t="s">
        <v>2017</v>
      </c>
      <c r="F282" s="50" t="s">
        <v>2017</v>
      </c>
      <c r="G282" s="50" t="s">
        <v>2018</v>
      </c>
      <c r="H282" s="50" t="s">
        <v>2007</v>
      </c>
    </row>
    <row r="283" spans="1:8" x14ac:dyDescent="0.2">
      <c r="A283" s="50" t="s">
        <v>2513</v>
      </c>
      <c r="B283" s="50" t="s">
        <v>341</v>
      </c>
      <c r="C283" s="50" t="s">
        <v>1624</v>
      </c>
      <c r="D283" s="50" t="s">
        <v>1624</v>
      </c>
      <c r="E283" s="50" t="s">
        <v>2017</v>
      </c>
      <c r="F283" s="50" t="s">
        <v>2017</v>
      </c>
      <c r="G283" s="50" t="s">
        <v>2018</v>
      </c>
      <c r="H283" s="50" t="s">
        <v>2007</v>
      </c>
    </row>
    <row r="284" spans="1:8" x14ac:dyDescent="0.2">
      <c r="A284" s="50" t="s">
        <v>2514</v>
      </c>
      <c r="B284" s="50" t="s">
        <v>2305</v>
      </c>
      <c r="C284" s="50" t="s">
        <v>1624</v>
      </c>
      <c r="D284" s="50" t="s">
        <v>1624</v>
      </c>
      <c r="E284" s="50" t="s">
        <v>2017</v>
      </c>
      <c r="F284" s="50" t="s">
        <v>2017</v>
      </c>
      <c r="G284" s="50" t="s">
        <v>2018</v>
      </c>
      <c r="H284" s="50" t="s">
        <v>2007</v>
      </c>
    </row>
    <row r="285" spans="1:8" x14ac:dyDescent="0.2">
      <c r="A285" s="50" t="s">
        <v>2515</v>
      </c>
      <c r="B285" s="50" t="s">
        <v>1464</v>
      </c>
      <c r="C285" s="50" t="s">
        <v>1624</v>
      </c>
      <c r="D285" s="50" t="s">
        <v>1624</v>
      </c>
      <c r="E285" s="50" t="s">
        <v>2017</v>
      </c>
      <c r="F285" s="50" t="s">
        <v>2017</v>
      </c>
      <c r="G285" s="50" t="s">
        <v>2018</v>
      </c>
      <c r="H285" s="50" t="s">
        <v>2007</v>
      </c>
    </row>
    <row r="286" spans="1:8" x14ac:dyDescent="0.2">
      <c r="A286" s="50" t="s">
        <v>2516</v>
      </c>
      <c r="B286" s="50" t="s">
        <v>2306</v>
      </c>
      <c r="C286" s="50" t="s">
        <v>1624</v>
      </c>
      <c r="D286" s="50" t="s">
        <v>1624</v>
      </c>
      <c r="E286" s="50" t="s">
        <v>2017</v>
      </c>
      <c r="F286" s="50" t="s">
        <v>2017</v>
      </c>
      <c r="G286" s="50" t="s">
        <v>2018</v>
      </c>
      <c r="H286" s="50" t="s">
        <v>2007</v>
      </c>
    </row>
    <row r="287" spans="1:8" x14ac:dyDescent="0.2">
      <c r="A287" s="50" t="s">
        <v>2517</v>
      </c>
      <c r="B287" s="50" t="s">
        <v>349</v>
      </c>
      <c r="C287" s="50" t="s">
        <v>1624</v>
      </c>
      <c r="D287" s="50" t="s">
        <v>1624</v>
      </c>
      <c r="E287" s="50" t="s">
        <v>2017</v>
      </c>
      <c r="F287" s="50" t="s">
        <v>2017</v>
      </c>
      <c r="G287" s="50" t="s">
        <v>2018</v>
      </c>
      <c r="H287" s="50" t="s">
        <v>2007</v>
      </c>
    </row>
    <row r="288" spans="1:8" x14ac:dyDescent="0.2">
      <c r="A288" s="50" t="s">
        <v>2518</v>
      </c>
      <c r="B288" s="50" t="s">
        <v>2307</v>
      </c>
      <c r="C288" s="50" t="s">
        <v>1624</v>
      </c>
      <c r="D288" s="50" t="s">
        <v>1624</v>
      </c>
      <c r="E288" s="50" t="s">
        <v>2017</v>
      </c>
      <c r="F288" s="50" t="s">
        <v>2017</v>
      </c>
      <c r="G288" s="50" t="s">
        <v>2018</v>
      </c>
      <c r="H288" s="50" t="s">
        <v>2007</v>
      </c>
    </row>
    <row r="289" spans="1:8" x14ac:dyDescent="0.2">
      <c r="A289" s="50" t="s">
        <v>2519</v>
      </c>
      <c r="B289" s="50" t="s">
        <v>2308</v>
      </c>
      <c r="C289" s="50" t="s">
        <v>1624</v>
      </c>
      <c r="D289" s="50" t="s">
        <v>1624</v>
      </c>
      <c r="E289" s="50" t="s">
        <v>2017</v>
      </c>
      <c r="F289" s="50" t="s">
        <v>2017</v>
      </c>
      <c r="G289" s="50" t="s">
        <v>2018</v>
      </c>
      <c r="H289" s="50" t="s">
        <v>2007</v>
      </c>
    </row>
    <row r="290" spans="1:8" x14ac:dyDescent="0.2">
      <c r="A290" s="50" t="s">
        <v>2520</v>
      </c>
      <c r="B290" s="50" t="s">
        <v>2309</v>
      </c>
      <c r="C290" s="50" t="s">
        <v>1624</v>
      </c>
      <c r="D290" s="50" t="s">
        <v>1624</v>
      </c>
      <c r="E290" s="50" t="s">
        <v>2017</v>
      </c>
      <c r="F290" s="50" t="s">
        <v>2017</v>
      </c>
      <c r="G290" s="50" t="s">
        <v>2018</v>
      </c>
      <c r="H290" s="50" t="s">
        <v>2007</v>
      </c>
    </row>
    <row r="291" spans="1:8" x14ac:dyDescent="0.2">
      <c r="A291" s="50" t="s">
        <v>2521</v>
      </c>
      <c r="B291" s="50" t="s">
        <v>2310</v>
      </c>
      <c r="C291" s="50" t="s">
        <v>1624</v>
      </c>
      <c r="D291" s="50" t="s">
        <v>1624</v>
      </c>
      <c r="E291" s="50" t="s">
        <v>2017</v>
      </c>
      <c r="F291" s="50" t="s">
        <v>2017</v>
      </c>
      <c r="G291" s="50" t="s">
        <v>2018</v>
      </c>
      <c r="H291" s="50" t="s">
        <v>2007</v>
      </c>
    </row>
    <row r="292" spans="1:8" x14ac:dyDescent="0.2">
      <c r="A292" s="50" t="s">
        <v>2522</v>
      </c>
      <c r="B292" s="50" t="s">
        <v>85</v>
      </c>
      <c r="C292" s="50" t="s">
        <v>1624</v>
      </c>
      <c r="D292" s="50" t="s">
        <v>1624</v>
      </c>
      <c r="E292" s="50" t="s">
        <v>2017</v>
      </c>
      <c r="F292" s="50" t="s">
        <v>2017</v>
      </c>
      <c r="G292" s="50" t="s">
        <v>2018</v>
      </c>
      <c r="H292" s="50" t="s">
        <v>2007</v>
      </c>
    </row>
    <row r="293" spans="1:8" x14ac:dyDescent="0.2">
      <c r="A293" s="50" t="s">
        <v>2523</v>
      </c>
      <c r="B293" s="50" t="s">
        <v>1465</v>
      </c>
      <c r="C293" s="50" t="s">
        <v>1624</v>
      </c>
      <c r="D293" s="50" t="s">
        <v>1624</v>
      </c>
      <c r="E293" s="50" t="s">
        <v>2017</v>
      </c>
      <c r="F293" s="50" t="s">
        <v>2017</v>
      </c>
      <c r="G293" s="50" t="s">
        <v>2018</v>
      </c>
      <c r="H293" s="50" t="s">
        <v>2007</v>
      </c>
    </row>
    <row r="294" spans="1:8" x14ac:dyDescent="0.2">
      <c r="A294" s="50" t="s">
        <v>2524</v>
      </c>
      <c r="B294" s="50" t="s">
        <v>86</v>
      </c>
      <c r="C294" s="50" t="s">
        <v>1624</v>
      </c>
      <c r="D294" s="50" t="s">
        <v>1624</v>
      </c>
      <c r="E294" s="50" t="s">
        <v>2008</v>
      </c>
      <c r="F294" s="50" t="s">
        <v>2008</v>
      </c>
      <c r="G294" s="50" t="s">
        <v>2019</v>
      </c>
      <c r="H294" s="50" t="s">
        <v>2007</v>
      </c>
    </row>
    <row r="295" spans="1:8" x14ac:dyDescent="0.2">
      <c r="A295" s="50" t="s">
        <v>2525</v>
      </c>
      <c r="B295" s="50" t="s">
        <v>87</v>
      </c>
      <c r="C295" s="50" t="s">
        <v>1624</v>
      </c>
      <c r="D295" s="50" t="s">
        <v>1624</v>
      </c>
      <c r="E295" s="50" t="s">
        <v>2008</v>
      </c>
      <c r="F295" s="50" t="s">
        <v>2008</v>
      </c>
      <c r="G295" s="50" t="s">
        <v>2019</v>
      </c>
      <c r="H295" s="50" t="s">
        <v>2007</v>
      </c>
    </row>
    <row r="296" spans="1:8" x14ac:dyDescent="0.2">
      <c r="A296" s="50" t="s">
        <v>2526</v>
      </c>
      <c r="B296" s="50" t="s">
        <v>88</v>
      </c>
      <c r="C296" s="50" t="s">
        <v>1624</v>
      </c>
      <c r="D296" s="50" t="s">
        <v>1624</v>
      </c>
      <c r="E296" s="50" t="s">
        <v>2008</v>
      </c>
      <c r="F296" s="50" t="s">
        <v>2008</v>
      </c>
      <c r="G296" s="50" t="s">
        <v>2019</v>
      </c>
      <c r="H296" s="50" t="s">
        <v>2007</v>
      </c>
    </row>
    <row r="297" spans="1:8" x14ac:dyDescent="0.2">
      <c r="A297" s="50" t="s">
        <v>2527</v>
      </c>
      <c r="B297" s="50" t="s">
        <v>89</v>
      </c>
      <c r="C297" s="50" t="s">
        <v>1624</v>
      </c>
      <c r="D297" s="50" t="s">
        <v>1624</v>
      </c>
      <c r="E297" s="50" t="s">
        <v>2008</v>
      </c>
      <c r="F297" s="50" t="s">
        <v>2008</v>
      </c>
      <c r="G297" s="50" t="s">
        <v>2019</v>
      </c>
      <c r="H297" s="50" t="s">
        <v>2007</v>
      </c>
    </row>
    <row r="298" spans="1:8" x14ac:dyDescent="0.2">
      <c r="A298" s="50" t="s">
        <v>2528</v>
      </c>
      <c r="B298" s="50" t="s">
        <v>90</v>
      </c>
      <c r="C298" s="50" t="s">
        <v>1624</v>
      </c>
      <c r="D298" s="50" t="s">
        <v>1624</v>
      </c>
      <c r="E298" s="50" t="s">
        <v>2008</v>
      </c>
      <c r="F298" s="50" t="s">
        <v>2008</v>
      </c>
      <c r="G298" s="50" t="s">
        <v>2019</v>
      </c>
      <c r="H298" s="50" t="s">
        <v>2007</v>
      </c>
    </row>
    <row r="299" spans="1:8" x14ac:dyDescent="0.2">
      <c r="A299" s="50" t="s">
        <v>2529</v>
      </c>
      <c r="B299" s="50" t="s">
        <v>91</v>
      </c>
      <c r="C299" s="50" t="s">
        <v>1624</v>
      </c>
      <c r="D299" s="50" t="s">
        <v>1624</v>
      </c>
      <c r="E299" s="50" t="s">
        <v>2008</v>
      </c>
      <c r="F299" s="50" t="s">
        <v>2008</v>
      </c>
      <c r="G299" s="50" t="s">
        <v>2019</v>
      </c>
      <c r="H299" s="50" t="s">
        <v>2007</v>
      </c>
    </row>
    <row r="300" spans="1:8" x14ac:dyDescent="0.2">
      <c r="A300" s="50" t="s">
        <v>2530</v>
      </c>
      <c r="B300" s="50" t="s">
        <v>364</v>
      </c>
      <c r="C300" s="50" t="s">
        <v>1624</v>
      </c>
      <c r="D300" s="50" t="s">
        <v>1624</v>
      </c>
      <c r="E300" s="50" t="s">
        <v>2008</v>
      </c>
      <c r="F300" s="50" t="s">
        <v>2008</v>
      </c>
      <c r="G300" s="50" t="s">
        <v>2019</v>
      </c>
      <c r="H300" s="50" t="s">
        <v>2007</v>
      </c>
    </row>
    <row r="301" spans="1:8" x14ac:dyDescent="0.2">
      <c r="A301" s="50" t="s">
        <v>968</v>
      </c>
      <c r="B301" s="50" t="s">
        <v>1467</v>
      </c>
      <c r="C301" s="50" t="s">
        <v>1624</v>
      </c>
      <c r="D301" s="50" t="s">
        <v>1624</v>
      </c>
      <c r="E301" s="50" t="s">
        <v>2008</v>
      </c>
      <c r="F301" s="50" t="s">
        <v>2008</v>
      </c>
      <c r="G301" s="50" t="s">
        <v>2020</v>
      </c>
      <c r="H301" s="50" t="s">
        <v>2007</v>
      </c>
    </row>
    <row r="302" spans="1:8" x14ac:dyDescent="0.2">
      <c r="A302" s="50" t="s">
        <v>977</v>
      </c>
      <c r="B302" s="50" t="s">
        <v>1468</v>
      </c>
      <c r="C302" s="50" t="s">
        <v>1624</v>
      </c>
      <c r="D302" s="50" t="s">
        <v>1624</v>
      </c>
      <c r="E302" s="50" t="s">
        <v>2008</v>
      </c>
      <c r="F302" s="50" t="s">
        <v>2008</v>
      </c>
      <c r="G302" s="50" t="s">
        <v>2020</v>
      </c>
      <c r="H302" s="50" t="s">
        <v>2007</v>
      </c>
    </row>
    <row r="303" spans="1:8" x14ac:dyDescent="0.2">
      <c r="A303" s="50" t="s">
        <v>986</v>
      </c>
      <c r="B303" s="50" t="s">
        <v>93</v>
      </c>
      <c r="C303" s="50" t="s">
        <v>1624</v>
      </c>
      <c r="D303" s="50" t="s">
        <v>1624</v>
      </c>
      <c r="E303" s="50" t="s">
        <v>2008</v>
      </c>
      <c r="F303" s="50" t="s">
        <v>2008</v>
      </c>
      <c r="G303" s="50" t="s">
        <v>2020</v>
      </c>
      <c r="H303" s="50" t="s">
        <v>2007</v>
      </c>
    </row>
    <row r="304" spans="1:8" x14ac:dyDescent="0.2">
      <c r="A304" s="50" t="s">
        <v>2531</v>
      </c>
      <c r="B304" s="50" t="s">
        <v>94</v>
      </c>
      <c r="C304" s="50" t="s">
        <v>1624</v>
      </c>
      <c r="D304" s="50" t="s">
        <v>1624</v>
      </c>
      <c r="E304" s="50" t="s">
        <v>2008</v>
      </c>
      <c r="F304" s="50" t="s">
        <v>2008</v>
      </c>
      <c r="G304" s="50" t="s">
        <v>2020</v>
      </c>
      <c r="H304" s="50" t="s">
        <v>2007</v>
      </c>
    </row>
    <row r="305" spans="1:8" x14ac:dyDescent="0.2">
      <c r="A305" s="50" t="s">
        <v>2532</v>
      </c>
      <c r="B305" s="50" t="s">
        <v>95</v>
      </c>
      <c r="C305" s="50" t="s">
        <v>1624</v>
      </c>
      <c r="D305" s="50" t="s">
        <v>1624</v>
      </c>
      <c r="E305" s="50" t="s">
        <v>2008</v>
      </c>
      <c r="F305" s="50" t="s">
        <v>2008</v>
      </c>
      <c r="G305" s="50" t="s">
        <v>2020</v>
      </c>
      <c r="H305" s="50" t="s">
        <v>2007</v>
      </c>
    </row>
    <row r="306" spans="1:8" x14ac:dyDescent="0.2">
      <c r="A306" s="50" t="s">
        <v>2533</v>
      </c>
      <c r="B306" s="50" t="s">
        <v>96</v>
      </c>
      <c r="C306" s="50" t="s">
        <v>1624</v>
      </c>
      <c r="D306" s="50" t="s">
        <v>1624</v>
      </c>
      <c r="E306" s="50" t="s">
        <v>2008</v>
      </c>
      <c r="F306" s="50" t="s">
        <v>2008</v>
      </c>
      <c r="G306" s="50" t="s">
        <v>2020</v>
      </c>
      <c r="H306" s="50" t="s">
        <v>2007</v>
      </c>
    </row>
    <row r="307" spans="1:8" x14ac:dyDescent="0.2">
      <c r="A307" s="50" t="s">
        <v>2534</v>
      </c>
      <c r="B307" s="50" t="s">
        <v>97</v>
      </c>
      <c r="C307" s="50" t="s">
        <v>1624</v>
      </c>
      <c r="D307" s="50" t="s">
        <v>1624</v>
      </c>
      <c r="E307" s="50" t="s">
        <v>2008</v>
      </c>
      <c r="F307" s="50" t="s">
        <v>2008</v>
      </c>
      <c r="G307" s="50" t="s">
        <v>2020</v>
      </c>
      <c r="H307" s="50" t="s">
        <v>2007</v>
      </c>
    </row>
    <row r="308" spans="1:8" x14ac:dyDescent="0.2">
      <c r="A308" s="50" t="s">
        <v>2535</v>
      </c>
      <c r="B308" s="50" t="s">
        <v>98</v>
      </c>
      <c r="C308" s="50" t="s">
        <v>1624</v>
      </c>
      <c r="D308" s="50" t="s">
        <v>1624</v>
      </c>
      <c r="E308" s="50" t="s">
        <v>2008</v>
      </c>
      <c r="F308" s="50" t="s">
        <v>2008</v>
      </c>
      <c r="G308" s="50" t="s">
        <v>2020</v>
      </c>
      <c r="H308" s="50" t="s">
        <v>2007</v>
      </c>
    </row>
    <row r="309" spans="1:8" x14ac:dyDescent="0.2">
      <c r="A309" s="50" t="s">
        <v>2536</v>
      </c>
      <c r="B309" s="50" t="s">
        <v>215</v>
      </c>
      <c r="C309" s="50" t="s">
        <v>1624</v>
      </c>
      <c r="D309" s="50" t="s">
        <v>1624</v>
      </c>
      <c r="E309" s="50" t="s">
        <v>2008</v>
      </c>
      <c r="F309" s="50" t="s">
        <v>2008</v>
      </c>
      <c r="G309" s="50" t="s">
        <v>2020</v>
      </c>
      <c r="H309" s="50" t="s">
        <v>2007</v>
      </c>
    </row>
    <row r="310" spans="1:8" x14ac:dyDescent="0.2">
      <c r="A310" s="50" t="s">
        <v>2537</v>
      </c>
      <c r="B310" s="50" t="s">
        <v>99</v>
      </c>
      <c r="C310" s="50" t="s">
        <v>1624</v>
      </c>
      <c r="D310" s="50" t="s">
        <v>1624</v>
      </c>
      <c r="E310" s="50" t="s">
        <v>2008</v>
      </c>
      <c r="F310" s="50" t="s">
        <v>2008</v>
      </c>
      <c r="G310" s="50" t="s">
        <v>2020</v>
      </c>
      <c r="H310" s="50" t="s">
        <v>2007</v>
      </c>
    </row>
    <row r="311" spans="1:8" x14ac:dyDescent="0.2">
      <c r="A311" s="50" t="s">
        <v>2538</v>
      </c>
      <c r="B311" s="50" t="s">
        <v>376</v>
      </c>
      <c r="C311" s="50" t="s">
        <v>1624</v>
      </c>
      <c r="D311" s="50" t="s">
        <v>1624</v>
      </c>
      <c r="E311" s="50" t="s">
        <v>2008</v>
      </c>
      <c r="F311" s="50" t="s">
        <v>2008</v>
      </c>
      <c r="G311" s="50" t="s">
        <v>2020</v>
      </c>
      <c r="H311" s="50" t="s">
        <v>2007</v>
      </c>
    </row>
    <row r="312" spans="1:8" x14ac:dyDescent="0.2">
      <c r="A312" s="50" t="s">
        <v>2539</v>
      </c>
      <c r="B312" s="50" t="s">
        <v>100</v>
      </c>
      <c r="C312" s="50" t="s">
        <v>1624</v>
      </c>
      <c r="D312" s="50" t="s">
        <v>1624</v>
      </c>
      <c r="E312" s="50" t="s">
        <v>2021</v>
      </c>
      <c r="F312" s="50" t="s">
        <v>2021</v>
      </c>
      <c r="G312" s="50" t="s">
        <v>2022</v>
      </c>
      <c r="H312" s="50" t="s">
        <v>2007</v>
      </c>
    </row>
    <row r="313" spans="1:8" x14ac:dyDescent="0.2">
      <c r="A313" s="50" t="s">
        <v>2540</v>
      </c>
      <c r="B313" s="50" t="s">
        <v>101</v>
      </c>
      <c r="C313" s="50" t="s">
        <v>1624</v>
      </c>
      <c r="D313" s="50" t="s">
        <v>1624</v>
      </c>
      <c r="E313" s="50" t="s">
        <v>2021</v>
      </c>
      <c r="F313" s="50" t="s">
        <v>2021</v>
      </c>
      <c r="G313" s="50" t="s">
        <v>2022</v>
      </c>
      <c r="H313" s="50" t="s">
        <v>2007</v>
      </c>
    </row>
    <row r="314" spans="1:8" x14ac:dyDescent="0.2">
      <c r="A314" s="50" t="s">
        <v>2541</v>
      </c>
      <c r="B314" s="50" t="s">
        <v>1469</v>
      </c>
      <c r="C314" s="50" t="s">
        <v>1624</v>
      </c>
      <c r="D314" s="50" t="s">
        <v>1624</v>
      </c>
      <c r="E314" s="50" t="s">
        <v>2021</v>
      </c>
      <c r="F314" s="50" t="s">
        <v>2021</v>
      </c>
      <c r="G314" s="50" t="s">
        <v>2022</v>
      </c>
      <c r="H314" s="50" t="s">
        <v>2007</v>
      </c>
    </row>
    <row r="315" spans="1:8" x14ac:dyDescent="0.2">
      <c r="A315" s="50" t="s">
        <v>2542</v>
      </c>
      <c r="B315" s="50" t="s">
        <v>1470</v>
      </c>
      <c r="C315" s="50" t="s">
        <v>1624</v>
      </c>
      <c r="D315" s="50" t="s">
        <v>1624</v>
      </c>
      <c r="E315" s="50" t="s">
        <v>2021</v>
      </c>
      <c r="F315" s="50" t="s">
        <v>2021</v>
      </c>
      <c r="G315" s="50" t="s">
        <v>2022</v>
      </c>
      <c r="H315" s="50" t="s">
        <v>2007</v>
      </c>
    </row>
    <row r="316" spans="1:8" x14ac:dyDescent="0.2">
      <c r="A316" s="50" t="s">
        <v>2543</v>
      </c>
      <c r="B316" s="50" t="s">
        <v>386</v>
      </c>
      <c r="C316" s="50" t="s">
        <v>1624</v>
      </c>
      <c r="D316" s="50" t="s">
        <v>1624</v>
      </c>
      <c r="E316" s="50" t="s">
        <v>2021</v>
      </c>
      <c r="F316" s="50" t="s">
        <v>2021</v>
      </c>
      <c r="G316" s="50" t="s">
        <v>2022</v>
      </c>
      <c r="H316" s="50" t="s">
        <v>2007</v>
      </c>
    </row>
    <row r="317" spans="1:8" x14ac:dyDescent="0.2">
      <c r="A317" s="50" t="s">
        <v>2544</v>
      </c>
      <c r="B317" s="50" t="s">
        <v>1471</v>
      </c>
      <c r="C317" s="50" t="s">
        <v>1624</v>
      </c>
      <c r="D317" s="50" t="s">
        <v>1624</v>
      </c>
      <c r="E317" s="50" t="s">
        <v>2023</v>
      </c>
      <c r="F317" s="50" t="s">
        <v>2023</v>
      </c>
      <c r="G317" s="50" t="s">
        <v>2024</v>
      </c>
      <c r="H317" s="50" t="s">
        <v>2007</v>
      </c>
    </row>
    <row r="318" spans="1:8" x14ac:dyDescent="0.2">
      <c r="A318" s="50" t="s">
        <v>2545</v>
      </c>
      <c r="B318" s="50" t="s">
        <v>1472</v>
      </c>
      <c r="C318" s="50" t="s">
        <v>1624</v>
      </c>
      <c r="D318" s="50" t="s">
        <v>1624</v>
      </c>
      <c r="E318" s="50" t="s">
        <v>2023</v>
      </c>
      <c r="F318" s="50" t="s">
        <v>2023</v>
      </c>
      <c r="G318" s="50" t="s">
        <v>2024</v>
      </c>
      <c r="H318" s="50" t="s">
        <v>2007</v>
      </c>
    </row>
    <row r="319" spans="1:8" x14ac:dyDescent="0.2">
      <c r="A319" s="50" t="s">
        <v>2546</v>
      </c>
      <c r="B319" s="50" t="s">
        <v>1473</v>
      </c>
      <c r="C319" s="50" t="s">
        <v>1624</v>
      </c>
      <c r="D319" s="50" t="s">
        <v>1624</v>
      </c>
      <c r="E319" s="50" t="s">
        <v>2023</v>
      </c>
      <c r="F319" s="50" t="s">
        <v>2023</v>
      </c>
      <c r="G319" s="50" t="s">
        <v>2024</v>
      </c>
      <c r="H319" s="50" t="s">
        <v>2007</v>
      </c>
    </row>
    <row r="320" spans="1:8" x14ac:dyDescent="0.2">
      <c r="A320" s="50" t="s">
        <v>2547</v>
      </c>
      <c r="B320" s="50" t="s">
        <v>390</v>
      </c>
      <c r="C320" s="50" t="s">
        <v>1624</v>
      </c>
      <c r="D320" s="50" t="s">
        <v>1624</v>
      </c>
      <c r="E320" s="50" t="s">
        <v>2023</v>
      </c>
      <c r="F320" s="50" t="s">
        <v>2023</v>
      </c>
      <c r="G320" s="50" t="s">
        <v>2024</v>
      </c>
      <c r="H320" s="50" t="s">
        <v>2007</v>
      </c>
    </row>
    <row r="321" spans="1:8" x14ac:dyDescent="0.2">
      <c r="A321" s="50" t="s">
        <v>2548</v>
      </c>
      <c r="B321" s="50" t="s">
        <v>6</v>
      </c>
      <c r="C321" s="50" t="s">
        <v>1624</v>
      </c>
      <c r="D321" s="50" t="s">
        <v>1624</v>
      </c>
      <c r="E321" s="50" t="s">
        <v>2025</v>
      </c>
      <c r="F321" s="50" t="s">
        <v>2025</v>
      </c>
      <c r="G321" s="50" t="s">
        <v>2026</v>
      </c>
      <c r="H321" s="50" t="s">
        <v>2007</v>
      </c>
    </row>
    <row r="322" spans="1:8" x14ac:dyDescent="0.2">
      <c r="A322" s="50" t="s">
        <v>2549</v>
      </c>
      <c r="B322" s="50" t="s">
        <v>7</v>
      </c>
      <c r="C322" s="50" t="s">
        <v>1624</v>
      </c>
      <c r="D322" s="50" t="s">
        <v>1624</v>
      </c>
      <c r="E322" s="50" t="s">
        <v>2025</v>
      </c>
      <c r="F322" s="50" t="s">
        <v>2025</v>
      </c>
      <c r="G322" s="50" t="s">
        <v>2026</v>
      </c>
      <c r="H322" s="50" t="s">
        <v>2007</v>
      </c>
    </row>
    <row r="323" spans="1:8" x14ac:dyDescent="0.2">
      <c r="A323" s="50" t="s">
        <v>2550</v>
      </c>
      <c r="B323" s="50" t="s">
        <v>405</v>
      </c>
      <c r="C323" s="50" t="s">
        <v>1624</v>
      </c>
      <c r="D323" s="50" t="s">
        <v>1624</v>
      </c>
      <c r="E323" s="50" t="s">
        <v>2025</v>
      </c>
      <c r="F323" s="50" t="s">
        <v>2025</v>
      </c>
      <c r="G323" s="50" t="s">
        <v>2026</v>
      </c>
      <c r="H323" s="50" t="s">
        <v>2007</v>
      </c>
    </row>
    <row r="324" spans="1:8" x14ac:dyDescent="0.2">
      <c r="A324" s="50" t="s">
        <v>2551</v>
      </c>
      <c r="B324" s="50" t="s">
        <v>407</v>
      </c>
      <c r="C324" s="50" t="s">
        <v>1624</v>
      </c>
      <c r="D324" s="50" t="s">
        <v>1624</v>
      </c>
      <c r="E324" s="50" t="s">
        <v>2025</v>
      </c>
      <c r="F324" s="50" t="s">
        <v>2025</v>
      </c>
      <c r="G324" s="50" t="s">
        <v>2026</v>
      </c>
      <c r="H324" s="50" t="s">
        <v>2007</v>
      </c>
    </row>
    <row r="325" spans="1:8" x14ac:dyDescent="0.2">
      <c r="A325" s="50" t="s">
        <v>2552</v>
      </c>
      <c r="B325" s="50" t="s">
        <v>1474</v>
      </c>
      <c r="C325" s="50" t="s">
        <v>1624</v>
      </c>
      <c r="D325" s="50" t="s">
        <v>1624</v>
      </c>
      <c r="E325" s="50" t="s">
        <v>2027</v>
      </c>
      <c r="F325" s="50" t="s">
        <v>2027</v>
      </c>
      <c r="G325" s="50" t="s">
        <v>2028</v>
      </c>
      <c r="H325" s="50" t="s">
        <v>2007</v>
      </c>
    </row>
    <row r="326" spans="1:8" x14ac:dyDescent="0.2">
      <c r="A326" s="50" t="s">
        <v>2553</v>
      </c>
      <c r="B326" s="50" t="s">
        <v>1475</v>
      </c>
      <c r="C326" s="50" t="s">
        <v>1624</v>
      </c>
      <c r="D326" s="50" t="s">
        <v>1624</v>
      </c>
      <c r="E326" s="50" t="s">
        <v>2027</v>
      </c>
      <c r="F326" s="50" t="s">
        <v>2027</v>
      </c>
      <c r="G326" s="50" t="s">
        <v>2028</v>
      </c>
      <c r="H326" s="50" t="s">
        <v>2007</v>
      </c>
    </row>
    <row r="327" spans="1:8" x14ac:dyDescent="0.2">
      <c r="A327" s="50" t="s">
        <v>2554</v>
      </c>
      <c r="B327" s="50" t="s">
        <v>1476</v>
      </c>
      <c r="C327" s="50" t="s">
        <v>1624</v>
      </c>
      <c r="D327" s="50" t="s">
        <v>1624</v>
      </c>
      <c r="E327" s="50" t="s">
        <v>2027</v>
      </c>
      <c r="F327" s="50" t="s">
        <v>2027</v>
      </c>
      <c r="G327" s="50" t="s">
        <v>2028</v>
      </c>
      <c r="H327" s="50" t="s">
        <v>2007</v>
      </c>
    </row>
    <row r="328" spans="1:8" x14ac:dyDescent="0.2">
      <c r="A328" s="50" t="s">
        <v>2555</v>
      </c>
      <c r="B328" s="50" t="s">
        <v>1477</v>
      </c>
      <c r="C328" s="50" t="s">
        <v>1624</v>
      </c>
      <c r="D328" s="50" t="s">
        <v>1624</v>
      </c>
      <c r="E328" s="50" t="s">
        <v>2027</v>
      </c>
      <c r="F328" s="50" t="s">
        <v>2027</v>
      </c>
      <c r="G328" s="50" t="s">
        <v>2028</v>
      </c>
      <c r="H328" s="50" t="s">
        <v>2007</v>
      </c>
    </row>
    <row r="329" spans="1:8" x14ac:dyDescent="0.2">
      <c r="A329" s="50" t="s">
        <v>2556</v>
      </c>
      <c r="B329" s="50" t="s">
        <v>1478</v>
      </c>
      <c r="C329" s="50" t="s">
        <v>1624</v>
      </c>
      <c r="D329" s="50" t="s">
        <v>1624</v>
      </c>
      <c r="E329" s="50" t="s">
        <v>2027</v>
      </c>
      <c r="F329" s="50" t="s">
        <v>2027</v>
      </c>
      <c r="G329" s="50" t="s">
        <v>2028</v>
      </c>
      <c r="H329" s="50" t="s">
        <v>2007</v>
      </c>
    </row>
    <row r="330" spans="1:8" x14ac:dyDescent="0.2">
      <c r="A330" s="50" t="s">
        <v>2557</v>
      </c>
      <c r="B330" s="50" t="s">
        <v>1479</v>
      </c>
      <c r="C330" s="50" t="s">
        <v>1624</v>
      </c>
      <c r="D330" s="50" t="s">
        <v>1624</v>
      </c>
      <c r="E330" s="50" t="s">
        <v>2027</v>
      </c>
      <c r="F330" s="50" t="s">
        <v>2027</v>
      </c>
      <c r="G330" s="50" t="s">
        <v>2028</v>
      </c>
      <c r="H330" s="50" t="s">
        <v>2007</v>
      </c>
    </row>
    <row r="331" spans="1:8" x14ac:dyDescent="0.2">
      <c r="A331" s="50" t="s">
        <v>2558</v>
      </c>
      <c r="B331" s="50" t="s">
        <v>1480</v>
      </c>
      <c r="C331" s="50" t="s">
        <v>1624</v>
      </c>
      <c r="D331" s="50" t="s">
        <v>1624</v>
      </c>
      <c r="E331" s="50" t="s">
        <v>2027</v>
      </c>
      <c r="F331" s="50" t="s">
        <v>2027</v>
      </c>
      <c r="G331" s="50" t="s">
        <v>2028</v>
      </c>
      <c r="H331" s="50" t="s">
        <v>2007</v>
      </c>
    </row>
    <row r="332" spans="1:8" x14ac:dyDescent="0.2">
      <c r="A332" s="50" t="s">
        <v>2559</v>
      </c>
      <c r="B332" s="50" t="s">
        <v>1481</v>
      </c>
      <c r="C332" s="50" t="s">
        <v>1624</v>
      </c>
      <c r="D332" s="50" t="s">
        <v>1624</v>
      </c>
      <c r="E332" s="50" t="s">
        <v>2027</v>
      </c>
      <c r="F332" s="50" t="s">
        <v>2027</v>
      </c>
      <c r="G332" s="50" t="s">
        <v>2028</v>
      </c>
      <c r="H332" s="50" t="s">
        <v>2007</v>
      </c>
    </row>
    <row r="333" spans="1:8" x14ac:dyDescent="0.2">
      <c r="A333" s="50" t="s">
        <v>2560</v>
      </c>
      <c r="B333" s="50" t="s">
        <v>1482</v>
      </c>
      <c r="C333" s="50" t="s">
        <v>1624</v>
      </c>
      <c r="D333" s="50" t="s">
        <v>1624</v>
      </c>
      <c r="E333" s="50" t="s">
        <v>2027</v>
      </c>
      <c r="F333" s="50" t="s">
        <v>2027</v>
      </c>
      <c r="G333" s="50" t="s">
        <v>2028</v>
      </c>
      <c r="H333" s="50" t="s">
        <v>2007</v>
      </c>
    </row>
    <row r="334" spans="1:8" x14ac:dyDescent="0.2">
      <c r="A334" s="50" t="s">
        <v>2561</v>
      </c>
      <c r="B334" s="50" t="s">
        <v>1483</v>
      </c>
      <c r="C334" s="50" t="s">
        <v>1624</v>
      </c>
      <c r="D334" s="50" t="s">
        <v>1624</v>
      </c>
      <c r="E334" s="50" t="s">
        <v>2027</v>
      </c>
      <c r="F334" s="50" t="s">
        <v>2027</v>
      </c>
      <c r="G334" s="50" t="s">
        <v>2028</v>
      </c>
      <c r="H334" s="50" t="s">
        <v>2007</v>
      </c>
    </row>
    <row r="335" spans="1:8" x14ac:dyDescent="0.2">
      <c r="A335" s="50" t="s">
        <v>2562</v>
      </c>
      <c r="B335" s="50" t="s">
        <v>1484</v>
      </c>
      <c r="C335" s="50" t="s">
        <v>1624</v>
      </c>
      <c r="D335" s="50" t="s">
        <v>1624</v>
      </c>
      <c r="E335" s="50" t="s">
        <v>2027</v>
      </c>
      <c r="F335" s="50" t="s">
        <v>2027</v>
      </c>
      <c r="G335" s="50" t="s">
        <v>2028</v>
      </c>
      <c r="H335" s="50" t="s">
        <v>2007</v>
      </c>
    </row>
    <row r="336" spans="1:8" x14ac:dyDescent="0.2">
      <c r="A336" s="50" t="s">
        <v>2563</v>
      </c>
      <c r="B336" s="50" t="s">
        <v>1485</v>
      </c>
      <c r="C336" s="50" t="s">
        <v>1624</v>
      </c>
      <c r="D336" s="50" t="s">
        <v>1624</v>
      </c>
      <c r="E336" s="50" t="s">
        <v>2027</v>
      </c>
      <c r="F336" s="50" t="s">
        <v>2027</v>
      </c>
      <c r="G336" s="50" t="s">
        <v>2028</v>
      </c>
      <c r="H336" s="50" t="s">
        <v>2007</v>
      </c>
    </row>
    <row r="337" spans="1:8" x14ac:dyDescent="0.2">
      <c r="A337" s="50" t="s">
        <v>2564</v>
      </c>
      <c r="B337" s="50" t="s">
        <v>104</v>
      </c>
      <c r="C337" s="50" t="s">
        <v>1624</v>
      </c>
      <c r="D337" s="50" t="s">
        <v>1624</v>
      </c>
      <c r="E337" s="50" t="s">
        <v>2029</v>
      </c>
      <c r="F337" s="50" t="s">
        <v>2029</v>
      </c>
      <c r="G337" s="50" t="s">
        <v>2030</v>
      </c>
      <c r="H337" s="50" t="s">
        <v>2007</v>
      </c>
    </row>
    <row r="338" spans="1:8" x14ac:dyDescent="0.2">
      <c r="A338" s="50" t="s">
        <v>1014</v>
      </c>
      <c r="B338" s="50" t="s">
        <v>411</v>
      </c>
      <c r="C338" s="50" t="s">
        <v>1624</v>
      </c>
      <c r="D338" s="50" t="s">
        <v>1624</v>
      </c>
      <c r="E338" s="50" t="s">
        <v>2029</v>
      </c>
      <c r="F338" s="50" t="s">
        <v>2029</v>
      </c>
      <c r="G338" s="50" t="s">
        <v>2030</v>
      </c>
      <c r="H338" s="50" t="s">
        <v>2007</v>
      </c>
    </row>
    <row r="339" spans="1:8" x14ac:dyDescent="0.2">
      <c r="A339" s="50" t="s">
        <v>2565</v>
      </c>
      <c r="B339" s="50" t="s">
        <v>419</v>
      </c>
      <c r="C339" s="50" t="s">
        <v>1624</v>
      </c>
      <c r="D339" s="50" t="s">
        <v>1624</v>
      </c>
      <c r="E339" s="50" t="s">
        <v>2031</v>
      </c>
      <c r="F339" s="50" t="s">
        <v>2031</v>
      </c>
      <c r="G339" s="50" t="s">
        <v>2032</v>
      </c>
      <c r="H339" s="50" t="s">
        <v>2007</v>
      </c>
    </row>
    <row r="340" spans="1:8" x14ac:dyDescent="0.2">
      <c r="A340" s="50" t="s">
        <v>2566</v>
      </c>
      <c r="B340" s="50" t="s">
        <v>421</v>
      </c>
      <c r="C340" s="50" t="s">
        <v>1624</v>
      </c>
      <c r="D340" s="50" t="s">
        <v>1624</v>
      </c>
      <c r="E340" s="50" t="s">
        <v>2031</v>
      </c>
      <c r="F340" s="50" t="s">
        <v>2031</v>
      </c>
      <c r="G340" s="50" t="s">
        <v>2032</v>
      </c>
      <c r="H340" s="50" t="s">
        <v>2007</v>
      </c>
    </row>
    <row r="341" spans="1:8" x14ac:dyDescent="0.2">
      <c r="A341" s="50" t="s">
        <v>2567</v>
      </c>
      <c r="B341" s="50" t="s">
        <v>423</v>
      </c>
      <c r="C341" s="50" t="s">
        <v>1624</v>
      </c>
      <c r="D341" s="50" t="s">
        <v>1624</v>
      </c>
      <c r="E341" s="50" t="s">
        <v>2031</v>
      </c>
      <c r="F341" s="50" t="s">
        <v>2031</v>
      </c>
      <c r="G341" s="50" t="s">
        <v>2032</v>
      </c>
      <c r="H341" s="50" t="s">
        <v>2007</v>
      </c>
    </row>
    <row r="342" spans="1:8" x14ac:dyDescent="0.2">
      <c r="A342" s="50" t="s">
        <v>2568</v>
      </c>
      <c r="B342" s="50" t="s">
        <v>425</v>
      </c>
      <c r="C342" s="50" t="s">
        <v>1624</v>
      </c>
      <c r="D342" s="50" t="s">
        <v>1624</v>
      </c>
      <c r="E342" s="50" t="s">
        <v>2031</v>
      </c>
      <c r="F342" s="50" t="s">
        <v>2031</v>
      </c>
      <c r="G342" s="50" t="s">
        <v>2032</v>
      </c>
      <c r="H342" s="50" t="s">
        <v>2007</v>
      </c>
    </row>
    <row r="343" spans="1:8" x14ac:dyDescent="0.2">
      <c r="A343" s="50" t="s">
        <v>2569</v>
      </c>
      <c r="B343" s="50" t="s">
        <v>427</v>
      </c>
      <c r="C343" s="50" t="s">
        <v>1624</v>
      </c>
      <c r="D343" s="50" t="s">
        <v>1624</v>
      </c>
      <c r="E343" s="50" t="s">
        <v>2031</v>
      </c>
      <c r="F343" s="50" t="s">
        <v>2031</v>
      </c>
      <c r="G343" s="50" t="s">
        <v>2032</v>
      </c>
      <c r="H343" s="50" t="s">
        <v>2007</v>
      </c>
    </row>
    <row r="344" spans="1:8" x14ac:dyDescent="0.2">
      <c r="A344" s="50" t="s">
        <v>2570</v>
      </c>
      <c r="B344" s="50" t="s">
        <v>8</v>
      </c>
      <c r="C344" s="50" t="s">
        <v>1624</v>
      </c>
      <c r="D344" s="50" t="s">
        <v>1624</v>
      </c>
      <c r="E344" s="50" t="s">
        <v>2031</v>
      </c>
      <c r="F344" s="50" t="s">
        <v>2031</v>
      </c>
      <c r="G344" s="50" t="s">
        <v>2032</v>
      </c>
      <c r="H344" s="50" t="s">
        <v>2007</v>
      </c>
    </row>
    <row r="345" spans="1:8" x14ac:dyDescent="0.2">
      <c r="A345" s="50" t="s">
        <v>2571</v>
      </c>
      <c r="B345" s="50" t="s">
        <v>430</v>
      </c>
      <c r="C345" s="50" t="s">
        <v>1624</v>
      </c>
      <c r="D345" s="50" t="s">
        <v>1624</v>
      </c>
      <c r="E345" s="50" t="s">
        <v>2031</v>
      </c>
      <c r="F345" s="50" t="s">
        <v>2031</v>
      </c>
      <c r="G345" s="50" t="s">
        <v>2032</v>
      </c>
      <c r="H345" s="50" t="s">
        <v>2007</v>
      </c>
    </row>
    <row r="346" spans="1:8" x14ac:dyDescent="0.2">
      <c r="A346" s="50" t="s">
        <v>2572</v>
      </c>
      <c r="B346" s="50" t="s">
        <v>432</v>
      </c>
      <c r="C346" s="50" t="s">
        <v>1624</v>
      </c>
      <c r="D346" s="50" t="s">
        <v>1624</v>
      </c>
      <c r="E346" s="50" t="s">
        <v>2031</v>
      </c>
      <c r="F346" s="50" t="s">
        <v>2031</v>
      </c>
      <c r="G346" s="50" t="s">
        <v>2032</v>
      </c>
      <c r="H346" s="50" t="s">
        <v>2007</v>
      </c>
    </row>
    <row r="347" spans="1:8" x14ac:dyDescent="0.2">
      <c r="A347" s="50" t="s">
        <v>2573</v>
      </c>
      <c r="B347" s="50" t="s">
        <v>434</v>
      </c>
      <c r="C347" s="50" t="s">
        <v>1624</v>
      </c>
      <c r="D347" s="50" t="s">
        <v>1624</v>
      </c>
      <c r="E347" s="50" t="s">
        <v>2031</v>
      </c>
      <c r="F347" s="50" t="s">
        <v>2031</v>
      </c>
      <c r="G347" s="50" t="s">
        <v>2032</v>
      </c>
      <c r="H347" s="50" t="s">
        <v>2007</v>
      </c>
    </row>
    <row r="348" spans="1:8" x14ac:dyDescent="0.2">
      <c r="A348" s="50" t="s">
        <v>2574</v>
      </c>
      <c r="B348" s="50" t="s">
        <v>436</v>
      </c>
      <c r="C348" s="50" t="s">
        <v>1624</v>
      </c>
      <c r="D348" s="50" t="s">
        <v>1624</v>
      </c>
      <c r="E348" s="50" t="s">
        <v>2031</v>
      </c>
      <c r="F348" s="50" t="s">
        <v>2031</v>
      </c>
      <c r="G348" s="50" t="s">
        <v>2032</v>
      </c>
      <c r="H348" s="50" t="s">
        <v>2007</v>
      </c>
    </row>
    <row r="349" spans="1:8" x14ac:dyDescent="0.2">
      <c r="A349" s="50" t="s">
        <v>1027</v>
      </c>
      <c r="B349" s="50" t="s">
        <v>438</v>
      </c>
      <c r="C349" s="50" t="s">
        <v>1624</v>
      </c>
      <c r="D349" s="50" t="s">
        <v>1624</v>
      </c>
      <c r="E349" s="50" t="s">
        <v>2031</v>
      </c>
      <c r="F349" s="50" t="s">
        <v>2031</v>
      </c>
      <c r="G349" s="50" t="s">
        <v>2032</v>
      </c>
      <c r="H349" s="50" t="s">
        <v>2007</v>
      </c>
    </row>
    <row r="350" spans="1:8" x14ac:dyDescent="0.2">
      <c r="A350" s="50" t="s">
        <v>2575</v>
      </c>
      <c r="B350" s="50" t="s">
        <v>440</v>
      </c>
      <c r="C350" s="50" t="s">
        <v>1624</v>
      </c>
      <c r="D350" s="50" t="s">
        <v>1624</v>
      </c>
      <c r="E350" s="50" t="s">
        <v>2031</v>
      </c>
      <c r="F350" s="50" t="s">
        <v>2031</v>
      </c>
      <c r="G350" s="50" t="s">
        <v>2032</v>
      </c>
      <c r="H350" s="50" t="s">
        <v>2007</v>
      </c>
    </row>
    <row r="351" spans="1:8" x14ac:dyDescent="0.2">
      <c r="A351" s="50" t="s">
        <v>2576</v>
      </c>
      <c r="B351" s="50" t="s">
        <v>442</v>
      </c>
      <c r="C351" s="50" t="s">
        <v>1624</v>
      </c>
      <c r="D351" s="50" t="s">
        <v>1624</v>
      </c>
      <c r="E351" s="50" t="s">
        <v>2031</v>
      </c>
      <c r="F351" s="50" t="s">
        <v>2031</v>
      </c>
      <c r="G351" s="50" t="s">
        <v>2032</v>
      </c>
      <c r="H351" s="50" t="s">
        <v>2007</v>
      </c>
    </row>
    <row r="352" spans="1:8" x14ac:dyDescent="0.2">
      <c r="A352" s="50" t="s">
        <v>2577</v>
      </c>
      <c r="B352" s="50" t="s">
        <v>398</v>
      </c>
      <c r="C352" s="50" t="s">
        <v>1624</v>
      </c>
      <c r="D352" s="50" t="s">
        <v>1624</v>
      </c>
      <c r="E352" s="50" t="s">
        <v>2031</v>
      </c>
      <c r="F352" s="50" t="s">
        <v>2031</v>
      </c>
      <c r="G352" s="50" t="s">
        <v>2032</v>
      </c>
      <c r="H352" s="50" t="s">
        <v>2007</v>
      </c>
    </row>
    <row r="353" spans="1:8" x14ac:dyDescent="0.2">
      <c r="A353" s="50" t="s">
        <v>2578</v>
      </c>
      <c r="B353" s="50" t="s">
        <v>117</v>
      </c>
      <c r="C353" s="50" t="s">
        <v>1624</v>
      </c>
      <c r="D353" s="50" t="s">
        <v>1624</v>
      </c>
      <c r="E353" s="50" t="s">
        <v>2031</v>
      </c>
      <c r="F353" s="50" t="s">
        <v>2031</v>
      </c>
      <c r="G353" s="50" t="s">
        <v>2032</v>
      </c>
      <c r="H353" s="50" t="s">
        <v>2007</v>
      </c>
    </row>
    <row r="354" spans="1:8" x14ac:dyDescent="0.2">
      <c r="A354" s="50" t="s">
        <v>1045</v>
      </c>
      <c r="B354" s="50" t="s">
        <v>444</v>
      </c>
      <c r="C354" s="50" t="s">
        <v>1624</v>
      </c>
      <c r="D354" s="50" t="s">
        <v>1624</v>
      </c>
      <c r="E354" s="50" t="s">
        <v>2031</v>
      </c>
      <c r="F354" s="50" t="s">
        <v>2031</v>
      </c>
      <c r="G354" s="50" t="s">
        <v>2032</v>
      </c>
      <c r="H354" s="50" t="s">
        <v>2007</v>
      </c>
    </row>
    <row r="355" spans="1:8" x14ac:dyDescent="0.2">
      <c r="A355" s="50" t="s">
        <v>2579</v>
      </c>
      <c r="B355" s="50" t="s">
        <v>1487</v>
      </c>
      <c r="C355" s="50" t="s">
        <v>1624</v>
      </c>
      <c r="D355" s="50" t="s">
        <v>1624</v>
      </c>
      <c r="E355" s="50" t="s">
        <v>2031</v>
      </c>
      <c r="F355" s="50" t="s">
        <v>2031</v>
      </c>
      <c r="G355" s="50" t="s">
        <v>2032</v>
      </c>
      <c r="H355" s="50" t="s">
        <v>2007</v>
      </c>
    </row>
    <row r="356" spans="1:8" x14ac:dyDescent="0.2">
      <c r="A356" s="50" t="s">
        <v>2580</v>
      </c>
      <c r="B356" s="50" t="s">
        <v>448</v>
      </c>
      <c r="C356" s="50" t="s">
        <v>1624</v>
      </c>
      <c r="D356" s="50" t="s">
        <v>1624</v>
      </c>
      <c r="E356" s="50" t="s">
        <v>2031</v>
      </c>
      <c r="F356" s="50" t="s">
        <v>2031</v>
      </c>
      <c r="G356" s="50" t="s">
        <v>2032</v>
      </c>
      <c r="H356" s="50" t="s">
        <v>2007</v>
      </c>
    </row>
    <row r="357" spans="1:8" x14ac:dyDescent="0.2">
      <c r="A357" s="50" t="s">
        <v>2581</v>
      </c>
      <c r="B357" s="50" t="s">
        <v>450</v>
      </c>
      <c r="C357" s="50" t="s">
        <v>1624</v>
      </c>
      <c r="D357" s="50" t="s">
        <v>1624</v>
      </c>
      <c r="E357" s="50" t="s">
        <v>2031</v>
      </c>
      <c r="F357" s="50" t="s">
        <v>2031</v>
      </c>
      <c r="G357" s="50" t="s">
        <v>2032</v>
      </c>
      <c r="H357" s="50" t="s">
        <v>2007</v>
      </c>
    </row>
    <row r="358" spans="1:8" x14ac:dyDescent="0.2">
      <c r="A358" s="50" t="s">
        <v>2582</v>
      </c>
      <c r="B358" s="50" t="s">
        <v>452</v>
      </c>
      <c r="C358" s="50" t="s">
        <v>1624</v>
      </c>
      <c r="D358" s="50" t="s">
        <v>1624</v>
      </c>
      <c r="E358" s="50" t="s">
        <v>2031</v>
      </c>
      <c r="F358" s="50" t="s">
        <v>2031</v>
      </c>
      <c r="G358" s="50" t="s">
        <v>2032</v>
      </c>
      <c r="H358" s="50" t="s">
        <v>2007</v>
      </c>
    </row>
    <row r="359" spans="1:8" x14ac:dyDescent="0.2">
      <c r="A359" s="50" t="s">
        <v>2583</v>
      </c>
      <c r="B359" s="50" t="s">
        <v>454</v>
      </c>
      <c r="C359" s="50" t="s">
        <v>1624</v>
      </c>
      <c r="D359" s="50" t="s">
        <v>1624</v>
      </c>
      <c r="E359" s="50" t="s">
        <v>2031</v>
      </c>
      <c r="F359" s="50" t="s">
        <v>2031</v>
      </c>
      <c r="G359" s="50" t="s">
        <v>2032</v>
      </c>
      <c r="H359" s="50" t="s">
        <v>2007</v>
      </c>
    </row>
    <row r="360" spans="1:8" x14ac:dyDescent="0.2">
      <c r="A360" s="50" t="s">
        <v>2584</v>
      </c>
      <c r="B360" s="50" t="s">
        <v>456</v>
      </c>
      <c r="C360" s="50" t="s">
        <v>1624</v>
      </c>
      <c r="D360" s="50" t="s">
        <v>1624</v>
      </c>
      <c r="E360" s="50" t="s">
        <v>2031</v>
      </c>
      <c r="F360" s="50" t="s">
        <v>2031</v>
      </c>
      <c r="G360" s="50" t="s">
        <v>2032</v>
      </c>
      <c r="H360" s="50" t="s">
        <v>2007</v>
      </c>
    </row>
    <row r="361" spans="1:8" x14ac:dyDescent="0.2">
      <c r="A361" s="50" t="s">
        <v>2585</v>
      </c>
      <c r="B361" s="50" t="s">
        <v>1488</v>
      </c>
      <c r="C361" s="50" t="s">
        <v>1624</v>
      </c>
      <c r="D361" s="50" t="s">
        <v>1624</v>
      </c>
      <c r="E361" s="50" t="s">
        <v>2031</v>
      </c>
      <c r="F361" s="50" t="s">
        <v>2031</v>
      </c>
      <c r="G361" s="50" t="s">
        <v>2032</v>
      </c>
      <c r="H361" s="50" t="s">
        <v>2007</v>
      </c>
    </row>
    <row r="362" spans="1:8" x14ac:dyDescent="0.2">
      <c r="A362" s="50" t="s">
        <v>1054</v>
      </c>
      <c r="B362" s="50" t="s">
        <v>119</v>
      </c>
      <c r="C362" s="50" t="s">
        <v>1624</v>
      </c>
      <c r="D362" s="50" t="s">
        <v>1624</v>
      </c>
      <c r="E362" s="50" t="s">
        <v>2033</v>
      </c>
      <c r="F362" s="50" t="s">
        <v>2033</v>
      </c>
      <c r="G362" s="50" t="s">
        <v>2034</v>
      </c>
      <c r="H362" s="50" t="s">
        <v>2007</v>
      </c>
    </row>
    <row r="363" spans="1:8" x14ac:dyDescent="0.2">
      <c r="A363" s="50" t="s">
        <v>2586</v>
      </c>
      <c r="B363" s="50" t="s">
        <v>235</v>
      </c>
      <c r="C363" s="50" t="s">
        <v>1624</v>
      </c>
      <c r="D363" s="50" t="s">
        <v>1624</v>
      </c>
      <c r="E363" s="50" t="s">
        <v>2033</v>
      </c>
      <c r="F363" s="50" t="s">
        <v>2033</v>
      </c>
      <c r="G363" s="50" t="s">
        <v>2034</v>
      </c>
      <c r="H363" s="50" t="s">
        <v>2007</v>
      </c>
    </row>
    <row r="364" spans="1:8" x14ac:dyDescent="0.2">
      <c r="A364" s="50" t="s">
        <v>2587</v>
      </c>
      <c r="B364" s="50" t="s">
        <v>216</v>
      </c>
      <c r="C364" s="50" t="s">
        <v>1624</v>
      </c>
      <c r="D364" s="50" t="s">
        <v>1624</v>
      </c>
      <c r="E364" s="50" t="s">
        <v>2033</v>
      </c>
      <c r="F364" s="50" t="s">
        <v>2033</v>
      </c>
      <c r="G364" s="50" t="s">
        <v>2034</v>
      </c>
      <c r="H364" s="50" t="s">
        <v>2007</v>
      </c>
    </row>
    <row r="365" spans="1:8" x14ac:dyDescent="0.2">
      <c r="A365" s="50" t="s">
        <v>300</v>
      </c>
      <c r="B365" s="50" t="s">
        <v>121</v>
      </c>
      <c r="C365" s="50" t="s">
        <v>1624</v>
      </c>
      <c r="D365" s="50" t="s">
        <v>1624</v>
      </c>
      <c r="E365" s="50" t="s">
        <v>2015</v>
      </c>
      <c r="F365" s="50" t="s">
        <v>2015</v>
      </c>
      <c r="G365" s="50" t="s">
        <v>2035</v>
      </c>
      <c r="H365" s="50" t="s">
        <v>2036</v>
      </c>
    </row>
    <row r="366" spans="1:8" x14ac:dyDescent="0.2">
      <c r="A366" s="50" t="s">
        <v>2588</v>
      </c>
      <c r="B366" s="50" t="s">
        <v>122</v>
      </c>
      <c r="C366" s="50" t="s">
        <v>1624</v>
      </c>
      <c r="D366" s="50" t="s">
        <v>1624</v>
      </c>
      <c r="E366" s="50" t="s">
        <v>2015</v>
      </c>
      <c r="F366" s="50" t="s">
        <v>2015</v>
      </c>
      <c r="G366" s="50" t="s">
        <v>2035</v>
      </c>
      <c r="H366" s="50" t="s">
        <v>2036</v>
      </c>
    </row>
    <row r="367" spans="1:8" x14ac:dyDescent="0.2">
      <c r="A367" s="50" t="s">
        <v>2589</v>
      </c>
      <c r="B367" s="50" t="s">
        <v>123</v>
      </c>
      <c r="C367" s="50" t="s">
        <v>1624</v>
      </c>
      <c r="D367" s="50" t="s">
        <v>1624</v>
      </c>
      <c r="E367" s="50" t="s">
        <v>2015</v>
      </c>
      <c r="F367" s="50" t="s">
        <v>2015</v>
      </c>
      <c r="G367" s="50" t="s">
        <v>2035</v>
      </c>
      <c r="H367" s="50" t="s">
        <v>2036</v>
      </c>
    </row>
    <row r="368" spans="1:8" x14ac:dyDescent="0.2">
      <c r="A368" s="50" t="s">
        <v>314</v>
      </c>
      <c r="B368" s="50" t="s">
        <v>1489</v>
      </c>
      <c r="C368" s="50" t="s">
        <v>1624</v>
      </c>
      <c r="D368" s="50" t="s">
        <v>1624</v>
      </c>
      <c r="E368" s="50" t="s">
        <v>2015</v>
      </c>
      <c r="F368" s="50" t="s">
        <v>2015</v>
      </c>
      <c r="G368" s="50" t="s">
        <v>2035</v>
      </c>
      <c r="H368" s="50" t="s">
        <v>2036</v>
      </c>
    </row>
    <row r="369" spans="1:8" x14ac:dyDescent="0.2">
      <c r="A369" s="50" t="s">
        <v>2590</v>
      </c>
      <c r="B369" s="50" t="s">
        <v>124</v>
      </c>
      <c r="C369" s="50" t="s">
        <v>1624</v>
      </c>
      <c r="D369" s="50" t="s">
        <v>1624</v>
      </c>
      <c r="E369" s="50" t="s">
        <v>2015</v>
      </c>
      <c r="F369" s="50" t="s">
        <v>2015</v>
      </c>
      <c r="G369" s="50" t="s">
        <v>2035</v>
      </c>
      <c r="H369" s="50" t="s">
        <v>2036</v>
      </c>
    </row>
    <row r="370" spans="1:8" x14ac:dyDescent="0.2">
      <c r="A370" s="50" t="s">
        <v>2591</v>
      </c>
      <c r="B370" s="50" t="s">
        <v>1490</v>
      </c>
      <c r="C370" s="50" t="s">
        <v>1624</v>
      </c>
      <c r="D370" s="50" t="s">
        <v>1624</v>
      </c>
      <c r="E370" s="50" t="s">
        <v>2015</v>
      </c>
      <c r="F370" s="50" t="s">
        <v>2015</v>
      </c>
      <c r="G370" s="50" t="s">
        <v>2035</v>
      </c>
      <c r="H370" s="50" t="s">
        <v>2036</v>
      </c>
    </row>
    <row r="371" spans="1:8" x14ac:dyDescent="0.2">
      <c r="A371" s="50" t="s">
        <v>322</v>
      </c>
      <c r="B371" s="50" t="s">
        <v>1491</v>
      </c>
      <c r="C371" s="50" t="s">
        <v>1624</v>
      </c>
      <c r="D371" s="50" t="s">
        <v>1624</v>
      </c>
      <c r="E371" s="50" t="s">
        <v>2015</v>
      </c>
      <c r="F371" s="50" t="s">
        <v>2015</v>
      </c>
      <c r="G371" s="50" t="s">
        <v>2035</v>
      </c>
      <c r="H371" s="50" t="s">
        <v>2036</v>
      </c>
    </row>
    <row r="372" spans="1:8" x14ac:dyDescent="0.2">
      <c r="A372" s="50" t="s">
        <v>2592</v>
      </c>
      <c r="B372" s="50" t="s">
        <v>1492</v>
      </c>
      <c r="C372" s="50" t="s">
        <v>1624</v>
      </c>
      <c r="D372" s="50" t="s">
        <v>1624</v>
      </c>
      <c r="E372" s="50" t="s">
        <v>2015</v>
      </c>
      <c r="F372" s="50" t="s">
        <v>2015</v>
      </c>
      <c r="G372" s="50" t="s">
        <v>2035</v>
      </c>
      <c r="H372" s="50" t="s">
        <v>2036</v>
      </c>
    </row>
    <row r="373" spans="1:8" x14ac:dyDescent="0.2">
      <c r="A373" s="50" t="s">
        <v>332</v>
      </c>
      <c r="B373" s="50" t="s">
        <v>1493</v>
      </c>
      <c r="C373" s="50" t="s">
        <v>1624</v>
      </c>
      <c r="D373" s="50" t="s">
        <v>1624</v>
      </c>
      <c r="E373" s="50" t="s">
        <v>2037</v>
      </c>
      <c r="F373" s="50" t="s">
        <v>2037</v>
      </c>
      <c r="G373" s="50" t="s">
        <v>2038</v>
      </c>
      <c r="H373" s="50" t="s">
        <v>2036</v>
      </c>
    </row>
    <row r="374" spans="1:8" x14ac:dyDescent="0.2">
      <c r="A374" s="50" t="s">
        <v>357</v>
      </c>
      <c r="B374" s="50" t="s">
        <v>1494</v>
      </c>
      <c r="C374" s="50" t="s">
        <v>1624</v>
      </c>
      <c r="D374" s="50" t="s">
        <v>1624</v>
      </c>
      <c r="E374" s="50" t="s">
        <v>2039</v>
      </c>
      <c r="F374" s="50" t="s">
        <v>2039</v>
      </c>
      <c r="G374" s="50" t="s">
        <v>2040</v>
      </c>
      <c r="H374" s="50" t="s">
        <v>2036</v>
      </c>
    </row>
    <row r="375" spans="1:8" x14ac:dyDescent="0.2">
      <c r="A375" s="50" t="s">
        <v>358</v>
      </c>
      <c r="B375" s="50" t="s">
        <v>1495</v>
      </c>
      <c r="C375" s="50" t="s">
        <v>1624</v>
      </c>
      <c r="D375" s="50" t="s">
        <v>1624</v>
      </c>
      <c r="E375" s="50" t="s">
        <v>2039</v>
      </c>
      <c r="F375" s="50" t="s">
        <v>2039</v>
      </c>
      <c r="G375" s="50" t="s">
        <v>2040</v>
      </c>
      <c r="H375" s="50" t="s">
        <v>2036</v>
      </c>
    </row>
    <row r="376" spans="1:8" x14ac:dyDescent="0.2">
      <c r="A376" s="50" t="s">
        <v>359</v>
      </c>
      <c r="B376" s="50" t="s">
        <v>1496</v>
      </c>
      <c r="C376" s="50" t="s">
        <v>1624</v>
      </c>
      <c r="D376" s="50" t="s">
        <v>1624</v>
      </c>
      <c r="E376" s="50" t="s">
        <v>2039</v>
      </c>
      <c r="F376" s="50" t="s">
        <v>2039</v>
      </c>
      <c r="G376" s="50" t="s">
        <v>2040</v>
      </c>
      <c r="H376" s="50" t="s">
        <v>2036</v>
      </c>
    </row>
    <row r="377" spans="1:8" x14ac:dyDescent="0.2">
      <c r="A377" s="50" t="s">
        <v>360</v>
      </c>
      <c r="B377" s="50" t="s">
        <v>1497</v>
      </c>
      <c r="C377" s="50" t="s">
        <v>1624</v>
      </c>
      <c r="D377" s="50" t="s">
        <v>1624</v>
      </c>
      <c r="E377" s="50" t="s">
        <v>2039</v>
      </c>
      <c r="F377" s="50" t="s">
        <v>2039</v>
      </c>
      <c r="G377" s="50" t="s">
        <v>2040</v>
      </c>
      <c r="H377" s="50" t="s">
        <v>2036</v>
      </c>
    </row>
    <row r="378" spans="1:8" x14ac:dyDescent="0.2">
      <c r="A378" s="50" t="s">
        <v>361</v>
      </c>
      <c r="B378" s="50" t="s">
        <v>1498</v>
      </c>
      <c r="C378" s="50" t="s">
        <v>1624</v>
      </c>
      <c r="D378" s="50" t="s">
        <v>1624</v>
      </c>
      <c r="E378" s="50" t="s">
        <v>2039</v>
      </c>
      <c r="F378" s="50" t="s">
        <v>2039</v>
      </c>
      <c r="G378" s="50" t="s">
        <v>2040</v>
      </c>
      <c r="H378" s="50" t="s">
        <v>2036</v>
      </c>
    </row>
    <row r="379" spans="1:8" x14ac:dyDescent="0.2">
      <c r="A379" s="50" t="s">
        <v>362</v>
      </c>
      <c r="B379" s="50" t="s">
        <v>1499</v>
      </c>
      <c r="C379" s="50" t="s">
        <v>1624</v>
      </c>
      <c r="D379" s="50" t="s">
        <v>1624</v>
      </c>
      <c r="E379" s="50" t="s">
        <v>2039</v>
      </c>
      <c r="F379" s="50" t="s">
        <v>2039</v>
      </c>
      <c r="G379" s="50" t="s">
        <v>2040</v>
      </c>
      <c r="H379" s="50" t="s">
        <v>2036</v>
      </c>
    </row>
    <row r="380" spans="1:8" x14ac:dyDescent="0.2">
      <c r="A380" s="50" t="s">
        <v>363</v>
      </c>
      <c r="B380" s="50" t="s">
        <v>1500</v>
      </c>
      <c r="C380" s="50" t="s">
        <v>1624</v>
      </c>
      <c r="D380" s="50" t="s">
        <v>1624</v>
      </c>
      <c r="E380" s="50" t="s">
        <v>2039</v>
      </c>
      <c r="F380" s="50" t="s">
        <v>2039</v>
      </c>
      <c r="G380" s="50" t="s">
        <v>2040</v>
      </c>
      <c r="H380" s="50" t="s">
        <v>2036</v>
      </c>
    </row>
    <row r="381" spans="1:8" x14ac:dyDescent="0.2">
      <c r="A381" s="50" t="s">
        <v>365</v>
      </c>
      <c r="B381" s="50" t="s">
        <v>1501</v>
      </c>
      <c r="C381" s="50" t="s">
        <v>1624</v>
      </c>
      <c r="D381" s="50" t="s">
        <v>1624</v>
      </c>
      <c r="E381" s="50" t="s">
        <v>2041</v>
      </c>
      <c r="F381" s="50" t="s">
        <v>2041</v>
      </c>
      <c r="G381" s="50" t="s">
        <v>2042</v>
      </c>
      <c r="H381" s="50" t="s">
        <v>2036</v>
      </c>
    </row>
    <row r="382" spans="1:8" x14ac:dyDescent="0.2">
      <c r="A382" s="50" t="s">
        <v>2593</v>
      </c>
      <c r="B382" s="50" t="s">
        <v>1502</v>
      </c>
      <c r="C382" s="50" t="s">
        <v>1624</v>
      </c>
      <c r="D382" s="50" t="s">
        <v>1624</v>
      </c>
      <c r="E382" s="50" t="s">
        <v>2041</v>
      </c>
      <c r="F382" s="50" t="s">
        <v>2041</v>
      </c>
      <c r="G382" s="50" t="s">
        <v>2042</v>
      </c>
      <c r="H382" s="50" t="s">
        <v>2036</v>
      </c>
    </row>
    <row r="383" spans="1:8" x14ac:dyDescent="0.2">
      <c r="A383" s="50" t="s">
        <v>2594</v>
      </c>
      <c r="B383" s="50" t="s">
        <v>1503</v>
      </c>
      <c r="C383" s="50" t="s">
        <v>1624</v>
      </c>
      <c r="D383" s="50" t="s">
        <v>1624</v>
      </c>
      <c r="E383" s="50" t="s">
        <v>2043</v>
      </c>
      <c r="F383" s="50" t="s">
        <v>2043</v>
      </c>
      <c r="G383" s="50" t="s">
        <v>2044</v>
      </c>
      <c r="H383" s="50" t="s">
        <v>2036</v>
      </c>
    </row>
    <row r="384" spans="1:8" x14ac:dyDescent="0.2">
      <c r="A384" s="50" t="s">
        <v>368</v>
      </c>
      <c r="B384" s="50" t="s">
        <v>1504</v>
      </c>
      <c r="C384" s="50" t="s">
        <v>1624</v>
      </c>
      <c r="D384" s="50" t="s">
        <v>1624</v>
      </c>
      <c r="E384" s="50" t="s">
        <v>2043</v>
      </c>
      <c r="F384" s="50" t="s">
        <v>2043</v>
      </c>
      <c r="G384" s="50" t="s">
        <v>2044</v>
      </c>
      <c r="H384" s="50" t="s">
        <v>2036</v>
      </c>
    </row>
    <row r="385" spans="1:8" x14ac:dyDescent="0.2">
      <c r="A385" s="50" t="s">
        <v>369</v>
      </c>
      <c r="B385" s="50" t="s">
        <v>1505</v>
      </c>
      <c r="C385" s="50" t="s">
        <v>1624</v>
      </c>
      <c r="D385" s="50" t="s">
        <v>1624</v>
      </c>
      <c r="E385" s="50" t="s">
        <v>2043</v>
      </c>
      <c r="F385" s="50" t="s">
        <v>2043</v>
      </c>
      <c r="G385" s="50" t="s">
        <v>2044</v>
      </c>
      <c r="H385" s="50" t="s">
        <v>2036</v>
      </c>
    </row>
    <row r="386" spans="1:8" x14ac:dyDescent="0.2">
      <c r="A386" s="50" t="s">
        <v>370</v>
      </c>
      <c r="B386" s="50" t="s">
        <v>1506</v>
      </c>
      <c r="C386" s="50" t="s">
        <v>1624</v>
      </c>
      <c r="D386" s="50" t="s">
        <v>1624</v>
      </c>
      <c r="E386" s="50" t="s">
        <v>2043</v>
      </c>
      <c r="F386" s="50" t="s">
        <v>2043</v>
      </c>
      <c r="G386" s="50" t="s">
        <v>2044</v>
      </c>
      <c r="H386" s="50" t="s">
        <v>2036</v>
      </c>
    </row>
    <row r="387" spans="1:8" x14ac:dyDescent="0.2">
      <c r="A387" s="50" t="s">
        <v>371</v>
      </c>
      <c r="B387" s="50" t="s">
        <v>1507</v>
      </c>
      <c r="C387" s="50" t="s">
        <v>1624</v>
      </c>
      <c r="D387" s="50" t="s">
        <v>1624</v>
      </c>
      <c r="E387" s="50" t="s">
        <v>2043</v>
      </c>
      <c r="F387" s="50" t="s">
        <v>2043</v>
      </c>
      <c r="G387" s="50" t="s">
        <v>2044</v>
      </c>
      <c r="H387" s="50" t="s">
        <v>2036</v>
      </c>
    </row>
    <row r="388" spans="1:8" x14ac:dyDescent="0.2">
      <c r="A388" s="50" t="s">
        <v>2595</v>
      </c>
      <c r="B388" s="50" t="s">
        <v>1508</v>
      </c>
      <c r="C388" s="50" t="s">
        <v>1624</v>
      </c>
      <c r="D388" s="50" t="s">
        <v>1624</v>
      </c>
      <c r="E388" s="50" t="s">
        <v>2043</v>
      </c>
      <c r="F388" s="50" t="s">
        <v>2043</v>
      </c>
      <c r="G388" s="50" t="s">
        <v>2044</v>
      </c>
      <c r="H388" s="50" t="s">
        <v>2036</v>
      </c>
    </row>
    <row r="389" spans="1:8" x14ac:dyDescent="0.2">
      <c r="A389" s="50" t="s">
        <v>372</v>
      </c>
      <c r="B389" s="50" t="s">
        <v>1509</v>
      </c>
      <c r="C389" s="50" t="s">
        <v>1624</v>
      </c>
      <c r="D389" s="50" t="s">
        <v>1624</v>
      </c>
      <c r="E389" s="50" t="s">
        <v>2043</v>
      </c>
      <c r="F389" s="50" t="s">
        <v>2043</v>
      </c>
      <c r="G389" s="50" t="s">
        <v>2044</v>
      </c>
      <c r="H389" s="50" t="s">
        <v>2036</v>
      </c>
    </row>
    <row r="390" spans="1:8" x14ac:dyDescent="0.2">
      <c r="A390" s="50" t="s">
        <v>374</v>
      </c>
      <c r="B390" s="50" t="s">
        <v>1510</v>
      </c>
      <c r="C390" s="50" t="s">
        <v>1624</v>
      </c>
      <c r="D390" s="50" t="s">
        <v>1624</v>
      </c>
      <c r="E390" s="50" t="s">
        <v>2045</v>
      </c>
      <c r="F390" s="50" t="s">
        <v>2045</v>
      </c>
      <c r="G390" s="50" t="s">
        <v>2046</v>
      </c>
      <c r="H390" s="50" t="s">
        <v>2036</v>
      </c>
    </row>
    <row r="391" spans="1:8" x14ac:dyDescent="0.2">
      <c r="A391" s="50" t="s">
        <v>2596</v>
      </c>
      <c r="B391" s="50" t="s">
        <v>1511</v>
      </c>
      <c r="C391" s="50" t="s">
        <v>1624</v>
      </c>
      <c r="D391" s="50" t="s">
        <v>1624</v>
      </c>
      <c r="E391" s="50" t="s">
        <v>2045</v>
      </c>
      <c r="F391" s="50" t="s">
        <v>2045</v>
      </c>
      <c r="G391" s="50" t="s">
        <v>2046</v>
      </c>
      <c r="H391" s="50" t="s">
        <v>2036</v>
      </c>
    </row>
    <row r="392" spans="1:8" x14ac:dyDescent="0.2">
      <c r="A392" s="50" t="s">
        <v>2597</v>
      </c>
      <c r="B392" s="50" t="s">
        <v>246</v>
      </c>
      <c r="C392" s="50" t="s">
        <v>1624</v>
      </c>
      <c r="D392" s="50" t="s">
        <v>1624</v>
      </c>
      <c r="E392" s="50" t="s">
        <v>2047</v>
      </c>
      <c r="F392" s="50" t="s">
        <v>2047</v>
      </c>
      <c r="G392" s="50" t="s">
        <v>2048</v>
      </c>
      <c r="H392" s="50" t="s">
        <v>2036</v>
      </c>
    </row>
    <row r="393" spans="1:8" x14ac:dyDescent="0.2">
      <c r="A393" s="50" t="s">
        <v>2598</v>
      </c>
      <c r="B393" s="50" t="s">
        <v>247</v>
      </c>
      <c r="C393" s="50" t="s">
        <v>1624</v>
      </c>
      <c r="D393" s="50" t="s">
        <v>1624</v>
      </c>
      <c r="E393" s="50" t="s">
        <v>2047</v>
      </c>
      <c r="F393" s="50" t="s">
        <v>2047</v>
      </c>
      <c r="G393" s="50" t="s">
        <v>2048</v>
      </c>
      <c r="H393" s="50" t="s">
        <v>2036</v>
      </c>
    </row>
    <row r="394" spans="1:8" x14ac:dyDescent="0.2">
      <c r="A394" s="50" t="s">
        <v>375</v>
      </c>
      <c r="B394" s="50" t="s">
        <v>508</v>
      </c>
      <c r="C394" s="50" t="s">
        <v>1624</v>
      </c>
      <c r="D394" s="50" t="s">
        <v>1624</v>
      </c>
      <c r="E394" s="50" t="s">
        <v>2049</v>
      </c>
      <c r="F394" s="50" t="s">
        <v>2049</v>
      </c>
      <c r="G394" s="50" t="s">
        <v>2050</v>
      </c>
      <c r="H394" s="50" t="s">
        <v>2036</v>
      </c>
    </row>
    <row r="395" spans="1:8" x14ac:dyDescent="0.2">
      <c r="A395" s="50" t="s">
        <v>377</v>
      </c>
      <c r="B395" s="50" t="s">
        <v>1512</v>
      </c>
      <c r="C395" s="50" t="s">
        <v>1624</v>
      </c>
      <c r="D395" s="50" t="s">
        <v>1624</v>
      </c>
      <c r="E395" s="50" t="s">
        <v>2051</v>
      </c>
      <c r="F395" s="50" t="s">
        <v>2051</v>
      </c>
      <c r="G395" s="50" t="s">
        <v>2052</v>
      </c>
      <c r="H395" s="50" t="s">
        <v>2036</v>
      </c>
    </row>
    <row r="396" spans="1:8" x14ac:dyDescent="0.2">
      <c r="A396" s="50" t="s">
        <v>387</v>
      </c>
      <c r="B396" s="50" t="s">
        <v>1513</v>
      </c>
      <c r="C396" s="50" t="s">
        <v>1624</v>
      </c>
      <c r="D396" s="50" t="s">
        <v>1624</v>
      </c>
      <c r="E396" s="50" t="s">
        <v>2053</v>
      </c>
      <c r="F396" s="50" t="s">
        <v>2053</v>
      </c>
      <c r="G396" s="50" t="s">
        <v>2054</v>
      </c>
      <c r="H396" s="50" t="s">
        <v>2036</v>
      </c>
    </row>
    <row r="397" spans="1:8" x14ac:dyDescent="0.2">
      <c r="A397" s="50" t="s">
        <v>2599</v>
      </c>
      <c r="B397" s="50" t="s">
        <v>1514</v>
      </c>
      <c r="C397" s="50" t="s">
        <v>1624</v>
      </c>
      <c r="D397" s="50" t="s">
        <v>1624</v>
      </c>
      <c r="E397" s="50" t="s">
        <v>2053</v>
      </c>
      <c r="F397" s="50" t="s">
        <v>2053</v>
      </c>
      <c r="G397" s="50" t="s">
        <v>2054</v>
      </c>
      <c r="H397" s="50" t="s">
        <v>2036</v>
      </c>
    </row>
    <row r="398" spans="1:8" x14ac:dyDescent="0.2">
      <c r="A398" s="50" t="s">
        <v>2600</v>
      </c>
      <c r="B398" s="50" t="s">
        <v>1515</v>
      </c>
      <c r="C398" s="50" t="s">
        <v>1624</v>
      </c>
      <c r="D398" s="50" t="s">
        <v>1624</v>
      </c>
      <c r="E398" s="50" t="s">
        <v>2053</v>
      </c>
      <c r="F398" s="50" t="s">
        <v>2053</v>
      </c>
      <c r="G398" s="50" t="s">
        <v>2054</v>
      </c>
      <c r="H398" s="50" t="s">
        <v>2036</v>
      </c>
    </row>
    <row r="399" spans="1:8" x14ac:dyDescent="0.2">
      <c r="A399" s="50" t="s">
        <v>2601</v>
      </c>
      <c r="B399" s="50" t="s">
        <v>1516</v>
      </c>
      <c r="C399" s="50" t="s">
        <v>1624</v>
      </c>
      <c r="D399" s="50" t="s">
        <v>1624</v>
      </c>
      <c r="E399" s="50" t="s">
        <v>2053</v>
      </c>
      <c r="F399" s="50" t="s">
        <v>2053</v>
      </c>
      <c r="G399" s="50" t="s">
        <v>2054</v>
      </c>
      <c r="H399" s="50" t="s">
        <v>2036</v>
      </c>
    </row>
    <row r="400" spans="1:8" x14ac:dyDescent="0.2">
      <c r="A400" s="50" t="s">
        <v>2602</v>
      </c>
      <c r="B400" s="50" t="s">
        <v>144</v>
      </c>
      <c r="C400" s="50" t="s">
        <v>1624</v>
      </c>
      <c r="D400" s="50" t="s">
        <v>1624</v>
      </c>
      <c r="E400" s="50" t="s">
        <v>2055</v>
      </c>
      <c r="F400" s="50" t="s">
        <v>2055</v>
      </c>
      <c r="G400" s="50" t="s">
        <v>2056</v>
      </c>
      <c r="H400" s="50" t="s">
        <v>2036</v>
      </c>
    </row>
    <row r="401" spans="1:8" x14ac:dyDescent="0.2">
      <c r="A401" s="50" t="s">
        <v>2603</v>
      </c>
      <c r="B401" s="50" t="s">
        <v>145</v>
      </c>
      <c r="C401" s="50" t="s">
        <v>1624</v>
      </c>
      <c r="D401" s="50" t="s">
        <v>1624</v>
      </c>
      <c r="E401" s="50" t="s">
        <v>2055</v>
      </c>
      <c r="F401" s="50" t="s">
        <v>2055</v>
      </c>
      <c r="G401" s="50" t="s">
        <v>2056</v>
      </c>
      <c r="H401" s="50" t="s">
        <v>2036</v>
      </c>
    </row>
    <row r="402" spans="1:8" x14ac:dyDescent="0.2">
      <c r="A402" s="50" t="s">
        <v>2604</v>
      </c>
      <c r="B402" s="50" t="s">
        <v>610</v>
      </c>
      <c r="C402" s="50" t="s">
        <v>1624</v>
      </c>
      <c r="D402" s="50" t="s">
        <v>1624</v>
      </c>
      <c r="E402" s="50" t="s">
        <v>2057</v>
      </c>
      <c r="F402" s="50" t="s">
        <v>2057</v>
      </c>
      <c r="G402" s="50" t="s">
        <v>2058</v>
      </c>
      <c r="H402" s="50" t="s">
        <v>2036</v>
      </c>
    </row>
    <row r="403" spans="1:8" x14ac:dyDescent="0.2">
      <c r="A403" s="50" t="s">
        <v>2605</v>
      </c>
      <c r="B403" s="50" t="s">
        <v>213</v>
      </c>
      <c r="C403" s="50" t="s">
        <v>1624</v>
      </c>
      <c r="D403" s="50" t="s">
        <v>1624</v>
      </c>
      <c r="E403" s="50" t="s">
        <v>2059</v>
      </c>
      <c r="F403" s="50" t="s">
        <v>2059</v>
      </c>
      <c r="G403" s="50" t="s">
        <v>2060</v>
      </c>
      <c r="H403" s="50" t="s">
        <v>2036</v>
      </c>
    </row>
    <row r="404" spans="1:8" x14ac:dyDescent="0.2">
      <c r="A404" s="50" t="s">
        <v>2606</v>
      </c>
      <c r="B404" s="50" t="s">
        <v>211</v>
      </c>
      <c r="C404" s="50" t="s">
        <v>1624</v>
      </c>
      <c r="D404" s="50" t="s">
        <v>1624</v>
      </c>
      <c r="E404" s="50" t="s">
        <v>2061</v>
      </c>
      <c r="F404" s="50" t="s">
        <v>2061</v>
      </c>
      <c r="G404" s="50" t="s">
        <v>2062</v>
      </c>
      <c r="H404" s="50" t="s">
        <v>2036</v>
      </c>
    </row>
    <row r="405" spans="1:8" x14ac:dyDescent="0.2">
      <c r="A405" s="50" t="s">
        <v>2607</v>
      </c>
      <c r="B405" s="50" t="s">
        <v>1517</v>
      </c>
      <c r="C405" s="50" t="s">
        <v>1624</v>
      </c>
      <c r="D405" s="50" t="s">
        <v>1624</v>
      </c>
      <c r="E405" s="50" t="s">
        <v>2063</v>
      </c>
      <c r="F405" s="50" t="s">
        <v>2063</v>
      </c>
      <c r="G405" s="50" t="s">
        <v>2064</v>
      </c>
      <c r="H405" s="50" t="s">
        <v>2036</v>
      </c>
    </row>
    <row r="406" spans="1:8" x14ac:dyDescent="0.2">
      <c r="A406" s="50" t="s">
        <v>2608</v>
      </c>
      <c r="B406" s="50" t="s">
        <v>214</v>
      </c>
      <c r="C406" s="50" t="s">
        <v>1624</v>
      </c>
      <c r="D406" s="50" t="s">
        <v>1624</v>
      </c>
      <c r="E406" s="50" t="s">
        <v>2065</v>
      </c>
      <c r="F406" s="50" t="s">
        <v>2065</v>
      </c>
      <c r="G406" s="50" t="s">
        <v>2066</v>
      </c>
      <c r="H406" s="50" t="s">
        <v>2036</v>
      </c>
    </row>
    <row r="407" spans="1:8" x14ac:dyDescent="0.2">
      <c r="A407" s="50" t="s">
        <v>2609</v>
      </c>
      <c r="B407" s="50" t="s">
        <v>1518</v>
      </c>
      <c r="C407" s="50" t="s">
        <v>1624</v>
      </c>
      <c r="D407" s="50" t="s">
        <v>1624</v>
      </c>
      <c r="E407" s="50" t="s">
        <v>2067</v>
      </c>
      <c r="F407" s="50" t="s">
        <v>2067</v>
      </c>
      <c r="G407" s="50" t="s">
        <v>2068</v>
      </c>
      <c r="H407" s="50" t="s">
        <v>2036</v>
      </c>
    </row>
    <row r="408" spans="1:8" x14ac:dyDescent="0.2">
      <c r="A408" s="50" t="s">
        <v>2610</v>
      </c>
      <c r="B408" s="50" t="s">
        <v>1519</v>
      </c>
      <c r="C408" s="50" t="s">
        <v>1624</v>
      </c>
      <c r="D408" s="50" t="s">
        <v>1624</v>
      </c>
      <c r="E408" s="50" t="s">
        <v>2069</v>
      </c>
      <c r="F408" s="50" t="s">
        <v>2069</v>
      </c>
      <c r="G408" s="50" t="s">
        <v>2070</v>
      </c>
      <c r="H408" s="50" t="s">
        <v>2036</v>
      </c>
    </row>
    <row r="409" spans="1:8" x14ac:dyDescent="0.2">
      <c r="A409" s="50" t="s">
        <v>466</v>
      </c>
      <c r="B409" s="50" t="s">
        <v>283</v>
      </c>
      <c r="C409" s="50" t="s">
        <v>1624</v>
      </c>
      <c r="D409" s="50" t="s">
        <v>1624</v>
      </c>
      <c r="E409" s="50" t="s">
        <v>2071</v>
      </c>
      <c r="F409" s="50" t="s">
        <v>2072</v>
      </c>
      <c r="G409" s="50" t="s">
        <v>2073</v>
      </c>
      <c r="H409" s="50" t="s">
        <v>2072</v>
      </c>
    </row>
    <row r="410" spans="1:8" x14ac:dyDescent="0.2">
      <c r="A410" s="50" t="s">
        <v>469</v>
      </c>
      <c r="B410" s="50" t="s">
        <v>534</v>
      </c>
      <c r="C410" s="50" t="s">
        <v>1624</v>
      </c>
      <c r="D410" s="50" t="s">
        <v>1624</v>
      </c>
      <c r="E410" s="50" t="s">
        <v>2071</v>
      </c>
      <c r="F410" s="50" t="s">
        <v>2072</v>
      </c>
      <c r="G410" s="50" t="s">
        <v>2073</v>
      </c>
      <c r="H410" s="50" t="s">
        <v>2072</v>
      </c>
    </row>
    <row r="411" spans="1:8" x14ac:dyDescent="0.2">
      <c r="A411" s="50" t="s">
        <v>471</v>
      </c>
      <c r="B411" s="50" t="s">
        <v>1521</v>
      </c>
      <c r="C411" s="50" t="s">
        <v>1624</v>
      </c>
      <c r="D411" s="50" t="s">
        <v>1624</v>
      </c>
      <c r="E411" s="50" t="s">
        <v>2071</v>
      </c>
      <c r="F411" s="50" t="s">
        <v>2072</v>
      </c>
      <c r="G411" s="50" t="s">
        <v>2073</v>
      </c>
      <c r="H411" s="50" t="s">
        <v>2072</v>
      </c>
    </row>
    <row r="412" spans="1:8" x14ac:dyDescent="0.2">
      <c r="A412" s="50" t="s">
        <v>472</v>
      </c>
      <c r="B412" s="50" t="s">
        <v>1522</v>
      </c>
      <c r="C412" s="50" t="s">
        <v>1624</v>
      </c>
      <c r="D412" s="50" t="s">
        <v>1624</v>
      </c>
      <c r="E412" s="50" t="s">
        <v>2071</v>
      </c>
      <c r="F412" s="50" t="s">
        <v>2072</v>
      </c>
      <c r="G412" s="50" t="s">
        <v>2073</v>
      </c>
      <c r="H412" s="50" t="s">
        <v>2072</v>
      </c>
    </row>
    <row r="413" spans="1:8" x14ac:dyDescent="0.2">
      <c r="A413" s="50" t="s">
        <v>2611</v>
      </c>
      <c r="B413" s="50" t="s">
        <v>1523</v>
      </c>
      <c r="C413" s="50" t="s">
        <v>1624</v>
      </c>
      <c r="D413" s="50" t="s">
        <v>1624</v>
      </c>
      <c r="E413" s="50" t="s">
        <v>2071</v>
      </c>
      <c r="F413" s="50" t="s">
        <v>2072</v>
      </c>
      <c r="G413" s="50" t="s">
        <v>2073</v>
      </c>
      <c r="H413" s="50" t="s">
        <v>2072</v>
      </c>
    </row>
    <row r="414" spans="1:8" x14ac:dyDescent="0.2">
      <c r="A414" s="50" t="s">
        <v>2612</v>
      </c>
      <c r="B414" s="50" t="s">
        <v>228</v>
      </c>
      <c r="C414" s="50" t="s">
        <v>1624</v>
      </c>
      <c r="D414" s="50" t="s">
        <v>1624</v>
      </c>
      <c r="E414" s="50" t="s">
        <v>2071</v>
      </c>
      <c r="F414" s="50" t="s">
        <v>2072</v>
      </c>
      <c r="G414" s="50" t="s">
        <v>2073</v>
      </c>
      <c r="H414" s="50" t="s">
        <v>2072</v>
      </c>
    </row>
    <row r="415" spans="1:8" x14ac:dyDescent="0.2">
      <c r="A415" s="50" t="s">
        <v>2613</v>
      </c>
      <c r="B415" s="50" t="s">
        <v>547</v>
      </c>
      <c r="C415" s="50" t="s">
        <v>1624</v>
      </c>
      <c r="D415" s="50" t="s">
        <v>1624</v>
      </c>
      <c r="E415" s="50" t="s">
        <v>2074</v>
      </c>
      <c r="F415" s="50" t="s">
        <v>2075</v>
      </c>
      <c r="G415" s="50" t="s">
        <v>2076</v>
      </c>
      <c r="H415" s="50" t="s">
        <v>2075</v>
      </c>
    </row>
    <row r="416" spans="1:8" x14ac:dyDescent="0.2">
      <c r="A416" s="50" t="s">
        <v>2614</v>
      </c>
      <c r="B416" s="50" t="s">
        <v>284</v>
      </c>
      <c r="C416" s="50" t="s">
        <v>1624</v>
      </c>
      <c r="D416" s="50" t="s">
        <v>1624</v>
      </c>
      <c r="E416" s="50" t="s">
        <v>2077</v>
      </c>
      <c r="F416" s="50" t="s">
        <v>2078</v>
      </c>
      <c r="G416" s="50" t="s">
        <v>2079</v>
      </c>
      <c r="H416" s="50" t="s">
        <v>2078</v>
      </c>
    </row>
    <row r="417" spans="1:8" x14ac:dyDescent="0.2">
      <c r="A417" s="50" t="s">
        <v>2615</v>
      </c>
      <c r="B417" s="50" t="s">
        <v>226</v>
      </c>
      <c r="C417" s="50" t="s">
        <v>1624</v>
      </c>
      <c r="D417" s="50" t="s">
        <v>1624</v>
      </c>
      <c r="E417" s="50" t="s">
        <v>2077</v>
      </c>
      <c r="F417" s="50" t="s">
        <v>2078</v>
      </c>
      <c r="G417" s="50" t="s">
        <v>2079</v>
      </c>
      <c r="H417" s="50" t="s">
        <v>2078</v>
      </c>
    </row>
    <row r="418" spans="1:8" x14ac:dyDescent="0.2">
      <c r="A418" s="50" t="s">
        <v>2616</v>
      </c>
      <c r="B418" s="50" t="s">
        <v>285</v>
      </c>
      <c r="C418" s="50" t="s">
        <v>1624</v>
      </c>
      <c r="D418" s="50" t="s">
        <v>1624</v>
      </c>
      <c r="E418" s="50" t="s">
        <v>2077</v>
      </c>
      <c r="F418" s="50" t="s">
        <v>2078</v>
      </c>
      <c r="G418" s="50" t="s">
        <v>2079</v>
      </c>
      <c r="H418" s="50" t="s">
        <v>2078</v>
      </c>
    </row>
    <row r="419" spans="1:8" x14ac:dyDescent="0.2">
      <c r="A419" s="50" t="s">
        <v>2617</v>
      </c>
      <c r="B419" s="50" t="s">
        <v>227</v>
      </c>
      <c r="C419" s="50" t="s">
        <v>1624</v>
      </c>
      <c r="D419" s="50" t="s">
        <v>1624</v>
      </c>
      <c r="E419" s="50" t="s">
        <v>2077</v>
      </c>
      <c r="F419" s="50" t="s">
        <v>2078</v>
      </c>
      <c r="G419" s="50" t="s">
        <v>2079</v>
      </c>
      <c r="H419" s="50" t="s">
        <v>2078</v>
      </c>
    </row>
    <row r="420" spans="1:8" x14ac:dyDescent="0.2">
      <c r="A420" s="50" t="s">
        <v>2618</v>
      </c>
      <c r="B420" s="50" t="s">
        <v>2080</v>
      </c>
      <c r="C420" s="50" t="s">
        <v>1624</v>
      </c>
      <c r="D420" s="50" t="s">
        <v>1624</v>
      </c>
      <c r="E420" s="50" t="s">
        <v>2077</v>
      </c>
      <c r="F420" s="50" t="s">
        <v>2078</v>
      </c>
      <c r="G420" s="50" t="s">
        <v>2079</v>
      </c>
      <c r="H420" s="50" t="s">
        <v>2078</v>
      </c>
    </row>
    <row r="421" spans="1:8" x14ac:dyDescent="0.2">
      <c r="A421" s="50" t="s">
        <v>2619</v>
      </c>
      <c r="B421" s="50" t="s">
        <v>1525</v>
      </c>
      <c r="C421" s="50" t="s">
        <v>1624</v>
      </c>
      <c r="D421" s="50" t="s">
        <v>1624</v>
      </c>
      <c r="E421" s="50" t="s">
        <v>2081</v>
      </c>
      <c r="F421" s="50" t="s">
        <v>2082</v>
      </c>
      <c r="G421" s="50" t="s">
        <v>2083</v>
      </c>
      <c r="H421" s="50" t="s">
        <v>2082</v>
      </c>
    </row>
    <row r="422" spans="1:8" x14ac:dyDescent="0.2">
      <c r="A422" s="50" t="s">
        <v>2620</v>
      </c>
      <c r="B422" s="50" t="s">
        <v>286</v>
      </c>
      <c r="C422" s="50" t="s">
        <v>1624</v>
      </c>
      <c r="D422" s="50" t="s">
        <v>1624</v>
      </c>
      <c r="E422" s="50" t="s">
        <v>2081</v>
      </c>
      <c r="F422" s="50" t="s">
        <v>2082</v>
      </c>
      <c r="G422" s="50" t="s">
        <v>2083</v>
      </c>
      <c r="H422" s="50" t="s">
        <v>2082</v>
      </c>
    </row>
    <row r="423" spans="1:8" x14ac:dyDescent="0.2">
      <c r="A423" s="50" t="s">
        <v>476</v>
      </c>
      <c r="B423" s="50" t="s">
        <v>558</v>
      </c>
      <c r="C423" s="50" t="s">
        <v>1624</v>
      </c>
      <c r="D423" s="50" t="s">
        <v>1624</v>
      </c>
      <c r="E423" s="50" t="s">
        <v>2084</v>
      </c>
      <c r="F423" s="50" t="s">
        <v>2084</v>
      </c>
      <c r="G423" s="50" t="s">
        <v>2085</v>
      </c>
      <c r="H423" s="50" t="s">
        <v>2086</v>
      </c>
    </row>
    <row r="424" spans="1:8" x14ac:dyDescent="0.2">
      <c r="A424" s="50" t="s">
        <v>495</v>
      </c>
      <c r="B424" s="50" t="s">
        <v>560</v>
      </c>
      <c r="C424" s="50" t="s">
        <v>1624</v>
      </c>
      <c r="D424" s="50" t="s">
        <v>1624</v>
      </c>
      <c r="E424" s="50" t="s">
        <v>2084</v>
      </c>
      <c r="F424" s="50" t="s">
        <v>2084</v>
      </c>
      <c r="G424" s="50" t="s">
        <v>2085</v>
      </c>
      <c r="H424" s="50" t="s">
        <v>2086</v>
      </c>
    </row>
    <row r="425" spans="1:8" x14ac:dyDescent="0.2">
      <c r="A425" s="50" t="s">
        <v>498</v>
      </c>
      <c r="B425" s="50" t="s">
        <v>2087</v>
      </c>
      <c r="C425" s="50" t="s">
        <v>1624</v>
      </c>
      <c r="D425" s="50" t="s">
        <v>1624</v>
      </c>
      <c r="E425" s="50" t="s">
        <v>2084</v>
      </c>
      <c r="F425" s="50" t="s">
        <v>2084</v>
      </c>
      <c r="G425" s="50" t="s">
        <v>2085</v>
      </c>
      <c r="H425" s="50" t="s">
        <v>2086</v>
      </c>
    </row>
    <row r="426" spans="1:8" x14ac:dyDescent="0.2">
      <c r="A426" s="50" t="s">
        <v>499</v>
      </c>
      <c r="B426" s="50" t="s">
        <v>290</v>
      </c>
      <c r="C426" s="50" t="s">
        <v>1624</v>
      </c>
      <c r="D426" s="50" t="s">
        <v>1624</v>
      </c>
      <c r="E426" s="50" t="s">
        <v>2084</v>
      </c>
      <c r="F426" s="50" t="s">
        <v>2084</v>
      </c>
      <c r="G426" s="50" t="s">
        <v>2085</v>
      </c>
      <c r="H426" s="50" t="s">
        <v>2086</v>
      </c>
    </row>
    <row r="427" spans="1:8" x14ac:dyDescent="0.2">
      <c r="A427" s="50" t="s">
        <v>505</v>
      </c>
      <c r="B427" s="50" t="s">
        <v>225</v>
      </c>
      <c r="C427" s="50" t="s">
        <v>1624</v>
      </c>
      <c r="D427" s="50" t="s">
        <v>1624</v>
      </c>
      <c r="E427" s="50" t="s">
        <v>2084</v>
      </c>
      <c r="F427" s="50" t="s">
        <v>2084</v>
      </c>
      <c r="G427" s="50" t="s">
        <v>2085</v>
      </c>
      <c r="H427" s="50" t="s">
        <v>2086</v>
      </c>
    </row>
    <row r="428" spans="1:8" x14ac:dyDescent="0.2">
      <c r="A428" s="50" t="s">
        <v>2621</v>
      </c>
      <c r="B428" s="50" t="s">
        <v>2088</v>
      </c>
      <c r="C428" s="50" t="s">
        <v>1624</v>
      </c>
      <c r="D428" s="50" t="s">
        <v>1624</v>
      </c>
      <c r="E428" s="50" t="s">
        <v>2084</v>
      </c>
      <c r="F428" s="50" t="s">
        <v>2084</v>
      </c>
      <c r="G428" s="50" t="s">
        <v>2085</v>
      </c>
      <c r="H428" s="50" t="s">
        <v>2086</v>
      </c>
    </row>
    <row r="429" spans="1:8" x14ac:dyDescent="0.2">
      <c r="A429" s="50" t="s">
        <v>509</v>
      </c>
      <c r="B429" s="50" t="s">
        <v>567</v>
      </c>
      <c r="C429" s="50" t="s">
        <v>1624</v>
      </c>
      <c r="D429" s="50" t="s">
        <v>1624</v>
      </c>
      <c r="E429" s="50" t="s">
        <v>2089</v>
      </c>
      <c r="F429" s="50" t="s">
        <v>2089</v>
      </c>
      <c r="G429" s="50" t="s">
        <v>2090</v>
      </c>
      <c r="H429" s="50" t="s">
        <v>2091</v>
      </c>
    </row>
    <row r="430" spans="1:8" x14ac:dyDescent="0.2">
      <c r="A430" s="50" t="s">
        <v>2622</v>
      </c>
      <c r="B430" s="50" t="s">
        <v>2092</v>
      </c>
      <c r="C430" s="50" t="s">
        <v>1624</v>
      </c>
      <c r="D430" s="50" t="s">
        <v>1624</v>
      </c>
      <c r="E430" s="50" t="s">
        <v>2089</v>
      </c>
      <c r="F430" s="50" t="s">
        <v>2089</v>
      </c>
      <c r="G430" s="50" t="s">
        <v>2083</v>
      </c>
      <c r="H430" s="50" t="s">
        <v>2082</v>
      </c>
    </row>
    <row r="431" spans="1:8" x14ac:dyDescent="0.2">
      <c r="A431" s="50" t="s">
        <v>2623</v>
      </c>
      <c r="B431" s="50" t="s">
        <v>2093</v>
      </c>
      <c r="C431" s="50" t="s">
        <v>1624</v>
      </c>
      <c r="D431" s="50" t="s">
        <v>1624</v>
      </c>
      <c r="E431" s="50" t="s">
        <v>2089</v>
      </c>
      <c r="F431" s="50" t="s">
        <v>2089</v>
      </c>
      <c r="G431" s="50" t="s">
        <v>2083</v>
      </c>
      <c r="H431" s="50" t="s">
        <v>2082</v>
      </c>
    </row>
    <row r="432" spans="1:8" x14ac:dyDescent="0.2">
      <c r="A432" s="50" t="s">
        <v>2624</v>
      </c>
      <c r="B432" s="50" t="s">
        <v>569</v>
      </c>
      <c r="C432" s="50" t="s">
        <v>1624</v>
      </c>
      <c r="D432" s="50" t="s">
        <v>1624</v>
      </c>
      <c r="E432" s="50" t="s">
        <v>2089</v>
      </c>
      <c r="F432" s="50" t="s">
        <v>2089</v>
      </c>
      <c r="G432" s="50" t="s">
        <v>2090</v>
      </c>
      <c r="H432" s="50" t="s">
        <v>2091</v>
      </c>
    </row>
    <row r="433" spans="1:8" x14ac:dyDescent="0.2">
      <c r="A433" s="50" t="s">
        <v>2625</v>
      </c>
      <c r="B433" s="50" t="s">
        <v>571</v>
      </c>
      <c r="C433" s="50" t="s">
        <v>1624</v>
      </c>
      <c r="D433" s="50" t="s">
        <v>1624</v>
      </c>
      <c r="E433" s="50" t="s">
        <v>2089</v>
      </c>
      <c r="F433" s="50" t="s">
        <v>2089</v>
      </c>
      <c r="G433" s="50" t="s">
        <v>2090</v>
      </c>
      <c r="H433" s="50" t="s">
        <v>2091</v>
      </c>
    </row>
    <row r="434" spans="1:8" x14ac:dyDescent="0.2">
      <c r="A434" s="50" t="s">
        <v>2626</v>
      </c>
      <c r="B434" s="50" t="s">
        <v>1528</v>
      </c>
      <c r="C434" s="50" t="s">
        <v>1624</v>
      </c>
      <c r="D434" s="50" t="s">
        <v>1624</v>
      </c>
      <c r="E434" s="50" t="s">
        <v>2089</v>
      </c>
      <c r="F434" s="50" t="s">
        <v>2089</v>
      </c>
      <c r="G434" s="50" t="s">
        <v>2090</v>
      </c>
      <c r="H434" s="50" t="s">
        <v>2091</v>
      </c>
    </row>
    <row r="435" spans="1:8" x14ac:dyDescent="0.2">
      <c r="A435" s="50" t="s">
        <v>2627</v>
      </c>
      <c r="B435" s="50" t="s">
        <v>1529</v>
      </c>
      <c r="C435" s="50" t="s">
        <v>1624</v>
      </c>
      <c r="D435" s="50" t="s">
        <v>1624</v>
      </c>
      <c r="E435" s="50" t="s">
        <v>2089</v>
      </c>
      <c r="F435" s="50" t="s">
        <v>2089</v>
      </c>
      <c r="G435" s="50" t="s">
        <v>2090</v>
      </c>
      <c r="H435" s="50" t="s">
        <v>2091</v>
      </c>
    </row>
    <row r="436" spans="1:8" x14ac:dyDescent="0.2">
      <c r="A436" s="50" t="s">
        <v>2628</v>
      </c>
      <c r="B436" s="50" t="s">
        <v>1530</v>
      </c>
      <c r="C436" s="50" t="s">
        <v>1624</v>
      </c>
      <c r="D436" s="50" t="s">
        <v>1624</v>
      </c>
      <c r="E436" s="50" t="s">
        <v>2089</v>
      </c>
      <c r="F436" s="50" t="s">
        <v>2089</v>
      </c>
      <c r="G436" s="50" t="s">
        <v>2090</v>
      </c>
      <c r="H436" s="50" t="s">
        <v>2091</v>
      </c>
    </row>
    <row r="437" spans="1:8" x14ac:dyDescent="0.2">
      <c r="A437" s="50" t="s">
        <v>2629</v>
      </c>
      <c r="B437" s="50" t="s">
        <v>1531</v>
      </c>
      <c r="C437" s="50" t="s">
        <v>1624</v>
      </c>
      <c r="D437" s="50" t="s">
        <v>1624</v>
      </c>
      <c r="E437" s="50" t="s">
        <v>2089</v>
      </c>
      <c r="F437" s="50" t="s">
        <v>2089</v>
      </c>
      <c r="G437" s="50" t="s">
        <v>2090</v>
      </c>
      <c r="H437" s="50" t="s">
        <v>2091</v>
      </c>
    </row>
    <row r="438" spans="1:8" x14ac:dyDescent="0.2">
      <c r="A438" s="50" t="s">
        <v>2630</v>
      </c>
      <c r="B438" s="50" t="s">
        <v>1532</v>
      </c>
      <c r="C438" s="50" t="s">
        <v>1624</v>
      </c>
      <c r="D438" s="50" t="s">
        <v>1624</v>
      </c>
      <c r="E438" s="50" t="s">
        <v>2089</v>
      </c>
      <c r="F438" s="50" t="s">
        <v>2089</v>
      </c>
      <c r="G438" s="50" t="s">
        <v>2090</v>
      </c>
      <c r="H438" s="50" t="s">
        <v>2091</v>
      </c>
    </row>
    <row r="439" spans="1:8" x14ac:dyDescent="0.2">
      <c r="A439" s="50" t="s">
        <v>2631</v>
      </c>
      <c r="B439" s="50" t="s">
        <v>1533</v>
      </c>
      <c r="C439" s="50" t="s">
        <v>1624</v>
      </c>
      <c r="D439" s="50" t="s">
        <v>1624</v>
      </c>
      <c r="E439" s="50" t="s">
        <v>2089</v>
      </c>
      <c r="F439" s="50" t="s">
        <v>2089</v>
      </c>
      <c r="G439" s="50" t="s">
        <v>2090</v>
      </c>
      <c r="H439" s="50" t="s">
        <v>2091</v>
      </c>
    </row>
    <row r="440" spans="1:8" x14ac:dyDescent="0.2">
      <c r="A440" s="50" t="s">
        <v>2632</v>
      </c>
      <c r="B440" s="50" t="s">
        <v>583</v>
      </c>
      <c r="C440" s="50" t="s">
        <v>1624</v>
      </c>
      <c r="D440" s="50" t="s">
        <v>1624</v>
      </c>
      <c r="E440" s="50" t="s">
        <v>2089</v>
      </c>
      <c r="F440" s="50" t="s">
        <v>2089</v>
      </c>
      <c r="G440" s="50" t="s">
        <v>2090</v>
      </c>
      <c r="H440" s="50" t="s">
        <v>2091</v>
      </c>
    </row>
    <row r="441" spans="1:8" x14ac:dyDescent="0.2">
      <c r="A441" s="50" t="s">
        <v>2633</v>
      </c>
      <c r="B441" s="50" t="s">
        <v>585</v>
      </c>
      <c r="C441" s="50" t="s">
        <v>1624</v>
      </c>
      <c r="D441" s="50" t="s">
        <v>1624</v>
      </c>
      <c r="E441" s="50" t="s">
        <v>2089</v>
      </c>
      <c r="F441" s="50" t="s">
        <v>2089</v>
      </c>
      <c r="G441" s="50" t="s">
        <v>2090</v>
      </c>
      <c r="H441" s="50" t="s">
        <v>2091</v>
      </c>
    </row>
    <row r="442" spans="1:8" x14ac:dyDescent="0.2">
      <c r="A442" s="50" t="s">
        <v>2634</v>
      </c>
      <c r="B442" s="50" t="s">
        <v>1534</v>
      </c>
      <c r="C442" s="50" t="s">
        <v>1624</v>
      </c>
      <c r="D442" s="50" t="s">
        <v>1624</v>
      </c>
      <c r="E442" s="50" t="s">
        <v>2089</v>
      </c>
      <c r="F442" s="50" t="s">
        <v>2089</v>
      </c>
      <c r="G442" s="50" t="s">
        <v>2090</v>
      </c>
      <c r="H442" s="50" t="s">
        <v>2091</v>
      </c>
    </row>
    <row r="443" spans="1:8" x14ac:dyDescent="0.2">
      <c r="A443" s="50" t="s">
        <v>2635</v>
      </c>
      <c r="B443" s="50" t="s">
        <v>588</v>
      </c>
      <c r="C443" s="50" t="s">
        <v>1624</v>
      </c>
      <c r="D443" s="50" t="s">
        <v>1624</v>
      </c>
      <c r="E443" s="50" t="s">
        <v>2089</v>
      </c>
      <c r="F443" s="50" t="s">
        <v>2089</v>
      </c>
      <c r="G443" s="50" t="s">
        <v>2090</v>
      </c>
      <c r="H443" s="50" t="s">
        <v>2091</v>
      </c>
    </row>
    <row r="444" spans="1:8" x14ac:dyDescent="0.2">
      <c r="A444" s="50" t="s">
        <v>2636</v>
      </c>
      <c r="B444" s="50" t="s">
        <v>591</v>
      </c>
      <c r="C444" s="50" t="s">
        <v>1624</v>
      </c>
      <c r="D444" s="50" t="s">
        <v>1624</v>
      </c>
      <c r="E444" s="50" t="s">
        <v>2089</v>
      </c>
      <c r="F444" s="50" t="s">
        <v>2089</v>
      </c>
      <c r="G444" s="50" t="s">
        <v>2090</v>
      </c>
      <c r="H444" s="50" t="s">
        <v>2091</v>
      </c>
    </row>
    <row r="445" spans="1:8" x14ac:dyDescent="0.2">
      <c r="A445" s="50" t="s">
        <v>2637</v>
      </c>
      <c r="B445" s="50" t="s">
        <v>146</v>
      </c>
      <c r="C445" s="50" t="s">
        <v>1624</v>
      </c>
      <c r="D445" s="50" t="s">
        <v>1624</v>
      </c>
      <c r="E445" s="50" t="s">
        <v>2089</v>
      </c>
      <c r="F445" s="50" t="s">
        <v>2089</v>
      </c>
      <c r="G445" s="50" t="s">
        <v>2090</v>
      </c>
      <c r="H445" s="50" t="s">
        <v>2091</v>
      </c>
    </row>
    <row r="446" spans="1:8" x14ac:dyDescent="0.2">
      <c r="A446" s="50" t="s">
        <v>2638</v>
      </c>
      <c r="B446" s="50" t="s">
        <v>594</v>
      </c>
      <c r="C446" s="50" t="s">
        <v>1624</v>
      </c>
      <c r="D446" s="50" t="s">
        <v>1624</v>
      </c>
      <c r="E446" s="50" t="s">
        <v>2089</v>
      </c>
      <c r="F446" s="50" t="s">
        <v>2089</v>
      </c>
      <c r="G446" s="50" t="s">
        <v>2090</v>
      </c>
      <c r="H446" s="50" t="s">
        <v>2091</v>
      </c>
    </row>
    <row r="447" spans="1:8" x14ac:dyDescent="0.2">
      <c r="A447" s="50" t="s">
        <v>2639</v>
      </c>
      <c r="B447" s="50" t="s">
        <v>596</v>
      </c>
      <c r="C447" s="50" t="s">
        <v>1624</v>
      </c>
      <c r="D447" s="50" t="s">
        <v>1624</v>
      </c>
      <c r="E447" s="50" t="s">
        <v>2089</v>
      </c>
      <c r="F447" s="50" t="s">
        <v>2089</v>
      </c>
      <c r="G447" s="50" t="s">
        <v>2090</v>
      </c>
      <c r="H447" s="50" t="s">
        <v>2091</v>
      </c>
    </row>
    <row r="448" spans="1:8" x14ac:dyDescent="0.2">
      <c r="A448" s="50" t="s">
        <v>2640</v>
      </c>
      <c r="B448" s="50" t="s">
        <v>293</v>
      </c>
      <c r="C448" s="50" t="s">
        <v>1624</v>
      </c>
      <c r="D448" s="50" t="s">
        <v>1624</v>
      </c>
      <c r="E448" s="50" t="s">
        <v>2089</v>
      </c>
      <c r="F448" s="50" t="s">
        <v>2089</v>
      </c>
      <c r="G448" s="50" t="s">
        <v>2090</v>
      </c>
      <c r="H448" s="50" t="s">
        <v>2091</v>
      </c>
    </row>
    <row r="449" spans="1:8" x14ac:dyDescent="0.2">
      <c r="A449" s="50" t="s">
        <v>2641</v>
      </c>
      <c r="B449" s="50" t="s">
        <v>599</v>
      </c>
      <c r="C449" s="50" t="s">
        <v>1624</v>
      </c>
      <c r="D449" s="50" t="s">
        <v>1624</v>
      </c>
      <c r="E449" s="50" t="s">
        <v>2089</v>
      </c>
      <c r="F449" s="50" t="s">
        <v>2089</v>
      </c>
      <c r="G449" s="50" t="s">
        <v>2090</v>
      </c>
      <c r="H449" s="50" t="s">
        <v>2091</v>
      </c>
    </row>
    <row r="450" spans="1:8" x14ac:dyDescent="0.2">
      <c r="A450" s="50" t="s">
        <v>2642</v>
      </c>
      <c r="B450" s="50" t="s">
        <v>601</v>
      </c>
      <c r="C450" s="50" t="s">
        <v>1624</v>
      </c>
      <c r="D450" s="50" t="s">
        <v>1624</v>
      </c>
      <c r="E450" s="50" t="s">
        <v>2089</v>
      </c>
      <c r="F450" s="50" t="s">
        <v>2089</v>
      </c>
      <c r="G450" s="50" t="s">
        <v>2090</v>
      </c>
      <c r="H450" s="50" t="s">
        <v>2091</v>
      </c>
    </row>
    <row r="451" spans="1:8" x14ac:dyDescent="0.2">
      <c r="A451" s="50" t="s">
        <v>2643</v>
      </c>
      <c r="B451" s="50" t="s">
        <v>230</v>
      </c>
      <c r="C451" s="50" t="s">
        <v>1624</v>
      </c>
      <c r="D451" s="50" t="s">
        <v>1624</v>
      </c>
      <c r="E451" s="50" t="s">
        <v>2089</v>
      </c>
      <c r="F451" s="50" t="s">
        <v>2089</v>
      </c>
      <c r="G451" s="50" t="s">
        <v>2090</v>
      </c>
      <c r="H451" s="50" t="s">
        <v>2091</v>
      </c>
    </row>
    <row r="452" spans="1:8" x14ac:dyDescent="0.2">
      <c r="A452" s="50" t="s">
        <v>2644</v>
      </c>
      <c r="B452" s="50" t="s">
        <v>229</v>
      </c>
      <c r="C452" s="50" t="s">
        <v>1624</v>
      </c>
      <c r="D452" s="50" t="s">
        <v>1624</v>
      </c>
      <c r="E452" s="50" t="s">
        <v>2089</v>
      </c>
      <c r="F452" s="50" t="s">
        <v>2089</v>
      </c>
      <c r="G452" s="50" t="s">
        <v>2090</v>
      </c>
      <c r="H452" s="50" t="s">
        <v>2091</v>
      </c>
    </row>
    <row r="453" spans="1:8" x14ac:dyDescent="0.2">
      <c r="A453" s="50" t="s">
        <v>2645</v>
      </c>
      <c r="B453" s="50" t="s">
        <v>1536</v>
      </c>
      <c r="C453" s="50" t="s">
        <v>1624</v>
      </c>
      <c r="D453" s="50" t="s">
        <v>1624</v>
      </c>
      <c r="E453" s="50" t="s">
        <v>2089</v>
      </c>
      <c r="F453" s="50" t="s">
        <v>2089</v>
      </c>
      <c r="G453" s="50" t="s">
        <v>2090</v>
      </c>
      <c r="H453" s="50" t="s">
        <v>2091</v>
      </c>
    </row>
    <row r="454" spans="1:8" x14ac:dyDescent="0.2">
      <c r="A454" s="50" t="s">
        <v>2646</v>
      </c>
      <c r="B454" s="50" t="s">
        <v>2094</v>
      </c>
      <c r="C454" s="50" t="s">
        <v>1624</v>
      </c>
      <c r="D454" s="50" t="s">
        <v>1624</v>
      </c>
      <c r="E454" s="50" t="s">
        <v>2089</v>
      </c>
      <c r="F454" s="50" t="s">
        <v>2089</v>
      </c>
      <c r="G454" s="50" t="s">
        <v>2090</v>
      </c>
      <c r="H454" s="50" t="s">
        <v>2091</v>
      </c>
    </row>
    <row r="455" spans="1:8" x14ac:dyDescent="0.2">
      <c r="A455" s="50" t="s">
        <v>533</v>
      </c>
      <c r="B455" s="50" t="s">
        <v>148</v>
      </c>
      <c r="C455" s="50" t="s">
        <v>1624</v>
      </c>
      <c r="D455" s="50" t="s">
        <v>1624</v>
      </c>
      <c r="E455" s="50" t="s">
        <v>2095</v>
      </c>
      <c r="F455" s="50" t="s">
        <v>2095</v>
      </c>
      <c r="G455" s="50" t="s">
        <v>2096</v>
      </c>
      <c r="H455" s="50" t="s">
        <v>2097</v>
      </c>
    </row>
    <row r="456" spans="1:8" x14ac:dyDescent="0.2">
      <c r="A456" s="50" t="s">
        <v>2647</v>
      </c>
      <c r="B456" s="50" t="s">
        <v>613</v>
      </c>
      <c r="C456" s="50" t="s">
        <v>1624</v>
      </c>
      <c r="D456" s="50" t="s">
        <v>1624</v>
      </c>
      <c r="E456" s="50" t="s">
        <v>2095</v>
      </c>
      <c r="F456" s="50" t="s">
        <v>2095</v>
      </c>
      <c r="G456" s="50" t="s">
        <v>2096</v>
      </c>
      <c r="H456" s="50" t="s">
        <v>2097</v>
      </c>
    </row>
    <row r="457" spans="1:8" x14ac:dyDescent="0.2">
      <c r="A457" s="50" t="s">
        <v>2648</v>
      </c>
      <c r="B457" s="50" t="s">
        <v>149</v>
      </c>
      <c r="C457" s="50" t="s">
        <v>1624</v>
      </c>
      <c r="D457" s="50" t="s">
        <v>1624</v>
      </c>
      <c r="E457" s="50" t="s">
        <v>2095</v>
      </c>
      <c r="F457" s="50" t="s">
        <v>2095</v>
      </c>
      <c r="G457" s="50" t="s">
        <v>2096</v>
      </c>
      <c r="H457" s="50" t="s">
        <v>2097</v>
      </c>
    </row>
    <row r="458" spans="1:8" x14ac:dyDescent="0.2">
      <c r="A458" s="50" t="s">
        <v>2649</v>
      </c>
      <c r="B458" s="50" t="s">
        <v>150</v>
      </c>
      <c r="C458" s="50" t="s">
        <v>1624</v>
      </c>
      <c r="D458" s="50" t="s">
        <v>1624</v>
      </c>
      <c r="E458" s="50" t="s">
        <v>2095</v>
      </c>
      <c r="F458" s="50" t="s">
        <v>2095</v>
      </c>
      <c r="G458" s="50" t="s">
        <v>2096</v>
      </c>
      <c r="H458" s="50" t="s">
        <v>2097</v>
      </c>
    </row>
    <row r="459" spans="1:8" x14ac:dyDescent="0.2">
      <c r="A459" s="50" t="s">
        <v>2650</v>
      </c>
      <c r="B459" s="50" t="s">
        <v>151</v>
      </c>
      <c r="C459" s="50" t="s">
        <v>1624</v>
      </c>
      <c r="D459" s="50" t="s">
        <v>1624</v>
      </c>
      <c r="E459" s="50" t="s">
        <v>2095</v>
      </c>
      <c r="F459" s="50" t="s">
        <v>2095</v>
      </c>
      <c r="G459" s="50" t="s">
        <v>2096</v>
      </c>
      <c r="H459" s="50" t="s">
        <v>2097</v>
      </c>
    </row>
    <row r="460" spans="1:8" x14ac:dyDescent="0.2">
      <c r="A460" s="50" t="s">
        <v>2651</v>
      </c>
      <c r="B460" s="50" t="s">
        <v>152</v>
      </c>
      <c r="C460" s="50" t="s">
        <v>1624</v>
      </c>
      <c r="D460" s="50" t="s">
        <v>1624</v>
      </c>
      <c r="E460" s="50" t="s">
        <v>2095</v>
      </c>
      <c r="F460" s="50" t="s">
        <v>2095</v>
      </c>
      <c r="G460" s="50" t="s">
        <v>2096</v>
      </c>
      <c r="H460" s="50" t="s">
        <v>2097</v>
      </c>
    </row>
    <row r="461" spans="1:8" x14ac:dyDescent="0.2">
      <c r="A461" s="50" t="s">
        <v>2652</v>
      </c>
      <c r="B461" s="50" t="s">
        <v>153</v>
      </c>
      <c r="C461" s="50" t="s">
        <v>1624</v>
      </c>
      <c r="D461" s="50" t="s">
        <v>1624</v>
      </c>
      <c r="E461" s="50" t="s">
        <v>2095</v>
      </c>
      <c r="F461" s="50" t="s">
        <v>2095</v>
      </c>
      <c r="G461" s="50" t="s">
        <v>2096</v>
      </c>
      <c r="H461" s="50" t="s">
        <v>2097</v>
      </c>
    </row>
    <row r="462" spans="1:8" x14ac:dyDescent="0.2">
      <c r="A462" s="50" t="s">
        <v>2653</v>
      </c>
      <c r="B462" s="50" t="s">
        <v>1538</v>
      </c>
      <c r="C462" s="50" t="s">
        <v>1624</v>
      </c>
      <c r="D462" s="50" t="s">
        <v>1624</v>
      </c>
      <c r="E462" s="50" t="s">
        <v>2095</v>
      </c>
      <c r="F462" s="50" t="s">
        <v>2095</v>
      </c>
      <c r="G462" s="50" t="s">
        <v>2096</v>
      </c>
      <c r="H462" s="50" t="s">
        <v>2097</v>
      </c>
    </row>
    <row r="463" spans="1:8" x14ac:dyDescent="0.2">
      <c r="A463" s="50" t="s">
        <v>2654</v>
      </c>
      <c r="B463" s="50" t="s">
        <v>20</v>
      </c>
      <c r="C463" s="50" t="s">
        <v>1624</v>
      </c>
      <c r="D463" s="50" t="s">
        <v>1624</v>
      </c>
      <c r="E463" s="50" t="s">
        <v>2095</v>
      </c>
      <c r="F463" s="50" t="s">
        <v>2095</v>
      </c>
      <c r="G463" s="50" t="s">
        <v>2096</v>
      </c>
      <c r="H463" s="50" t="s">
        <v>2097</v>
      </c>
    </row>
    <row r="464" spans="1:8" x14ac:dyDescent="0.2">
      <c r="A464" s="50" t="s">
        <v>2655</v>
      </c>
      <c r="B464" s="50" t="s">
        <v>623</v>
      </c>
      <c r="C464" s="50" t="s">
        <v>1624</v>
      </c>
      <c r="D464" s="50" t="s">
        <v>1624</v>
      </c>
      <c r="E464" s="50" t="s">
        <v>2095</v>
      </c>
      <c r="F464" s="50" t="s">
        <v>2095</v>
      </c>
      <c r="G464" s="50" t="s">
        <v>2096</v>
      </c>
      <c r="H464" s="50" t="s">
        <v>2097</v>
      </c>
    </row>
    <row r="465" spans="1:8" x14ac:dyDescent="0.2">
      <c r="A465" s="50" t="s">
        <v>2656</v>
      </c>
      <c r="B465" s="50" t="s">
        <v>155</v>
      </c>
      <c r="C465" s="50" t="s">
        <v>1624</v>
      </c>
      <c r="D465" s="50" t="s">
        <v>1624</v>
      </c>
      <c r="E465" s="50" t="s">
        <v>2095</v>
      </c>
      <c r="F465" s="50" t="s">
        <v>2095</v>
      </c>
      <c r="G465" s="50" t="s">
        <v>2096</v>
      </c>
      <c r="H465" s="50" t="s">
        <v>2097</v>
      </c>
    </row>
    <row r="466" spans="1:8" x14ac:dyDescent="0.2">
      <c r="A466" s="50" t="s">
        <v>2657</v>
      </c>
      <c r="B466" s="50" t="s">
        <v>108</v>
      </c>
      <c r="C466" s="50" t="s">
        <v>1624</v>
      </c>
      <c r="D466" s="50" t="s">
        <v>1624</v>
      </c>
      <c r="E466" s="50" t="s">
        <v>2095</v>
      </c>
      <c r="F466" s="50" t="s">
        <v>2095</v>
      </c>
      <c r="G466" s="50" t="s">
        <v>2096</v>
      </c>
      <c r="H466" s="50" t="s">
        <v>2097</v>
      </c>
    </row>
    <row r="467" spans="1:8" x14ac:dyDescent="0.2">
      <c r="A467" s="50" t="s">
        <v>2658</v>
      </c>
      <c r="B467" s="50" t="s">
        <v>627</v>
      </c>
      <c r="C467" s="50" t="s">
        <v>1624</v>
      </c>
      <c r="D467" s="50" t="s">
        <v>1624</v>
      </c>
      <c r="E467" s="50" t="s">
        <v>2095</v>
      </c>
      <c r="F467" s="50" t="s">
        <v>2095</v>
      </c>
      <c r="G467" s="50" t="s">
        <v>2096</v>
      </c>
      <c r="H467" s="50" t="s">
        <v>2097</v>
      </c>
    </row>
    <row r="468" spans="1:8" x14ac:dyDescent="0.2">
      <c r="A468" s="50" t="s">
        <v>2659</v>
      </c>
      <c r="B468" s="50" t="s">
        <v>156</v>
      </c>
      <c r="C468" s="50" t="s">
        <v>1624</v>
      </c>
      <c r="D468" s="50" t="s">
        <v>1624</v>
      </c>
      <c r="E468" s="50" t="s">
        <v>2095</v>
      </c>
      <c r="F468" s="50" t="s">
        <v>2095</v>
      </c>
      <c r="G468" s="50" t="s">
        <v>2096</v>
      </c>
      <c r="H468" s="50" t="s">
        <v>2097</v>
      </c>
    </row>
    <row r="469" spans="1:8" x14ac:dyDescent="0.2">
      <c r="A469" s="50" t="s">
        <v>2660</v>
      </c>
      <c r="B469" s="50" t="s">
        <v>1539</v>
      </c>
      <c r="C469" s="50" t="s">
        <v>1624</v>
      </c>
      <c r="D469" s="50" t="s">
        <v>1624</v>
      </c>
      <c r="E469" s="50" t="s">
        <v>2095</v>
      </c>
      <c r="F469" s="50" t="s">
        <v>2095</v>
      </c>
      <c r="G469" s="50" t="s">
        <v>2096</v>
      </c>
      <c r="H469" s="50" t="s">
        <v>2097</v>
      </c>
    </row>
    <row r="470" spans="1:8" x14ac:dyDescent="0.2">
      <c r="A470" s="50" t="s">
        <v>2661</v>
      </c>
      <c r="B470" s="50" t="s">
        <v>634</v>
      </c>
      <c r="C470" s="50" t="s">
        <v>1624</v>
      </c>
      <c r="D470" s="50" t="s">
        <v>1624</v>
      </c>
      <c r="E470" s="50" t="s">
        <v>2095</v>
      </c>
      <c r="F470" s="50" t="s">
        <v>2095</v>
      </c>
      <c r="G470" s="50" t="s">
        <v>2096</v>
      </c>
      <c r="H470" s="50" t="s">
        <v>2097</v>
      </c>
    </row>
    <row r="471" spans="1:8" x14ac:dyDescent="0.2">
      <c r="A471" s="50" t="s">
        <v>2662</v>
      </c>
      <c r="B471" s="50" t="s">
        <v>636</v>
      </c>
      <c r="C471" s="50" t="s">
        <v>1624</v>
      </c>
      <c r="D471" s="50" t="s">
        <v>1624</v>
      </c>
      <c r="E471" s="50" t="s">
        <v>2095</v>
      </c>
      <c r="F471" s="50" t="s">
        <v>2095</v>
      </c>
      <c r="G471" s="50" t="s">
        <v>2096</v>
      </c>
      <c r="H471" s="50" t="s">
        <v>2097</v>
      </c>
    </row>
    <row r="472" spans="1:8" x14ac:dyDescent="0.2">
      <c r="A472" s="50" t="s">
        <v>2663</v>
      </c>
      <c r="B472" s="50" t="s">
        <v>1540</v>
      </c>
      <c r="C472" s="50" t="s">
        <v>1624</v>
      </c>
      <c r="D472" s="50" t="s">
        <v>1624</v>
      </c>
      <c r="E472" s="50" t="s">
        <v>2095</v>
      </c>
      <c r="F472" s="50" t="s">
        <v>2095</v>
      </c>
      <c r="G472" s="50" t="s">
        <v>2096</v>
      </c>
      <c r="H472" s="50" t="s">
        <v>2097</v>
      </c>
    </row>
    <row r="473" spans="1:8" x14ac:dyDescent="0.2">
      <c r="A473" s="50" t="s">
        <v>2664</v>
      </c>
      <c r="B473" s="50" t="s">
        <v>640</v>
      </c>
      <c r="C473" s="50" t="s">
        <v>1624</v>
      </c>
      <c r="D473" s="50" t="s">
        <v>1624</v>
      </c>
      <c r="E473" s="50" t="s">
        <v>2095</v>
      </c>
      <c r="F473" s="50" t="s">
        <v>2095</v>
      </c>
      <c r="G473" s="50" t="s">
        <v>2096</v>
      </c>
      <c r="H473" s="50" t="s">
        <v>2097</v>
      </c>
    </row>
    <row r="474" spans="1:8" x14ac:dyDescent="0.2">
      <c r="A474" s="50" t="s">
        <v>2665</v>
      </c>
      <c r="B474" s="50" t="s">
        <v>642</v>
      </c>
      <c r="C474" s="50" t="s">
        <v>1624</v>
      </c>
      <c r="D474" s="50" t="s">
        <v>1624</v>
      </c>
      <c r="E474" s="50" t="s">
        <v>2095</v>
      </c>
      <c r="F474" s="50" t="s">
        <v>2095</v>
      </c>
      <c r="G474" s="50" t="s">
        <v>2096</v>
      </c>
      <c r="H474" s="50" t="s">
        <v>2097</v>
      </c>
    </row>
    <row r="475" spans="1:8" x14ac:dyDescent="0.2">
      <c r="A475" s="50" t="s">
        <v>535</v>
      </c>
      <c r="B475" s="50" t="s">
        <v>644</v>
      </c>
      <c r="C475" s="50" t="s">
        <v>1624</v>
      </c>
      <c r="D475" s="50" t="s">
        <v>1624</v>
      </c>
      <c r="E475" s="50" t="s">
        <v>2095</v>
      </c>
      <c r="F475" s="50" t="s">
        <v>2095</v>
      </c>
      <c r="G475" s="50" t="s">
        <v>2096</v>
      </c>
      <c r="H475" s="50" t="s">
        <v>2097</v>
      </c>
    </row>
    <row r="476" spans="1:8" x14ac:dyDescent="0.2">
      <c r="A476" s="50" t="s">
        <v>2666</v>
      </c>
      <c r="B476" s="50" t="s">
        <v>646</v>
      </c>
      <c r="C476" s="50" t="s">
        <v>1624</v>
      </c>
      <c r="D476" s="50" t="s">
        <v>1624</v>
      </c>
      <c r="E476" s="50" t="s">
        <v>2095</v>
      </c>
      <c r="F476" s="50" t="s">
        <v>2095</v>
      </c>
      <c r="G476" s="50" t="s">
        <v>2096</v>
      </c>
      <c r="H476" s="50" t="s">
        <v>2097</v>
      </c>
    </row>
    <row r="477" spans="1:8" x14ac:dyDescent="0.2">
      <c r="A477" s="50" t="s">
        <v>537</v>
      </c>
      <c r="B477" s="50" t="s">
        <v>157</v>
      </c>
      <c r="C477" s="50" t="s">
        <v>1624</v>
      </c>
      <c r="D477" s="50" t="s">
        <v>1624</v>
      </c>
      <c r="E477" s="50" t="s">
        <v>2095</v>
      </c>
      <c r="F477" s="50" t="s">
        <v>2095</v>
      </c>
      <c r="G477" s="50" t="s">
        <v>2096</v>
      </c>
      <c r="H477" s="50" t="s">
        <v>2097</v>
      </c>
    </row>
    <row r="478" spans="1:8" x14ac:dyDescent="0.2">
      <c r="A478" s="50" t="s">
        <v>2667</v>
      </c>
      <c r="B478" s="50" t="s">
        <v>9</v>
      </c>
      <c r="C478" s="50" t="s">
        <v>1624</v>
      </c>
      <c r="D478" s="50" t="s">
        <v>1624</v>
      </c>
      <c r="E478" s="50" t="s">
        <v>2095</v>
      </c>
      <c r="F478" s="50" t="s">
        <v>2095</v>
      </c>
      <c r="G478" s="50" t="s">
        <v>2096</v>
      </c>
      <c r="H478" s="50" t="s">
        <v>2097</v>
      </c>
    </row>
    <row r="479" spans="1:8" x14ac:dyDescent="0.2">
      <c r="A479" s="50" t="s">
        <v>2668</v>
      </c>
      <c r="B479" s="50" t="s">
        <v>21</v>
      </c>
      <c r="C479" s="50" t="s">
        <v>1624</v>
      </c>
      <c r="D479" s="50" t="s">
        <v>1624</v>
      </c>
      <c r="E479" s="50" t="s">
        <v>2095</v>
      </c>
      <c r="F479" s="50" t="s">
        <v>2095</v>
      </c>
      <c r="G479" s="50" t="s">
        <v>2096</v>
      </c>
      <c r="H479" s="50" t="s">
        <v>2097</v>
      </c>
    </row>
    <row r="480" spans="1:8" x14ac:dyDescent="0.2">
      <c r="A480" s="50" t="s">
        <v>2669</v>
      </c>
      <c r="B480" s="50" t="s">
        <v>651</v>
      </c>
      <c r="C480" s="50" t="s">
        <v>1624</v>
      </c>
      <c r="D480" s="50" t="s">
        <v>1624</v>
      </c>
      <c r="E480" s="50" t="s">
        <v>2095</v>
      </c>
      <c r="F480" s="50" t="s">
        <v>2095</v>
      </c>
      <c r="G480" s="50" t="s">
        <v>2096</v>
      </c>
      <c r="H480" s="50" t="s">
        <v>2097</v>
      </c>
    </row>
    <row r="481" spans="1:8" x14ac:dyDescent="0.2">
      <c r="A481" s="50" t="s">
        <v>2670</v>
      </c>
      <c r="B481" s="50" t="s">
        <v>158</v>
      </c>
      <c r="C481" s="50" t="s">
        <v>1624</v>
      </c>
      <c r="D481" s="50" t="s">
        <v>1624</v>
      </c>
      <c r="E481" s="50" t="s">
        <v>2095</v>
      </c>
      <c r="F481" s="50" t="s">
        <v>2095</v>
      </c>
      <c r="G481" s="50" t="s">
        <v>2096</v>
      </c>
      <c r="H481" s="50" t="s">
        <v>2097</v>
      </c>
    </row>
    <row r="482" spans="1:8" x14ac:dyDescent="0.2">
      <c r="A482" s="50" t="s">
        <v>2671</v>
      </c>
      <c r="B482" s="50" t="s">
        <v>654</v>
      </c>
      <c r="C482" s="50" t="s">
        <v>1624</v>
      </c>
      <c r="D482" s="50" t="s">
        <v>1624</v>
      </c>
      <c r="E482" s="50" t="s">
        <v>2095</v>
      </c>
      <c r="F482" s="50" t="s">
        <v>2095</v>
      </c>
      <c r="G482" s="50" t="s">
        <v>2096</v>
      </c>
      <c r="H482" s="50" t="s">
        <v>2097</v>
      </c>
    </row>
    <row r="483" spans="1:8" x14ac:dyDescent="0.2">
      <c r="A483" s="50" t="s">
        <v>2672</v>
      </c>
      <c r="B483" s="50" t="s">
        <v>32</v>
      </c>
      <c r="C483" s="50" t="s">
        <v>1624</v>
      </c>
      <c r="D483" s="50" t="s">
        <v>1624</v>
      </c>
      <c r="E483" s="50" t="s">
        <v>2095</v>
      </c>
      <c r="F483" s="50" t="s">
        <v>2095</v>
      </c>
      <c r="G483" s="50" t="s">
        <v>2096</v>
      </c>
      <c r="H483" s="50" t="s">
        <v>2097</v>
      </c>
    </row>
    <row r="484" spans="1:8" x14ac:dyDescent="0.2">
      <c r="A484" s="50" t="s">
        <v>2673</v>
      </c>
      <c r="B484" s="50" t="s">
        <v>33</v>
      </c>
      <c r="C484" s="50" t="s">
        <v>1624</v>
      </c>
      <c r="D484" s="50" t="s">
        <v>1624</v>
      </c>
      <c r="E484" s="50" t="s">
        <v>2095</v>
      </c>
      <c r="F484" s="50" t="s">
        <v>2095</v>
      </c>
      <c r="G484" s="50" t="s">
        <v>2096</v>
      </c>
      <c r="H484" s="50" t="s">
        <v>2097</v>
      </c>
    </row>
    <row r="485" spans="1:8" x14ac:dyDescent="0.2">
      <c r="A485" s="50" t="s">
        <v>2674</v>
      </c>
      <c r="B485" s="50" t="s">
        <v>34</v>
      </c>
      <c r="C485" s="50" t="s">
        <v>1624</v>
      </c>
      <c r="D485" s="50" t="s">
        <v>1624</v>
      </c>
      <c r="E485" s="50" t="s">
        <v>2095</v>
      </c>
      <c r="F485" s="50" t="s">
        <v>2095</v>
      </c>
      <c r="G485" s="50" t="s">
        <v>2096</v>
      </c>
      <c r="H485" s="50" t="s">
        <v>2097</v>
      </c>
    </row>
    <row r="486" spans="1:8" x14ac:dyDescent="0.2">
      <c r="A486" s="50" t="s">
        <v>2675</v>
      </c>
      <c r="B486" s="50" t="s">
        <v>659</v>
      </c>
      <c r="C486" s="50" t="s">
        <v>1624</v>
      </c>
      <c r="D486" s="50" t="s">
        <v>1624</v>
      </c>
      <c r="E486" s="50" t="s">
        <v>2095</v>
      </c>
      <c r="F486" s="50" t="s">
        <v>2095</v>
      </c>
      <c r="G486" s="50" t="s">
        <v>2096</v>
      </c>
      <c r="H486" s="50" t="s">
        <v>2097</v>
      </c>
    </row>
    <row r="487" spans="1:8" x14ac:dyDescent="0.2">
      <c r="A487" s="50" t="s">
        <v>2676</v>
      </c>
      <c r="B487" s="50" t="s">
        <v>109</v>
      </c>
      <c r="C487" s="50" t="s">
        <v>1624</v>
      </c>
      <c r="D487" s="50" t="s">
        <v>1624</v>
      </c>
      <c r="E487" s="50" t="s">
        <v>2095</v>
      </c>
      <c r="F487" s="50" t="s">
        <v>2095</v>
      </c>
      <c r="G487" s="50" t="s">
        <v>2096</v>
      </c>
      <c r="H487" s="50" t="s">
        <v>2097</v>
      </c>
    </row>
    <row r="488" spans="1:8" x14ac:dyDescent="0.2">
      <c r="A488" s="50" t="s">
        <v>2677</v>
      </c>
      <c r="B488" s="50" t="s">
        <v>662</v>
      </c>
      <c r="C488" s="50" t="s">
        <v>1624</v>
      </c>
      <c r="D488" s="50" t="s">
        <v>1624</v>
      </c>
      <c r="E488" s="50" t="s">
        <v>2095</v>
      </c>
      <c r="F488" s="50" t="s">
        <v>2095</v>
      </c>
      <c r="G488" s="50" t="s">
        <v>2096</v>
      </c>
      <c r="H488" s="50" t="s">
        <v>2097</v>
      </c>
    </row>
    <row r="489" spans="1:8" x14ac:dyDescent="0.2">
      <c r="A489" s="50" t="s">
        <v>2678</v>
      </c>
      <c r="B489" s="50" t="s">
        <v>35</v>
      </c>
      <c r="C489" s="50" t="s">
        <v>1624</v>
      </c>
      <c r="D489" s="50" t="s">
        <v>1624</v>
      </c>
      <c r="E489" s="50" t="s">
        <v>2095</v>
      </c>
      <c r="F489" s="50" t="s">
        <v>2095</v>
      </c>
      <c r="G489" s="50" t="s">
        <v>2096</v>
      </c>
      <c r="H489" s="50" t="s">
        <v>2097</v>
      </c>
    </row>
    <row r="490" spans="1:8" x14ac:dyDescent="0.2">
      <c r="A490" s="50" t="s">
        <v>2679</v>
      </c>
      <c r="B490" s="50" t="s">
        <v>665</v>
      </c>
      <c r="C490" s="50" t="s">
        <v>1624</v>
      </c>
      <c r="D490" s="50" t="s">
        <v>1624</v>
      </c>
      <c r="E490" s="50" t="s">
        <v>2095</v>
      </c>
      <c r="F490" s="50" t="s">
        <v>2095</v>
      </c>
      <c r="G490" s="50" t="s">
        <v>2096</v>
      </c>
      <c r="H490" s="50" t="s">
        <v>2097</v>
      </c>
    </row>
    <row r="491" spans="1:8" x14ac:dyDescent="0.2">
      <c r="A491" s="50" t="s">
        <v>2680</v>
      </c>
      <c r="B491" s="50" t="s">
        <v>667</v>
      </c>
      <c r="C491" s="50" t="s">
        <v>1624</v>
      </c>
      <c r="D491" s="50" t="s">
        <v>1624</v>
      </c>
      <c r="E491" s="50" t="s">
        <v>2095</v>
      </c>
      <c r="F491" s="50" t="s">
        <v>2095</v>
      </c>
      <c r="G491" s="50" t="s">
        <v>2096</v>
      </c>
      <c r="H491" s="50" t="s">
        <v>2097</v>
      </c>
    </row>
    <row r="492" spans="1:8" x14ac:dyDescent="0.2">
      <c r="A492" s="50" t="s">
        <v>2681</v>
      </c>
      <c r="B492" s="50" t="s">
        <v>669</v>
      </c>
      <c r="C492" s="50" t="s">
        <v>1624</v>
      </c>
      <c r="D492" s="50" t="s">
        <v>1624</v>
      </c>
      <c r="E492" s="50" t="s">
        <v>2095</v>
      </c>
      <c r="F492" s="50" t="s">
        <v>2095</v>
      </c>
      <c r="G492" s="50" t="s">
        <v>2096</v>
      </c>
      <c r="H492" s="50" t="s">
        <v>2097</v>
      </c>
    </row>
    <row r="493" spans="1:8" x14ac:dyDescent="0.2">
      <c r="A493" s="50" t="s">
        <v>2682</v>
      </c>
      <c r="B493" s="50" t="s">
        <v>671</v>
      </c>
      <c r="C493" s="50" t="s">
        <v>1624</v>
      </c>
      <c r="D493" s="50" t="s">
        <v>1624</v>
      </c>
      <c r="E493" s="50" t="s">
        <v>2095</v>
      </c>
      <c r="F493" s="50" t="s">
        <v>2095</v>
      </c>
      <c r="G493" s="50" t="s">
        <v>2096</v>
      </c>
      <c r="H493" s="50" t="s">
        <v>2097</v>
      </c>
    </row>
    <row r="494" spans="1:8" x14ac:dyDescent="0.2">
      <c r="A494" s="50" t="s">
        <v>2683</v>
      </c>
      <c r="B494" s="50" t="s">
        <v>36</v>
      </c>
      <c r="C494" s="50" t="s">
        <v>1624</v>
      </c>
      <c r="D494" s="50" t="s">
        <v>1624</v>
      </c>
      <c r="E494" s="50" t="s">
        <v>2095</v>
      </c>
      <c r="F494" s="50" t="s">
        <v>2095</v>
      </c>
      <c r="G494" s="50" t="s">
        <v>2096</v>
      </c>
      <c r="H494" s="50" t="s">
        <v>2097</v>
      </c>
    </row>
    <row r="495" spans="1:8" x14ac:dyDescent="0.2">
      <c r="A495" s="50" t="s">
        <v>539</v>
      </c>
      <c r="B495" s="50" t="s">
        <v>1541</v>
      </c>
      <c r="C495" s="50" t="s">
        <v>1624</v>
      </c>
      <c r="D495" s="50" t="s">
        <v>1624</v>
      </c>
      <c r="E495" s="50" t="s">
        <v>2095</v>
      </c>
      <c r="F495" s="50" t="s">
        <v>2095</v>
      </c>
      <c r="G495" s="50" t="s">
        <v>2096</v>
      </c>
      <c r="H495" s="50" t="s">
        <v>2097</v>
      </c>
    </row>
    <row r="496" spans="1:8" x14ac:dyDescent="0.2">
      <c r="A496" s="50" t="s">
        <v>2684</v>
      </c>
      <c r="B496" s="50" t="s">
        <v>37</v>
      </c>
      <c r="C496" s="50" t="s">
        <v>1624</v>
      </c>
      <c r="D496" s="50" t="s">
        <v>1624</v>
      </c>
      <c r="E496" s="50" t="s">
        <v>2095</v>
      </c>
      <c r="F496" s="50" t="s">
        <v>2095</v>
      </c>
      <c r="G496" s="50" t="s">
        <v>2096</v>
      </c>
      <c r="H496" s="50" t="s">
        <v>2097</v>
      </c>
    </row>
    <row r="497" spans="1:8" x14ac:dyDescent="0.2">
      <c r="A497" s="50" t="s">
        <v>2685</v>
      </c>
      <c r="B497" s="50" t="s">
        <v>675</v>
      </c>
      <c r="C497" s="50" t="s">
        <v>1624</v>
      </c>
      <c r="D497" s="50" t="s">
        <v>1624</v>
      </c>
      <c r="E497" s="50" t="s">
        <v>2095</v>
      </c>
      <c r="F497" s="50" t="s">
        <v>2095</v>
      </c>
      <c r="G497" s="50" t="s">
        <v>2096</v>
      </c>
      <c r="H497" s="50" t="s">
        <v>2097</v>
      </c>
    </row>
    <row r="498" spans="1:8" x14ac:dyDescent="0.2">
      <c r="A498" s="50" t="s">
        <v>2686</v>
      </c>
      <c r="B498" s="50" t="s">
        <v>22</v>
      </c>
      <c r="C498" s="50" t="s">
        <v>1624</v>
      </c>
      <c r="D498" s="50" t="s">
        <v>1624</v>
      </c>
      <c r="E498" s="50" t="s">
        <v>2095</v>
      </c>
      <c r="F498" s="50" t="s">
        <v>2095</v>
      </c>
      <c r="G498" s="50" t="s">
        <v>2096</v>
      </c>
      <c r="H498" s="50" t="s">
        <v>2097</v>
      </c>
    </row>
    <row r="499" spans="1:8" x14ac:dyDescent="0.2">
      <c r="A499" s="50" t="s">
        <v>2687</v>
      </c>
      <c r="B499" s="50" t="s">
        <v>38</v>
      </c>
      <c r="C499" s="50" t="s">
        <v>1624</v>
      </c>
      <c r="D499" s="50" t="s">
        <v>1624</v>
      </c>
      <c r="E499" s="50" t="s">
        <v>2095</v>
      </c>
      <c r="F499" s="50" t="s">
        <v>2095</v>
      </c>
      <c r="G499" s="50" t="s">
        <v>2096</v>
      </c>
      <c r="H499" s="50" t="s">
        <v>2097</v>
      </c>
    </row>
    <row r="500" spans="1:8" x14ac:dyDescent="0.2">
      <c r="A500" s="50" t="s">
        <v>2688</v>
      </c>
      <c r="B500" s="50" t="s">
        <v>39</v>
      </c>
      <c r="C500" s="50" t="s">
        <v>1624</v>
      </c>
      <c r="D500" s="50" t="s">
        <v>1624</v>
      </c>
      <c r="E500" s="50" t="s">
        <v>2095</v>
      </c>
      <c r="F500" s="50" t="s">
        <v>2095</v>
      </c>
      <c r="G500" s="50" t="s">
        <v>2096</v>
      </c>
      <c r="H500" s="50" t="s">
        <v>2097</v>
      </c>
    </row>
    <row r="501" spans="1:8" x14ac:dyDescent="0.2">
      <c r="A501" s="50" t="s">
        <v>2689</v>
      </c>
      <c r="B501" s="50" t="s">
        <v>23</v>
      </c>
      <c r="C501" s="50" t="s">
        <v>1624</v>
      </c>
      <c r="D501" s="50" t="s">
        <v>1624</v>
      </c>
      <c r="E501" s="50" t="s">
        <v>2095</v>
      </c>
      <c r="F501" s="50" t="s">
        <v>2095</v>
      </c>
      <c r="G501" s="50" t="s">
        <v>2096</v>
      </c>
      <c r="H501" s="50" t="s">
        <v>2097</v>
      </c>
    </row>
    <row r="502" spans="1:8" x14ac:dyDescent="0.2">
      <c r="A502" s="50" t="s">
        <v>2690</v>
      </c>
      <c r="B502" s="50" t="s">
        <v>166</v>
      </c>
      <c r="C502" s="50" t="s">
        <v>1624</v>
      </c>
      <c r="D502" s="50" t="s">
        <v>1624</v>
      </c>
      <c r="E502" s="50" t="s">
        <v>2095</v>
      </c>
      <c r="F502" s="50" t="s">
        <v>2095</v>
      </c>
      <c r="G502" s="50" t="s">
        <v>2096</v>
      </c>
      <c r="H502" s="50" t="s">
        <v>2097</v>
      </c>
    </row>
    <row r="503" spans="1:8" x14ac:dyDescent="0.2">
      <c r="A503" s="50" t="s">
        <v>2691</v>
      </c>
      <c r="B503" s="50" t="s">
        <v>1542</v>
      </c>
      <c r="C503" s="50" t="s">
        <v>1624</v>
      </c>
      <c r="D503" s="50" t="s">
        <v>1624</v>
      </c>
      <c r="E503" s="50" t="s">
        <v>2095</v>
      </c>
      <c r="F503" s="50" t="s">
        <v>2095</v>
      </c>
      <c r="G503" s="50" t="s">
        <v>2096</v>
      </c>
      <c r="H503" s="50" t="s">
        <v>2097</v>
      </c>
    </row>
    <row r="504" spans="1:8" x14ac:dyDescent="0.2">
      <c r="A504" s="50" t="s">
        <v>2692</v>
      </c>
      <c r="B504" s="50" t="s">
        <v>683</v>
      </c>
      <c r="C504" s="50" t="s">
        <v>1624</v>
      </c>
      <c r="D504" s="50" t="s">
        <v>1624</v>
      </c>
      <c r="E504" s="50" t="s">
        <v>2095</v>
      </c>
      <c r="F504" s="50" t="s">
        <v>2095</v>
      </c>
      <c r="G504" s="50" t="s">
        <v>2096</v>
      </c>
      <c r="H504" s="50" t="s">
        <v>2097</v>
      </c>
    </row>
    <row r="505" spans="1:8" x14ac:dyDescent="0.2">
      <c r="A505" s="50" t="s">
        <v>2693</v>
      </c>
      <c r="B505" s="50" t="s">
        <v>685</v>
      </c>
      <c r="C505" s="50" t="s">
        <v>1624</v>
      </c>
      <c r="D505" s="50" t="s">
        <v>1624</v>
      </c>
      <c r="E505" s="50" t="s">
        <v>2095</v>
      </c>
      <c r="F505" s="50" t="s">
        <v>2095</v>
      </c>
      <c r="G505" s="50" t="s">
        <v>2096</v>
      </c>
      <c r="H505" s="50" t="s">
        <v>2097</v>
      </c>
    </row>
    <row r="506" spans="1:8" x14ac:dyDescent="0.2">
      <c r="A506" s="50" t="s">
        <v>2694</v>
      </c>
      <c r="B506" s="50" t="s">
        <v>687</v>
      </c>
      <c r="C506" s="50" t="s">
        <v>1624</v>
      </c>
      <c r="D506" s="50" t="s">
        <v>1624</v>
      </c>
      <c r="E506" s="50" t="s">
        <v>2095</v>
      </c>
      <c r="F506" s="50" t="s">
        <v>2095</v>
      </c>
      <c r="G506" s="50" t="s">
        <v>2096</v>
      </c>
      <c r="H506" s="50" t="s">
        <v>2097</v>
      </c>
    </row>
    <row r="507" spans="1:8" x14ac:dyDescent="0.2">
      <c r="A507" s="50" t="s">
        <v>2695</v>
      </c>
      <c r="B507" s="50" t="s">
        <v>689</v>
      </c>
      <c r="C507" s="50" t="s">
        <v>1624</v>
      </c>
      <c r="D507" s="50" t="s">
        <v>1624</v>
      </c>
      <c r="E507" s="50" t="s">
        <v>2095</v>
      </c>
      <c r="F507" s="50" t="s">
        <v>2095</v>
      </c>
      <c r="G507" s="50" t="s">
        <v>2096</v>
      </c>
      <c r="H507" s="50" t="s">
        <v>2097</v>
      </c>
    </row>
    <row r="508" spans="1:8" x14ac:dyDescent="0.2">
      <c r="A508" s="50" t="s">
        <v>2696</v>
      </c>
      <c r="B508" s="50" t="s">
        <v>691</v>
      </c>
      <c r="C508" s="50" t="s">
        <v>1624</v>
      </c>
      <c r="D508" s="50" t="s">
        <v>1624</v>
      </c>
      <c r="E508" s="50" t="s">
        <v>2095</v>
      </c>
      <c r="F508" s="50" t="s">
        <v>2095</v>
      </c>
      <c r="G508" s="50" t="s">
        <v>2096</v>
      </c>
      <c r="H508" s="50" t="s">
        <v>2097</v>
      </c>
    </row>
    <row r="509" spans="1:8" x14ac:dyDescent="0.2">
      <c r="A509" s="50" t="s">
        <v>2697</v>
      </c>
      <c r="B509" s="50" t="s">
        <v>693</v>
      </c>
      <c r="C509" s="50" t="s">
        <v>1624</v>
      </c>
      <c r="D509" s="50" t="s">
        <v>1624</v>
      </c>
      <c r="E509" s="50" t="s">
        <v>2095</v>
      </c>
      <c r="F509" s="50" t="s">
        <v>2095</v>
      </c>
      <c r="G509" s="50" t="s">
        <v>2096</v>
      </c>
      <c r="H509" s="50" t="s">
        <v>2097</v>
      </c>
    </row>
    <row r="510" spans="1:8" x14ac:dyDescent="0.2">
      <c r="A510" s="50" t="s">
        <v>2698</v>
      </c>
      <c r="B510" s="50" t="s">
        <v>695</v>
      </c>
      <c r="C510" s="50" t="s">
        <v>1624</v>
      </c>
      <c r="D510" s="50" t="s">
        <v>1624</v>
      </c>
      <c r="E510" s="50" t="s">
        <v>2095</v>
      </c>
      <c r="F510" s="50" t="s">
        <v>2095</v>
      </c>
      <c r="G510" s="50" t="s">
        <v>2096</v>
      </c>
      <c r="H510" s="50" t="s">
        <v>2097</v>
      </c>
    </row>
    <row r="511" spans="1:8" x14ac:dyDescent="0.2">
      <c r="A511" s="50" t="s">
        <v>2699</v>
      </c>
      <c r="B511" s="50" t="s">
        <v>697</v>
      </c>
      <c r="C511" s="50" t="s">
        <v>1624</v>
      </c>
      <c r="D511" s="50" t="s">
        <v>1624</v>
      </c>
      <c r="E511" s="50" t="s">
        <v>2095</v>
      </c>
      <c r="F511" s="50" t="s">
        <v>2095</v>
      </c>
      <c r="G511" s="50" t="s">
        <v>2096</v>
      </c>
      <c r="H511" s="50" t="s">
        <v>2097</v>
      </c>
    </row>
    <row r="512" spans="1:8" x14ac:dyDescent="0.2">
      <c r="A512" s="50" t="s">
        <v>2700</v>
      </c>
      <c r="B512" s="50" t="s">
        <v>699</v>
      </c>
      <c r="C512" s="50" t="s">
        <v>1624</v>
      </c>
      <c r="D512" s="50" t="s">
        <v>1624</v>
      </c>
      <c r="E512" s="50" t="s">
        <v>2095</v>
      </c>
      <c r="F512" s="50" t="s">
        <v>2095</v>
      </c>
      <c r="G512" s="50" t="s">
        <v>2096</v>
      </c>
      <c r="H512" s="50" t="s">
        <v>2097</v>
      </c>
    </row>
    <row r="513" spans="1:8" x14ac:dyDescent="0.2">
      <c r="A513" s="50" t="s">
        <v>2701</v>
      </c>
      <c r="B513" s="50" t="s">
        <v>701</v>
      </c>
      <c r="C513" s="50" t="s">
        <v>1624</v>
      </c>
      <c r="D513" s="50" t="s">
        <v>1624</v>
      </c>
      <c r="E513" s="50" t="s">
        <v>2095</v>
      </c>
      <c r="F513" s="50" t="s">
        <v>2095</v>
      </c>
      <c r="G513" s="50" t="s">
        <v>2096</v>
      </c>
      <c r="H513" s="50" t="s">
        <v>2097</v>
      </c>
    </row>
    <row r="514" spans="1:8" x14ac:dyDescent="0.2">
      <c r="A514" s="50" t="s">
        <v>2702</v>
      </c>
      <c r="B514" s="50" t="s">
        <v>1543</v>
      </c>
      <c r="C514" s="50" t="s">
        <v>1624</v>
      </c>
      <c r="D514" s="50" t="s">
        <v>1624</v>
      </c>
      <c r="E514" s="50" t="s">
        <v>2095</v>
      </c>
      <c r="F514" s="50" t="s">
        <v>2095</v>
      </c>
      <c r="G514" s="50" t="s">
        <v>2096</v>
      </c>
      <c r="H514" s="50" t="s">
        <v>2097</v>
      </c>
    </row>
    <row r="515" spans="1:8" x14ac:dyDescent="0.2">
      <c r="A515" s="50" t="s">
        <v>541</v>
      </c>
      <c r="B515" s="50" t="s">
        <v>705</v>
      </c>
      <c r="C515" s="50" t="s">
        <v>1624</v>
      </c>
      <c r="D515" s="50" t="s">
        <v>1624</v>
      </c>
      <c r="E515" s="50" t="s">
        <v>2095</v>
      </c>
      <c r="F515" s="50" t="s">
        <v>2095</v>
      </c>
      <c r="G515" s="50" t="s">
        <v>2096</v>
      </c>
      <c r="H515" s="50" t="s">
        <v>2097</v>
      </c>
    </row>
    <row r="516" spans="1:8" x14ac:dyDescent="0.2">
      <c r="A516" s="50" t="s">
        <v>2703</v>
      </c>
      <c r="B516" s="50" t="s">
        <v>707</v>
      </c>
      <c r="C516" s="50" t="s">
        <v>1624</v>
      </c>
      <c r="D516" s="50" t="s">
        <v>1624</v>
      </c>
      <c r="E516" s="50" t="s">
        <v>2095</v>
      </c>
      <c r="F516" s="50" t="s">
        <v>2095</v>
      </c>
      <c r="G516" s="50" t="s">
        <v>2096</v>
      </c>
      <c r="H516" s="50" t="s">
        <v>2097</v>
      </c>
    </row>
    <row r="517" spans="1:8" x14ac:dyDescent="0.2">
      <c r="A517" s="50" t="s">
        <v>543</v>
      </c>
      <c r="B517" s="50" t="s">
        <v>709</v>
      </c>
      <c r="C517" s="50" t="s">
        <v>1624</v>
      </c>
      <c r="D517" s="50" t="s">
        <v>1624</v>
      </c>
      <c r="E517" s="50" t="s">
        <v>2095</v>
      </c>
      <c r="F517" s="50" t="s">
        <v>2095</v>
      </c>
      <c r="G517" s="50" t="s">
        <v>2096</v>
      </c>
      <c r="H517" s="50" t="s">
        <v>2097</v>
      </c>
    </row>
    <row r="518" spans="1:8" x14ac:dyDescent="0.2">
      <c r="A518" s="50" t="s">
        <v>2704</v>
      </c>
      <c r="B518" s="50" t="s">
        <v>711</v>
      </c>
      <c r="C518" s="50" t="s">
        <v>1624</v>
      </c>
      <c r="D518" s="50" t="s">
        <v>1624</v>
      </c>
      <c r="E518" s="50" t="s">
        <v>2095</v>
      </c>
      <c r="F518" s="50" t="s">
        <v>2095</v>
      </c>
      <c r="G518" s="50" t="s">
        <v>2096</v>
      </c>
      <c r="H518" s="50" t="s">
        <v>2097</v>
      </c>
    </row>
    <row r="519" spans="1:8" x14ac:dyDescent="0.2">
      <c r="A519" s="50" t="s">
        <v>2705</v>
      </c>
      <c r="B519" s="50" t="s">
        <v>713</v>
      </c>
      <c r="C519" s="50" t="s">
        <v>1624</v>
      </c>
      <c r="D519" s="50" t="s">
        <v>1624</v>
      </c>
      <c r="E519" s="50" t="s">
        <v>2095</v>
      </c>
      <c r="F519" s="50" t="s">
        <v>2095</v>
      </c>
      <c r="G519" s="50" t="s">
        <v>2096</v>
      </c>
      <c r="H519" s="50" t="s">
        <v>2097</v>
      </c>
    </row>
    <row r="520" spans="1:8" x14ac:dyDescent="0.2">
      <c r="A520" s="50" t="s">
        <v>2706</v>
      </c>
      <c r="B520" s="50" t="s">
        <v>24</v>
      </c>
      <c r="C520" s="50" t="s">
        <v>1624</v>
      </c>
      <c r="D520" s="50" t="s">
        <v>1624</v>
      </c>
      <c r="E520" s="50" t="s">
        <v>2095</v>
      </c>
      <c r="F520" s="50" t="s">
        <v>2095</v>
      </c>
      <c r="G520" s="50" t="s">
        <v>2096</v>
      </c>
      <c r="H520" s="50" t="s">
        <v>2097</v>
      </c>
    </row>
    <row r="521" spans="1:8" x14ac:dyDescent="0.2">
      <c r="A521" s="50" t="s">
        <v>2707</v>
      </c>
      <c r="B521" s="50" t="s">
        <v>40</v>
      </c>
      <c r="C521" s="50" t="s">
        <v>1624</v>
      </c>
      <c r="D521" s="50" t="s">
        <v>1624</v>
      </c>
      <c r="E521" s="50" t="s">
        <v>2095</v>
      </c>
      <c r="F521" s="50" t="s">
        <v>2095</v>
      </c>
      <c r="G521" s="50" t="s">
        <v>2096</v>
      </c>
      <c r="H521" s="50" t="s">
        <v>2097</v>
      </c>
    </row>
    <row r="522" spans="1:8" x14ac:dyDescent="0.2">
      <c r="A522" s="50" t="s">
        <v>2708</v>
      </c>
      <c r="B522" s="50" t="s">
        <v>1546</v>
      </c>
      <c r="C522" s="50" t="s">
        <v>1624</v>
      </c>
      <c r="D522" s="50" t="s">
        <v>1624</v>
      </c>
      <c r="E522" s="50" t="s">
        <v>2095</v>
      </c>
      <c r="F522" s="50" t="s">
        <v>2095</v>
      </c>
      <c r="G522" s="50" t="s">
        <v>2096</v>
      </c>
      <c r="H522" s="50" t="s">
        <v>2097</v>
      </c>
    </row>
    <row r="523" spans="1:8" x14ac:dyDescent="0.2">
      <c r="A523" s="50" t="s">
        <v>2709</v>
      </c>
      <c r="B523" s="50" t="s">
        <v>41</v>
      </c>
      <c r="C523" s="50" t="s">
        <v>1624</v>
      </c>
      <c r="D523" s="50" t="s">
        <v>1624</v>
      </c>
      <c r="E523" s="50" t="s">
        <v>2095</v>
      </c>
      <c r="F523" s="50" t="s">
        <v>2095</v>
      </c>
      <c r="G523" s="50" t="s">
        <v>2096</v>
      </c>
      <c r="H523" s="50" t="s">
        <v>2097</v>
      </c>
    </row>
    <row r="524" spans="1:8" x14ac:dyDescent="0.2">
      <c r="A524" s="50" t="s">
        <v>2710</v>
      </c>
      <c r="B524" s="50" t="s">
        <v>42</v>
      </c>
      <c r="C524" s="50" t="s">
        <v>1624</v>
      </c>
      <c r="D524" s="50" t="s">
        <v>1624</v>
      </c>
      <c r="E524" s="50" t="s">
        <v>2095</v>
      </c>
      <c r="F524" s="50" t="s">
        <v>2095</v>
      </c>
      <c r="G524" s="50" t="s">
        <v>2096</v>
      </c>
      <c r="H524" s="50" t="s">
        <v>2097</v>
      </c>
    </row>
    <row r="525" spans="1:8" x14ac:dyDescent="0.2">
      <c r="A525" s="50" t="s">
        <v>545</v>
      </c>
      <c r="B525" s="50" t="s">
        <v>719</v>
      </c>
      <c r="C525" s="50" t="s">
        <v>1624</v>
      </c>
      <c r="D525" s="50" t="s">
        <v>1624</v>
      </c>
      <c r="E525" s="50" t="s">
        <v>2095</v>
      </c>
      <c r="F525" s="50" t="s">
        <v>2095</v>
      </c>
      <c r="G525" s="50" t="s">
        <v>2096</v>
      </c>
      <c r="H525" s="50" t="s">
        <v>2097</v>
      </c>
    </row>
    <row r="526" spans="1:8" x14ac:dyDescent="0.2">
      <c r="A526" s="50" t="s">
        <v>2711</v>
      </c>
      <c r="B526" s="50" t="s">
        <v>721</v>
      </c>
      <c r="C526" s="50" t="s">
        <v>1624</v>
      </c>
      <c r="D526" s="50" t="s">
        <v>1624</v>
      </c>
      <c r="E526" s="50" t="s">
        <v>2095</v>
      </c>
      <c r="F526" s="50" t="s">
        <v>2095</v>
      </c>
      <c r="G526" s="50" t="s">
        <v>2096</v>
      </c>
      <c r="H526" s="50" t="s">
        <v>2097</v>
      </c>
    </row>
    <row r="527" spans="1:8" x14ac:dyDescent="0.2">
      <c r="A527" s="50" t="s">
        <v>2712</v>
      </c>
      <c r="B527" s="50" t="s">
        <v>43</v>
      </c>
      <c r="C527" s="50" t="s">
        <v>1624</v>
      </c>
      <c r="D527" s="50" t="s">
        <v>1624</v>
      </c>
      <c r="E527" s="50" t="s">
        <v>2095</v>
      </c>
      <c r="F527" s="50" t="s">
        <v>2095</v>
      </c>
      <c r="G527" s="50" t="s">
        <v>2096</v>
      </c>
      <c r="H527" s="50" t="s">
        <v>2097</v>
      </c>
    </row>
    <row r="528" spans="1:8" x14ac:dyDescent="0.2">
      <c r="A528" s="50" t="s">
        <v>2713</v>
      </c>
      <c r="B528" s="50" t="s">
        <v>25</v>
      </c>
      <c r="C528" s="50" t="s">
        <v>1624</v>
      </c>
      <c r="D528" s="50" t="s">
        <v>1624</v>
      </c>
      <c r="E528" s="50" t="s">
        <v>2095</v>
      </c>
      <c r="F528" s="50" t="s">
        <v>2095</v>
      </c>
      <c r="G528" s="50" t="s">
        <v>2096</v>
      </c>
      <c r="H528" s="50" t="s">
        <v>2097</v>
      </c>
    </row>
    <row r="529" spans="1:8" x14ac:dyDescent="0.2">
      <c r="A529" s="50" t="s">
        <v>2714</v>
      </c>
      <c r="B529" s="50" t="s">
        <v>44</v>
      </c>
      <c r="C529" s="50" t="s">
        <v>1624</v>
      </c>
      <c r="D529" s="50" t="s">
        <v>1624</v>
      </c>
      <c r="E529" s="50" t="s">
        <v>2095</v>
      </c>
      <c r="F529" s="50" t="s">
        <v>2095</v>
      </c>
      <c r="G529" s="50" t="s">
        <v>2096</v>
      </c>
      <c r="H529" s="50" t="s">
        <v>2097</v>
      </c>
    </row>
    <row r="530" spans="1:8" x14ac:dyDescent="0.2">
      <c r="A530" s="50" t="s">
        <v>2715</v>
      </c>
      <c r="B530" s="50" t="s">
        <v>726</v>
      </c>
      <c r="C530" s="50" t="s">
        <v>1624</v>
      </c>
      <c r="D530" s="50" t="s">
        <v>1624</v>
      </c>
      <c r="E530" s="50" t="s">
        <v>2095</v>
      </c>
      <c r="F530" s="50" t="s">
        <v>2095</v>
      </c>
      <c r="G530" s="50" t="s">
        <v>2096</v>
      </c>
      <c r="H530" s="50" t="s">
        <v>2097</v>
      </c>
    </row>
    <row r="531" spans="1:8" x14ac:dyDescent="0.2">
      <c r="A531" s="50" t="s">
        <v>2716</v>
      </c>
      <c r="B531" s="50" t="s">
        <v>45</v>
      </c>
      <c r="C531" s="50" t="s">
        <v>1624</v>
      </c>
      <c r="D531" s="50" t="s">
        <v>1624</v>
      </c>
      <c r="E531" s="50" t="s">
        <v>2095</v>
      </c>
      <c r="F531" s="50" t="s">
        <v>2095</v>
      </c>
      <c r="G531" s="50" t="s">
        <v>2096</v>
      </c>
      <c r="H531" s="50" t="s">
        <v>2097</v>
      </c>
    </row>
    <row r="532" spans="1:8" x14ac:dyDescent="0.2">
      <c r="A532" s="50" t="s">
        <v>2717</v>
      </c>
      <c r="B532" s="50" t="s">
        <v>46</v>
      </c>
      <c r="C532" s="50" t="s">
        <v>1624</v>
      </c>
      <c r="D532" s="50" t="s">
        <v>1624</v>
      </c>
      <c r="E532" s="50" t="s">
        <v>2095</v>
      </c>
      <c r="F532" s="50" t="s">
        <v>2095</v>
      </c>
      <c r="G532" s="50" t="s">
        <v>2096</v>
      </c>
      <c r="H532" s="50" t="s">
        <v>2097</v>
      </c>
    </row>
    <row r="533" spans="1:8" x14ac:dyDescent="0.2">
      <c r="A533" s="50" t="s">
        <v>2718</v>
      </c>
      <c r="B533" s="50" t="s">
        <v>47</v>
      </c>
      <c r="C533" s="50" t="s">
        <v>1624</v>
      </c>
      <c r="D533" s="50" t="s">
        <v>1624</v>
      </c>
      <c r="E533" s="50" t="s">
        <v>2095</v>
      </c>
      <c r="F533" s="50" t="s">
        <v>2095</v>
      </c>
      <c r="G533" s="50" t="s">
        <v>2096</v>
      </c>
      <c r="H533" s="50" t="s">
        <v>2097</v>
      </c>
    </row>
    <row r="534" spans="1:8" x14ac:dyDescent="0.2">
      <c r="A534" s="50" t="s">
        <v>2719</v>
      </c>
      <c r="B534" s="50" t="s">
        <v>731</v>
      </c>
      <c r="C534" s="50" t="s">
        <v>1624</v>
      </c>
      <c r="D534" s="50" t="s">
        <v>1624</v>
      </c>
      <c r="E534" s="50" t="s">
        <v>2095</v>
      </c>
      <c r="F534" s="50" t="s">
        <v>2095</v>
      </c>
      <c r="G534" s="50" t="s">
        <v>2096</v>
      </c>
      <c r="H534" s="50" t="s">
        <v>2097</v>
      </c>
    </row>
    <row r="535" spans="1:8" x14ac:dyDescent="0.2">
      <c r="A535" s="50" t="s">
        <v>546</v>
      </c>
      <c r="B535" s="50" t="s">
        <v>223</v>
      </c>
      <c r="C535" s="50" t="s">
        <v>1624</v>
      </c>
      <c r="D535" s="50" t="s">
        <v>1624</v>
      </c>
      <c r="E535" s="50" t="s">
        <v>2095</v>
      </c>
      <c r="F535" s="50" t="s">
        <v>2095</v>
      </c>
      <c r="G535" s="50" t="s">
        <v>2096</v>
      </c>
      <c r="H535" s="50" t="s">
        <v>2097</v>
      </c>
    </row>
    <row r="536" spans="1:8" x14ac:dyDescent="0.2">
      <c r="A536" s="50" t="s">
        <v>2720</v>
      </c>
      <c r="B536" s="50" t="s">
        <v>733</v>
      </c>
      <c r="C536" s="50" t="s">
        <v>1624</v>
      </c>
      <c r="D536" s="50" t="s">
        <v>1624</v>
      </c>
      <c r="E536" s="50" t="s">
        <v>2095</v>
      </c>
      <c r="F536" s="50" t="s">
        <v>2095</v>
      </c>
      <c r="G536" s="50" t="s">
        <v>2096</v>
      </c>
      <c r="H536" s="50" t="s">
        <v>2097</v>
      </c>
    </row>
    <row r="537" spans="1:8" x14ac:dyDescent="0.2">
      <c r="A537" s="50" t="s">
        <v>2721</v>
      </c>
      <c r="B537" s="50" t="s">
        <v>735</v>
      </c>
      <c r="C537" s="50" t="s">
        <v>1624</v>
      </c>
      <c r="D537" s="50" t="s">
        <v>1624</v>
      </c>
      <c r="E537" s="50" t="s">
        <v>2095</v>
      </c>
      <c r="F537" s="50" t="s">
        <v>2095</v>
      </c>
      <c r="G537" s="50" t="s">
        <v>2096</v>
      </c>
      <c r="H537" s="50" t="s">
        <v>2097</v>
      </c>
    </row>
    <row r="538" spans="1:8" x14ac:dyDescent="0.2">
      <c r="A538" s="50" t="s">
        <v>2722</v>
      </c>
      <c r="B538" s="50" t="s">
        <v>737</v>
      </c>
      <c r="C538" s="50" t="s">
        <v>1624</v>
      </c>
      <c r="D538" s="50" t="s">
        <v>1624</v>
      </c>
      <c r="E538" s="50" t="s">
        <v>2095</v>
      </c>
      <c r="F538" s="50" t="s">
        <v>2095</v>
      </c>
      <c r="G538" s="50" t="s">
        <v>2096</v>
      </c>
      <c r="H538" s="50" t="s">
        <v>2097</v>
      </c>
    </row>
    <row r="539" spans="1:8" x14ac:dyDescent="0.2">
      <c r="A539" s="50" t="s">
        <v>2723</v>
      </c>
      <c r="B539" s="50" t="s">
        <v>48</v>
      </c>
      <c r="C539" s="50" t="s">
        <v>1624</v>
      </c>
      <c r="D539" s="50" t="s">
        <v>1624</v>
      </c>
      <c r="E539" s="50" t="s">
        <v>2095</v>
      </c>
      <c r="F539" s="50" t="s">
        <v>2095</v>
      </c>
      <c r="G539" s="50" t="s">
        <v>2096</v>
      </c>
      <c r="H539" s="50" t="s">
        <v>2097</v>
      </c>
    </row>
    <row r="540" spans="1:8" x14ac:dyDescent="0.2">
      <c r="A540" s="50" t="s">
        <v>2724</v>
      </c>
      <c r="B540" s="50" t="s">
        <v>2098</v>
      </c>
      <c r="C540" s="50" t="s">
        <v>1624</v>
      </c>
      <c r="D540" s="50" t="s">
        <v>1624</v>
      </c>
      <c r="E540" s="50" t="s">
        <v>2095</v>
      </c>
      <c r="F540" s="50" t="s">
        <v>2095</v>
      </c>
      <c r="G540" s="50" t="s">
        <v>2096</v>
      </c>
      <c r="H540" s="50" t="s">
        <v>2097</v>
      </c>
    </row>
    <row r="541" spans="1:8" x14ac:dyDescent="0.2">
      <c r="A541" s="50" t="s">
        <v>2725</v>
      </c>
      <c r="B541" s="50" t="s">
        <v>742</v>
      </c>
      <c r="C541" s="50" t="s">
        <v>1624</v>
      </c>
      <c r="D541" s="50" t="s">
        <v>1624</v>
      </c>
      <c r="E541" s="50" t="s">
        <v>2095</v>
      </c>
      <c r="F541" s="50" t="s">
        <v>2095</v>
      </c>
      <c r="G541" s="50" t="s">
        <v>2096</v>
      </c>
      <c r="H541" s="50" t="s">
        <v>2097</v>
      </c>
    </row>
    <row r="542" spans="1:8" x14ac:dyDescent="0.2">
      <c r="A542" s="50" t="s">
        <v>2726</v>
      </c>
      <c r="B542" s="50" t="s">
        <v>49</v>
      </c>
      <c r="C542" s="50" t="s">
        <v>1624</v>
      </c>
      <c r="D542" s="50" t="s">
        <v>1624</v>
      </c>
      <c r="E542" s="50" t="s">
        <v>2095</v>
      </c>
      <c r="F542" s="50" t="s">
        <v>2095</v>
      </c>
      <c r="G542" s="50" t="s">
        <v>2096</v>
      </c>
      <c r="H542" s="50" t="s">
        <v>2097</v>
      </c>
    </row>
    <row r="543" spans="1:8" x14ac:dyDescent="0.2">
      <c r="A543" s="50" t="s">
        <v>2727</v>
      </c>
      <c r="B543" s="50" t="s">
        <v>26</v>
      </c>
      <c r="C543" s="50" t="s">
        <v>1624</v>
      </c>
      <c r="D543" s="50" t="s">
        <v>1624</v>
      </c>
      <c r="E543" s="50" t="s">
        <v>2095</v>
      </c>
      <c r="F543" s="50" t="s">
        <v>2095</v>
      </c>
      <c r="G543" s="50" t="s">
        <v>2096</v>
      </c>
      <c r="H543" s="50" t="s">
        <v>2097</v>
      </c>
    </row>
    <row r="544" spans="1:8" x14ac:dyDescent="0.2">
      <c r="A544" s="50" t="s">
        <v>2728</v>
      </c>
      <c r="B544" s="50" t="s">
        <v>746</v>
      </c>
      <c r="C544" s="50" t="s">
        <v>1624</v>
      </c>
      <c r="D544" s="50" t="s">
        <v>1624</v>
      </c>
      <c r="E544" s="50" t="s">
        <v>2095</v>
      </c>
      <c r="F544" s="50" t="s">
        <v>2095</v>
      </c>
      <c r="G544" s="50" t="s">
        <v>2096</v>
      </c>
      <c r="H544" s="50" t="s">
        <v>2097</v>
      </c>
    </row>
    <row r="545" spans="1:8" x14ac:dyDescent="0.2">
      <c r="A545" s="50" t="s">
        <v>2729</v>
      </c>
      <c r="B545" s="50" t="s">
        <v>748</v>
      </c>
      <c r="C545" s="50" t="s">
        <v>1624</v>
      </c>
      <c r="D545" s="50" t="s">
        <v>1624</v>
      </c>
      <c r="E545" s="50" t="s">
        <v>2095</v>
      </c>
      <c r="F545" s="50" t="s">
        <v>2095</v>
      </c>
      <c r="G545" s="50" t="s">
        <v>2096</v>
      </c>
      <c r="H545" s="50" t="s">
        <v>2097</v>
      </c>
    </row>
    <row r="546" spans="1:8" x14ac:dyDescent="0.2">
      <c r="A546" s="50" t="s">
        <v>2730</v>
      </c>
      <c r="B546" s="50" t="s">
        <v>750</v>
      </c>
      <c r="C546" s="50" t="s">
        <v>1624</v>
      </c>
      <c r="D546" s="50" t="s">
        <v>1624</v>
      </c>
      <c r="E546" s="50" t="s">
        <v>2095</v>
      </c>
      <c r="F546" s="50" t="s">
        <v>2095</v>
      </c>
      <c r="G546" s="50" t="s">
        <v>2096</v>
      </c>
      <c r="H546" s="50" t="s">
        <v>2097</v>
      </c>
    </row>
    <row r="547" spans="1:8" x14ac:dyDescent="0.2">
      <c r="A547" s="50" t="s">
        <v>2731</v>
      </c>
      <c r="B547" s="50" t="s">
        <v>752</v>
      </c>
      <c r="C547" s="50" t="s">
        <v>1624</v>
      </c>
      <c r="D547" s="50" t="s">
        <v>1624</v>
      </c>
      <c r="E547" s="50" t="s">
        <v>2095</v>
      </c>
      <c r="F547" s="50" t="s">
        <v>2095</v>
      </c>
      <c r="G547" s="50" t="s">
        <v>2096</v>
      </c>
      <c r="H547" s="50" t="s">
        <v>2097</v>
      </c>
    </row>
    <row r="548" spans="1:8" x14ac:dyDescent="0.2">
      <c r="A548" s="50" t="s">
        <v>2732</v>
      </c>
      <c r="B548" s="50" t="s">
        <v>50</v>
      </c>
      <c r="C548" s="50" t="s">
        <v>1624</v>
      </c>
      <c r="D548" s="50" t="s">
        <v>1624</v>
      </c>
      <c r="E548" s="50" t="s">
        <v>2095</v>
      </c>
      <c r="F548" s="50" t="s">
        <v>2095</v>
      </c>
      <c r="G548" s="50" t="s">
        <v>2096</v>
      </c>
      <c r="H548" s="50" t="s">
        <v>2097</v>
      </c>
    </row>
    <row r="549" spans="1:8" x14ac:dyDescent="0.2">
      <c r="A549" s="50" t="s">
        <v>2733</v>
      </c>
      <c r="B549" s="50" t="s">
        <v>27</v>
      </c>
      <c r="C549" s="50" t="s">
        <v>1624</v>
      </c>
      <c r="D549" s="50" t="s">
        <v>1624</v>
      </c>
      <c r="E549" s="50" t="s">
        <v>2095</v>
      </c>
      <c r="F549" s="50" t="s">
        <v>2095</v>
      </c>
      <c r="G549" s="50" t="s">
        <v>2096</v>
      </c>
      <c r="H549" s="50" t="s">
        <v>2097</v>
      </c>
    </row>
    <row r="550" spans="1:8" x14ac:dyDescent="0.2">
      <c r="A550" s="50" t="s">
        <v>2734</v>
      </c>
      <c r="B550" s="50" t="s">
        <v>28</v>
      </c>
      <c r="C550" s="50" t="s">
        <v>1624</v>
      </c>
      <c r="D550" s="50" t="s">
        <v>1624</v>
      </c>
      <c r="E550" s="50" t="s">
        <v>2095</v>
      </c>
      <c r="F550" s="50" t="s">
        <v>2095</v>
      </c>
      <c r="G550" s="50" t="s">
        <v>2096</v>
      </c>
      <c r="H550" s="50" t="s">
        <v>2097</v>
      </c>
    </row>
    <row r="551" spans="1:8" x14ac:dyDescent="0.2">
      <c r="A551" s="50" t="s">
        <v>2735</v>
      </c>
      <c r="B551" s="50" t="s">
        <v>51</v>
      </c>
      <c r="C551" s="50" t="s">
        <v>1624</v>
      </c>
      <c r="D551" s="50" t="s">
        <v>1624</v>
      </c>
      <c r="E551" s="50" t="s">
        <v>2095</v>
      </c>
      <c r="F551" s="50" t="s">
        <v>2095</v>
      </c>
      <c r="G551" s="50" t="s">
        <v>2096</v>
      </c>
      <c r="H551" s="50" t="s">
        <v>2097</v>
      </c>
    </row>
    <row r="552" spans="1:8" x14ac:dyDescent="0.2">
      <c r="A552" s="50" t="s">
        <v>2736</v>
      </c>
      <c r="B552" s="50" t="s">
        <v>758</v>
      </c>
      <c r="C552" s="50" t="s">
        <v>1624</v>
      </c>
      <c r="D552" s="50" t="s">
        <v>1624</v>
      </c>
      <c r="E552" s="50" t="s">
        <v>2095</v>
      </c>
      <c r="F552" s="50" t="s">
        <v>2095</v>
      </c>
      <c r="G552" s="50" t="s">
        <v>2096</v>
      </c>
      <c r="H552" s="50" t="s">
        <v>2097</v>
      </c>
    </row>
    <row r="553" spans="1:8" x14ac:dyDescent="0.2">
      <c r="A553" s="50" t="s">
        <v>2737</v>
      </c>
      <c r="B553" s="50" t="s">
        <v>212</v>
      </c>
      <c r="C553" s="50" t="s">
        <v>1624</v>
      </c>
      <c r="D553" s="50" t="s">
        <v>1624</v>
      </c>
      <c r="E553" s="50" t="s">
        <v>2095</v>
      </c>
      <c r="F553" s="50" t="s">
        <v>2095</v>
      </c>
      <c r="G553" s="50" t="s">
        <v>2096</v>
      </c>
      <c r="H553" s="50" t="s">
        <v>2097</v>
      </c>
    </row>
    <row r="554" spans="1:8" x14ac:dyDescent="0.2">
      <c r="A554" s="50" t="s">
        <v>2738</v>
      </c>
      <c r="B554" s="50" t="s">
        <v>761</v>
      </c>
      <c r="C554" s="50" t="s">
        <v>1624</v>
      </c>
      <c r="D554" s="50" t="s">
        <v>1624</v>
      </c>
      <c r="E554" s="50" t="s">
        <v>2095</v>
      </c>
      <c r="F554" s="50" t="s">
        <v>2095</v>
      </c>
      <c r="G554" s="50" t="s">
        <v>2096</v>
      </c>
      <c r="H554" s="50" t="s">
        <v>2097</v>
      </c>
    </row>
    <row r="555" spans="1:8" x14ac:dyDescent="0.2">
      <c r="A555" s="50" t="s">
        <v>548</v>
      </c>
      <c r="B555" s="50" t="s">
        <v>763</v>
      </c>
      <c r="C555" s="50" t="s">
        <v>1624</v>
      </c>
      <c r="D555" s="50" t="s">
        <v>1624</v>
      </c>
      <c r="E555" s="50" t="s">
        <v>2095</v>
      </c>
      <c r="F555" s="50" t="s">
        <v>2095</v>
      </c>
      <c r="G555" s="50" t="s">
        <v>2096</v>
      </c>
      <c r="H555" s="50" t="s">
        <v>2097</v>
      </c>
    </row>
    <row r="556" spans="1:8" x14ac:dyDescent="0.2">
      <c r="A556" s="50" t="s">
        <v>2739</v>
      </c>
      <c r="B556" s="50" t="s">
        <v>765</v>
      </c>
      <c r="C556" s="50" t="s">
        <v>1624</v>
      </c>
      <c r="D556" s="50" t="s">
        <v>1624</v>
      </c>
      <c r="E556" s="50" t="s">
        <v>2095</v>
      </c>
      <c r="F556" s="50" t="s">
        <v>2095</v>
      </c>
      <c r="G556" s="50" t="s">
        <v>2096</v>
      </c>
      <c r="H556" s="50" t="s">
        <v>2097</v>
      </c>
    </row>
    <row r="557" spans="1:8" x14ac:dyDescent="0.2">
      <c r="A557" s="50" t="s">
        <v>2740</v>
      </c>
      <c r="B557" s="50" t="s">
        <v>1549</v>
      </c>
      <c r="C557" s="50" t="s">
        <v>1624</v>
      </c>
      <c r="D557" s="50" t="s">
        <v>1624</v>
      </c>
      <c r="E557" s="50" t="s">
        <v>2095</v>
      </c>
      <c r="F557" s="50" t="s">
        <v>2095</v>
      </c>
      <c r="G557" s="50" t="s">
        <v>2096</v>
      </c>
      <c r="H557" s="50" t="s">
        <v>2097</v>
      </c>
    </row>
    <row r="558" spans="1:8" x14ac:dyDescent="0.2">
      <c r="A558" s="50" t="s">
        <v>2741</v>
      </c>
      <c r="B558" s="50" t="s">
        <v>1550</v>
      </c>
      <c r="C558" s="50" t="s">
        <v>1624</v>
      </c>
      <c r="D558" s="50" t="s">
        <v>1624</v>
      </c>
      <c r="E558" s="50" t="s">
        <v>2095</v>
      </c>
      <c r="F558" s="50" t="s">
        <v>2095</v>
      </c>
      <c r="G558" s="50" t="s">
        <v>2096</v>
      </c>
      <c r="H558" s="50" t="s">
        <v>2097</v>
      </c>
    </row>
    <row r="559" spans="1:8" x14ac:dyDescent="0.2">
      <c r="A559" s="50" t="s">
        <v>2742</v>
      </c>
      <c r="B559" s="50" t="s">
        <v>767</v>
      </c>
      <c r="C559" s="50" t="s">
        <v>1624</v>
      </c>
      <c r="D559" s="50" t="s">
        <v>1624</v>
      </c>
      <c r="E559" s="50" t="s">
        <v>2095</v>
      </c>
      <c r="F559" s="50" t="s">
        <v>2095</v>
      </c>
      <c r="G559" s="50" t="s">
        <v>2096</v>
      </c>
      <c r="H559" s="50" t="s">
        <v>2097</v>
      </c>
    </row>
    <row r="560" spans="1:8" x14ac:dyDescent="0.2">
      <c r="A560" s="50" t="s">
        <v>2743</v>
      </c>
      <c r="B560" s="50" t="s">
        <v>29</v>
      </c>
      <c r="C560" s="50" t="s">
        <v>1624</v>
      </c>
      <c r="D560" s="50" t="s">
        <v>1624</v>
      </c>
      <c r="E560" s="50" t="s">
        <v>2095</v>
      </c>
      <c r="F560" s="50" t="s">
        <v>2095</v>
      </c>
      <c r="G560" s="50" t="s">
        <v>2096</v>
      </c>
      <c r="H560" s="50" t="s">
        <v>2097</v>
      </c>
    </row>
    <row r="561" spans="1:8" x14ac:dyDescent="0.2">
      <c r="A561" s="50" t="s">
        <v>2744</v>
      </c>
      <c r="B561" s="50" t="s">
        <v>160</v>
      </c>
      <c r="C561" s="50" t="s">
        <v>1624</v>
      </c>
      <c r="D561" s="50" t="s">
        <v>1624</v>
      </c>
      <c r="E561" s="50" t="s">
        <v>2095</v>
      </c>
      <c r="F561" s="50" t="s">
        <v>2095</v>
      </c>
      <c r="G561" s="50" t="s">
        <v>2096</v>
      </c>
      <c r="H561" s="50" t="s">
        <v>2097</v>
      </c>
    </row>
    <row r="562" spans="1:8" x14ac:dyDescent="0.2">
      <c r="A562" s="50" t="s">
        <v>2745</v>
      </c>
      <c r="B562" s="50" t="s">
        <v>771</v>
      </c>
      <c r="C562" s="50" t="s">
        <v>1624</v>
      </c>
      <c r="D562" s="50" t="s">
        <v>1624</v>
      </c>
      <c r="E562" s="50" t="s">
        <v>2095</v>
      </c>
      <c r="F562" s="50" t="s">
        <v>2095</v>
      </c>
      <c r="G562" s="50" t="s">
        <v>2096</v>
      </c>
      <c r="H562" s="50" t="s">
        <v>2097</v>
      </c>
    </row>
    <row r="563" spans="1:8" x14ac:dyDescent="0.2">
      <c r="A563" s="50" t="s">
        <v>2746</v>
      </c>
      <c r="B563" s="50" t="s">
        <v>773</v>
      </c>
      <c r="C563" s="50" t="s">
        <v>1624</v>
      </c>
      <c r="D563" s="50" t="s">
        <v>1624</v>
      </c>
      <c r="E563" s="50" t="s">
        <v>2095</v>
      </c>
      <c r="F563" s="50" t="s">
        <v>2095</v>
      </c>
      <c r="G563" s="50" t="s">
        <v>2096</v>
      </c>
      <c r="H563" s="50" t="s">
        <v>2097</v>
      </c>
    </row>
    <row r="564" spans="1:8" x14ac:dyDescent="0.2">
      <c r="A564" s="50" t="s">
        <v>2747</v>
      </c>
      <c r="B564" s="50" t="s">
        <v>52</v>
      </c>
      <c r="C564" s="50" t="s">
        <v>1624</v>
      </c>
      <c r="D564" s="50" t="s">
        <v>1624</v>
      </c>
      <c r="E564" s="50" t="s">
        <v>2095</v>
      </c>
      <c r="F564" s="50" t="s">
        <v>2095</v>
      </c>
      <c r="G564" s="50" t="s">
        <v>2096</v>
      </c>
      <c r="H564" s="50" t="s">
        <v>2097</v>
      </c>
    </row>
    <row r="565" spans="1:8" x14ac:dyDescent="0.2">
      <c r="A565" s="50" t="s">
        <v>2748</v>
      </c>
      <c r="B565" s="50" t="s">
        <v>776</v>
      </c>
      <c r="C565" s="50" t="s">
        <v>1624</v>
      </c>
      <c r="D565" s="50" t="s">
        <v>1624</v>
      </c>
      <c r="E565" s="50" t="s">
        <v>2095</v>
      </c>
      <c r="F565" s="50" t="s">
        <v>2095</v>
      </c>
      <c r="G565" s="50" t="s">
        <v>2096</v>
      </c>
      <c r="H565" s="50" t="s">
        <v>2097</v>
      </c>
    </row>
    <row r="566" spans="1:8" x14ac:dyDescent="0.2">
      <c r="A566" s="50" t="s">
        <v>2749</v>
      </c>
      <c r="B566" s="50" t="s">
        <v>778</v>
      </c>
      <c r="C566" s="50" t="s">
        <v>1624</v>
      </c>
      <c r="D566" s="50" t="s">
        <v>1624</v>
      </c>
      <c r="E566" s="50" t="s">
        <v>2095</v>
      </c>
      <c r="F566" s="50" t="s">
        <v>2095</v>
      </c>
      <c r="G566" s="50" t="s">
        <v>2096</v>
      </c>
      <c r="H566" s="50" t="s">
        <v>2097</v>
      </c>
    </row>
    <row r="567" spans="1:8" x14ac:dyDescent="0.2">
      <c r="A567" s="50" t="s">
        <v>2750</v>
      </c>
      <c r="B567" s="50" t="s">
        <v>1551</v>
      </c>
      <c r="C567" s="50" t="s">
        <v>1624</v>
      </c>
      <c r="D567" s="50" t="s">
        <v>1624</v>
      </c>
      <c r="E567" s="50" t="s">
        <v>2095</v>
      </c>
      <c r="F567" s="50" t="s">
        <v>2095</v>
      </c>
      <c r="G567" s="50" t="s">
        <v>2096</v>
      </c>
      <c r="H567" s="50" t="s">
        <v>2097</v>
      </c>
    </row>
    <row r="568" spans="1:8" x14ac:dyDescent="0.2">
      <c r="A568" s="50" t="s">
        <v>2751</v>
      </c>
      <c r="B568" s="50" t="s">
        <v>1552</v>
      </c>
      <c r="C568" s="50" t="s">
        <v>1624</v>
      </c>
      <c r="D568" s="50" t="s">
        <v>1624</v>
      </c>
      <c r="E568" s="50" t="s">
        <v>2095</v>
      </c>
      <c r="F568" s="50" t="s">
        <v>2095</v>
      </c>
      <c r="G568" s="50" t="s">
        <v>2096</v>
      </c>
      <c r="H568" s="50" t="s">
        <v>2097</v>
      </c>
    </row>
    <row r="569" spans="1:8" x14ac:dyDescent="0.2">
      <c r="A569" s="50" t="s">
        <v>2752</v>
      </c>
      <c r="B569" s="50" t="s">
        <v>110</v>
      </c>
      <c r="C569" s="50" t="s">
        <v>1624</v>
      </c>
      <c r="D569" s="50" t="s">
        <v>1624</v>
      </c>
      <c r="E569" s="50" t="s">
        <v>2095</v>
      </c>
      <c r="F569" s="50" t="s">
        <v>2095</v>
      </c>
      <c r="G569" s="50" t="s">
        <v>2096</v>
      </c>
      <c r="H569" s="50" t="s">
        <v>2097</v>
      </c>
    </row>
    <row r="570" spans="1:8" x14ac:dyDescent="0.2">
      <c r="A570" s="50" t="s">
        <v>2753</v>
      </c>
      <c r="B570" s="50" t="s">
        <v>781</v>
      </c>
      <c r="C570" s="50" t="s">
        <v>1624</v>
      </c>
      <c r="D570" s="50" t="s">
        <v>1624</v>
      </c>
      <c r="E570" s="50" t="s">
        <v>2095</v>
      </c>
      <c r="F570" s="50" t="s">
        <v>2095</v>
      </c>
      <c r="G570" s="50" t="s">
        <v>2096</v>
      </c>
      <c r="H570" s="50" t="s">
        <v>2097</v>
      </c>
    </row>
    <row r="571" spans="1:8" x14ac:dyDescent="0.2">
      <c r="A571" s="50" t="s">
        <v>2754</v>
      </c>
      <c r="B571" s="50" t="s">
        <v>1553</v>
      </c>
      <c r="C571" s="50" t="s">
        <v>1624</v>
      </c>
      <c r="D571" s="50" t="s">
        <v>1624</v>
      </c>
      <c r="E571" s="50" t="s">
        <v>2095</v>
      </c>
      <c r="F571" s="50" t="s">
        <v>2095</v>
      </c>
      <c r="G571" s="50" t="s">
        <v>2096</v>
      </c>
      <c r="H571" s="50" t="s">
        <v>2097</v>
      </c>
    </row>
    <row r="572" spans="1:8" x14ac:dyDescent="0.2">
      <c r="A572" s="50" t="s">
        <v>2755</v>
      </c>
      <c r="B572" s="50" t="s">
        <v>785</v>
      </c>
      <c r="C572" s="50" t="s">
        <v>1624</v>
      </c>
      <c r="D572" s="50" t="s">
        <v>1624</v>
      </c>
      <c r="E572" s="50" t="s">
        <v>2095</v>
      </c>
      <c r="F572" s="50" t="s">
        <v>2095</v>
      </c>
      <c r="G572" s="50" t="s">
        <v>2096</v>
      </c>
      <c r="H572" s="50" t="s">
        <v>2097</v>
      </c>
    </row>
    <row r="573" spans="1:8" x14ac:dyDescent="0.2">
      <c r="A573" s="50" t="s">
        <v>2756</v>
      </c>
      <c r="B573" s="50" t="s">
        <v>787</v>
      </c>
      <c r="C573" s="50" t="s">
        <v>1624</v>
      </c>
      <c r="D573" s="50" t="s">
        <v>1624</v>
      </c>
      <c r="E573" s="50" t="s">
        <v>2095</v>
      </c>
      <c r="F573" s="50" t="s">
        <v>2095</v>
      </c>
      <c r="G573" s="50" t="s">
        <v>2096</v>
      </c>
      <c r="H573" s="50" t="s">
        <v>2097</v>
      </c>
    </row>
    <row r="574" spans="1:8" x14ac:dyDescent="0.2">
      <c r="A574" s="50" t="s">
        <v>2757</v>
      </c>
      <c r="B574" s="50" t="s">
        <v>789</v>
      </c>
      <c r="C574" s="50" t="s">
        <v>1624</v>
      </c>
      <c r="D574" s="50" t="s">
        <v>1624</v>
      </c>
      <c r="E574" s="50" t="s">
        <v>2095</v>
      </c>
      <c r="F574" s="50" t="s">
        <v>2095</v>
      </c>
      <c r="G574" s="50" t="s">
        <v>2096</v>
      </c>
      <c r="H574" s="50" t="s">
        <v>2097</v>
      </c>
    </row>
    <row r="575" spans="1:8" x14ac:dyDescent="0.2">
      <c r="A575" s="50" t="s">
        <v>551</v>
      </c>
      <c r="B575" s="50" t="s">
        <v>53</v>
      </c>
      <c r="C575" s="50" t="s">
        <v>1624</v>
      </c>
      <c r="D575" s="50" t="s">
        <v>1624</v>
      </c>
      <c r="E575" s="50" t="s">
        <v>2095</v>
      </c>
      <c r="F575" s="50" t="s">
        <v>2095</v>
      </c>
      <c r="G575" s="50" t="s">
        <v>2096</v>
      </c>
      <c r="H575" s="50" t="s">
        <v>2097</v>
      </c>
    </row>
    <row r="576" spans="1:8" x14ac:dyDescent="0.2">
      <c r="A576" s="50" t="s">
        <v>2758</v>
      </c>
      <c r="B576" s="50" t="s">
        <v>1554</v>
      </c>
      <c r="C576" s="50" t="s">
        <v>1624</v>
      </c>
      <c r="D576" s="50" t="s">
        <v>1624</v>
      </c>
      <c r="E576" s="50" t="s">
        <v>2095</v>
      </c>
      <c r="F576" s="50" t="s">
        <v>2095</v>
      </c>
      <c r="G576" s="50" t="s">
        <v>2096</v>
      </c>
      <c r="H576" s="50" t="s">
        <v>2097</v>
      </c>
    </row>
    <row r="577" spans="1:8" x14ac:dyDescent="0.2">
      <c r="A577" s="50" t="s">
        <v>553</v>
      </c>
      <c r="B577" s="50" t="s">
        <v>2099</v>
      </c>
      <c r="C577" s="50" t="s">
        <v>1624</v>
      </c>
      <c r="D577" s="50" t="s">
        <v>1624</v>
      </c>
      <c r="E577" s="50" t="s">
        <v>2095</v>
      </c>
      <c r="F577" s="50" t="s">
        <v>2095</v>
      </c>
      <c r="G577" s="50" t="s">
        <v>2096</v>
      </c>
      <c r="H577" s="50" t="s">
        <v>2097</v>
      </c>
    </row>
    <row r="578" spans="1:8" x14ac:dyDescent="0.2">
      <c r="A578" s="50" t="s">
        <v>2759</v>
      </c>
      <c r="B578" s="50" t="s">
        <v>54</v>
      </c>
      <c r="C578" s="50" t="s">
        <v>1624</v>
      </c>
      <c r="D578" s="50" t="s">
        <v>1624</v>
      </c>
      <c r="E578" s="50" t="s">
        <v>2095</v>
      </c>
      <c r="F578" s="50" t="s">
        <v>2095</v>
      </c>
      <c r="G578" s="50" t="s">
        <v>2096</v>
      </c>
      <c r="H578" s="50" t="s">
        <v>2097</v>
      </c>
    </row>
    <row r="579" spans="1:8" x14ac:dyDescent="0.2">
      <c r="A579" s="50" t="s">
        <v>554</v>
      </c>
      <c r="B579" s="50" t="s">
        <v>55</v>
      </c>
      <c r="C579" s="50" t="s">
        <v>1624</v>
      </c>
      <c r="D579" s="50" t="s">
        <v>1624</v>
      </c>
      <c r="E579" s="50" t="s">
        <v>2095</v>
      </c>
      <c r="F579" s="50" t="s">
        <v>2095</v>
      </c>
      <c r="G579" s="50" t="s">
        <v>2096</v>
      </c>
      <c r="H579" s="50" t="s">
        <v>2097</v>
      </c>
    </row>
    <row r="580" spans="1:8" x14ac:dyDescent="0.2">
      <c r="A580" s="50" t="s">
        <v>2760</v>
      </c>
      <c r="B580" s="50" t="s">
        <v>2100</v>
      </c>
      <c r="C580" s="50" t="s">
        <v>1624</v>
      </c>
      <c r="D580" s="50" t="s">
        <v>1624</v>
      </c>
      <c r="E580" s="50" t="s">
        <v>2095</v>
      </c>
      <c r="F580" s="50" t="s">
        <v>2095</v>
      </c>
      <c r="G580" s="50" t="s">
        <v>2096</v>
      </c>
      <c r="H580" s="50" t="s">
        <v>2097</v>
      </c>
    </row>
    <row r="581" spans="1:8" x14ac:dyDescent="0.2">
      <c r="A581" s="50" t="s">
        <v>556</v>
      </c>
      <c r="B581" s="50" t="s">
        <v>797</v>
      </c>
      <c r="C581" s="50" t="s">
        <v>1624</v>
      </c>
      <c r="D581" s="50" t="s">
        <v>1624</v>
      </c>
      <c r="E581" s="50" t="s">
        <v>2095</v>
      </c>
      <c r="F581" s="50" t="s">
        <v>2095</v>
      </c>
      <c r="G581" s="50" t="s">
        <v>2096</v>
      </c>
      <c r="H581" s="50" t="s">
        <v>2097</v>
      </c>
    </row>
    <row r="582" spans="1:8" x14ac:dyDescent="0.2">
      <c r="A582" s="50" t="s">
        <v>2761</v>
      </c>
      <c r="B582" s="50" t="s">
        <v>2101</v>
      </c>
      <c r="C582" s="50" t="s">
        <v>1624</v>
      </c>
      <c r="D582" s="50" t="s">
        <v>1624</v>
      </c>
      <c r="E582" s="50" t="s">
        <v>2095</v>
      </c>
      <c r="F582" s="50" t="s">
        <v>2095</v>
      </c>
      <c r="G582" s="50" t="s">
        <v>2102</v>
      </c>
      <c r="H582" s="50" t="s">
        <v>2102</v>
      </c>
    </row>
    <row r="583" spans="1:8" x14ac:dyDescent="0.2">
      <c r="A583" s="50" t="s">
        <v>1556</v>
      </c>
      <c r="B583" s="50" t="s">
        <v>862</v>
      </c>
      <c r="C583" s="50" t="s">
        <v>1624</v>
      </c>
      <c r="D583" s="50" t="s">
        <v>1624</v>
      </c>
      <c r="E583" s="50" t="s">
        <v>2103</v>
      </c>
      <c r="F583" s="50" t="s">
        <v>2103</v>
      </c>
      <c r="G583" s="50" t="s">
        <v>2104</v>
      </c>
      <c r="H583" s="50" t="s">
        <v>2105</v>
      </c>
    </row>
    <row r="584" spans="1:8" x14ac:dyDescent="0.2">
      <c r="A584" s="50" t="s">
        <v>706</v>
      </c>
      <c r="B584" s="50" t="s">
        <v>250</v>
      </c>
      <c r="C584" s="50" t="s">
        <v>1624</v>
      </c>
      <c r="D584" s="50" t="s">
        <v>1624</v>
      </c>
      <c r="E584" s="50" t="s">
        <v>2103</v>
      </c>
      <c r="F584" s="50" t="s">
        <v>2103</v>
      </c>
      <c r="G584" s="50" t="s">
        <v>2104</v>
      </c>
      <c r="H584" s="50" t="s">
        <v>2105</v>
      </c>
    </row>
    <row r="585" spans="1:8" x14ac:dyDescent="0.2">
      <c r="A585" s="50" t="s">
        <v>2762</v>
      </c>
      <c r="B585" s="50" t="s">
        <v>248</v>
      </c>
      <c r="C585" s="50" t="s">
        <v>1624</v>
      </c>
      <c r="D585" s="50" t="s">
        <v>1624</v>
      </c>
      <c r="E585" s="50" t="s">
        <v>2103</v>
      </c>
      <c r="F585" s="50" t="s">
        <v>2103</v>
      </c>
      <c r="G585" s="50" t="s">
        <v>2104</v>
      </c>
      <c r="H585" s="50" t="s">
        <v>2105</v>
      </c>
    </row>
    <row r="586" spans="1:8" x14ac:dyDescent="0.2">
      <c r="A586" s="50" t="s">
        <v>2763</v>
      </c>
      <c r="B586" s="50" t="s">
        <v>30</v>
      </c>
      <c r="C586" s="50" t="s">
        <v>1624</v>
      </c>
      <c r="D586" s="50" t="s">
        <v>1624</v>
      </c>
      <c r="E586" s="50" t="s">
        <v>2103</v>
      </c>
      <c r="F586" s="50" t="s">
        <v>2103</v>
      </c>
      <c r="G586" s="50" t="s">
        <v>2104</v>
      </c>
      <c r="H586" s="50" t="s">
        <v>2105</v>
      </c>
    </row>
    <row r="587" spans="1:8" x14ac:dyDescent="0.2">
      <c r="A587" s="50" t="s">
        <v>2764</v>
      </c>
      <c r="B587" s="50" t="s">
        <v>249</v>
      </c>
      <c r="C587" s="50" t="s">
        <v>1624</v>
      </c>
      <c r="D587" s="50" t="s">
        <v>1624</v>
      </c>
      <c r="E587" s="50" t="s">
        <v>2103</v>
      </c>
      <c r="F587" s="50" t="s">
        <v>2103</v>
      </c>
      <c r="G587" s="50" t="s">
        <v>2104</v>
      </c>
      <c r="H587" s="50" t="s">
        <v>2105</v>
      </c>
    </row>
    <row r="588" spans="1:8" x14ac:dyDescent="0.2">
      <c r="A588" s="50" t="s">
        <v>2765</v>
      </c>
      <c r="B588" s="50" t="s">
        <v>250</v>
      </c>
      <c r="C588" s="50" t="s">
        <v>1624</v>
      </c>
      <c r="D588" s="50" t="s">
        <v>1624</v>
      </c>
      <c r="E588" s="50" t="s">
        <v>2103</v>
      </c>
      <c r="F588" s="50" t="s">
        <v>2103</v>
      </c>
      <c r="G588" s="50" t="s">
        <v>2104</v>
      </c>
      <c r="H588" s="50" t="s">
        <v>2105</v>
      </c>
    </row>
    <row r="589" spans="1:8" x14ac:dyDescent="0.2">
      <c r="A589" s="50" t="s">
        <v>2766</v>
      </c>
      <c r="B589" s="50" t="s">
        <v>1064</v>
      </c>
      <c r="C589" s="50" t="s">
        <v>1624</v>
      </c>
      <c r="D589" s="50" t="s">
        <v>1624</v>
      </c>
      <c r="E589" s="50" t="s">
        <v>2106</v>
      </c>
      <c r="F589" s="50" t="s">
        <v>2106</v>
      </c>
      <c r="G589" s="50" t="s">
        <v>2107</v>
      </c>
      <c r="H589" s="50" t="s">
        <v>2007</v>
      </c>
    </row>
    <row r="590" spans="1:8" x14ac:dyDescent="0.2">
      <c r="A590" s="50" t="s">
        <v>2767</v>
      </c>
      <c r="B590" s="50" t="s">
        <v>8</v>
      </c>
      <c r="C590" s="50" t="s">
        <v>1624</v>
      </c>
      <c r="D590" s="50" t="s">
        <v>1624</v>
      </c>
      <c r="E590" s="50" t="s">
        <v>2106</v>
      </c>
      <c r="F590" s="50" t="s">
        <v>2106</v>
      </c>
      <c r="G590" s="50" t="s">
        <v>2107</v>
      </c>
      <c r="H590" s="50" t="s">
        <v>2007</v>
      </c>
    </row>
    <row r="591" spans="1:8" x14ac:dyDescent="0.2">
      <c r="A591" s="50" t="s">
        <v>2768</v>
      </c>
      <c r="B591" s="50" t="s">
        <v>1074</v>
      </c>
      <c r="C591" s="50" t="s">
        <v>1624</v>
      </c>
      <c r="D591" s="50" t="s">
        <v>1624</v>
      </c>
      <c r="E591" s="50" t="s">
        <v>2106</v>
      </c>
      <c r="F591" s="50" t="s">
        <v>2106</v>
      </c>
      <c r="G591" s="50" t="s">
        <v>2107</v>
      </c>
      <c r="H591" s="50" t="s">
        <v>2007</v>
      </c>
    </row>
    <row r="592" spans="1:8" x14ac:dyDescent="0.2">
      <c r="A592" s="50" t="s">
        <v>2769</v>
      </c>
      <c r="B592" s="50" t="s">
        <v>252</v>
      </c>
      <c r="C592" s="50" t="s">
        <v>1624</v>
      </c>
      <c r="D592" s="50" t="s">
        <v>1624</v>
      </c>
      <c r="E592" s="50" t="s">
        <v>2106</v>
      </c>
      <c r="F592" s="50" t="s">
        <v>2106</v>
      </c>
      <c r="G592" s="50" t="s">
        <v>2107</v>
      </c>
      <c r="H592" s="50" t="s">
        <v>2007</v>
      </c>
    </row>
    <row r="593" spans="1:8" x14ac:dyDescent="0.2">
      <c r="A593" s="50" t="s">
        <v>2770</v>
      </c>
      <c r="B593" s="50" t="s">
        <v>253</v>
      </c>
      <c r="C593" s="50" t="s">
        <v>1624</v>
      </c>
      <c r="D593" s="50" t="s">
        <v>1624</v>
      </c>
      <c r="E593" s="50" t="s">
        <v>2106</v>
      </c>
      <c r="F593" s="50" t="s">
        <v>2106</v>
      </c>
      <c r="G593" s="50" t="s">
        <v>2107</v>
      </c>
      <c r="H593" s="50" t="s">
        <v>2007</v>
      </c>
    </row>
    <row r="594" spans="1:8" x14ac:dyDescent="0.2">
      <c r="A594" s="50" t="s">
        <v>2771</v>
      </c>
      <c r="B594" s="50" t="s">
        <v>818</v>
      </c>
      <c r="C594" s="50" t="s">
        <v>1624</v>
      </c>
      <c r="D594" s="50" t="s">
        <v>1624</v>
      </c>
      <c r="E594" s="50" t="s">
        <v>2106</v>
      </c>
      <c r="F594" s="50" t="s">
        <v>2106</v>
      </c>
      <c r="G594" s="50" t="s">
        <v>2107</v>
      </c>
      <c r="H594" s="50" t="s">
        <v>2007</v>
      </c>
    </row>
    <row r="595" spans="1:8" x14ac:dyDescent="0.2">
      <c r="A595" s="50" t="s">
        <v>2772</v>
      </c>
      <c r="B595" s="50" t="s">
        <v>820</v>
      </c>
      <c r="C595" s="50" t="s">
        <v>1624</v>
      </c>
      <c r="D595" s="50" t="s">
        <v>1624</v>
      </c>
      <c r="E595" s="50" t="s">
        <v>2106</v>
      </c>
      <c r="F595" s="50" t="s">
        <v>2106</v>
      </c>
      <c r="G595" s="50" t="s">
        <v>2107</v>
      </c>
      <c r="H595" s="50" t="s">
        <v>2007</v>
      </c>
    </row>
    <row r="596" spans="1:8" x14ac:dyDescent="0.2">
      <c r="A596" s="50" t="s">
        <v>2773</v>
      </c>
      <c r="B596" s="50" t="s">
        <v>822</v>
      </c>
      <c r="C596" s="50" t="s">
        <v>1624</v>
      </c>
      <c r="D596" s="50" t="s">
        <v>1624</v>
      </c>
      <c r="E596" s="50" t="s">
        <v>2106</v>
      </c>
      <c r="F596" s="50" t="s">
        <v>2106</v>
      </c>
      <c r="G596" s="50" t="s">
        <v>2107</v>
      </c>
      <c r="H596" s="50" t="s">
        <v>2007</v>
      </c>
    </row>
    <row r="597" spans="1:8" x14ac:dyDescent="0.2">
      <c r="A597" s="50" t="s">
        <v>2774</v>
      </c>
      <c r="B597" s="50" t="s">
        <v>256</v>
      </c>
      <c r="C597" s="50" t="s">
        <v>1624</v>
      </c>
      <c r="D597" s="50" t="s">
        <v>1624</v>
      </c>
      <c r="E597" s="50" t="s">
        <v>2106</v>
      </c>
      <c r="F597" s="50" t="s">
        <v>2106</v>
      </c>
      <c r="G597" s="50" t="s">
        <v>2107</v>
      </c>
      <c r="H597" s="50" t="s">
        <v>2007</v>
      </c>
    </row>
    <row r="598" spans="1:8" x14ac:dyDescent="0.2">
      <c r="A598" s="50" t="s">
        <v>2775</v>
      </c>
      <c r="B598" s="50" t="s">
        <v>1557</v>
      </c>
      <c r="C598" s="50" t="s">
        <v>1624</v>
      </c>
      <c r="D598" s="50" t="s">
        <v>1624</v>
      </c>
      <c r="E598" s="50" t="s">
        <v>2106</v>
      </c>
      <c r="F598" s="50" t="s">
        <v>2106</v>
      </c>
      <c r="G598" s="50" t="s">
        <v>2107</v>
      </c>
      <c r="H598" s="50" t="s">
        <v>2007</v>
      </c>
    </row>
    <row r="599" spans="1:8" x14ac:dyDescent="0.2">
      <c r="A599" s="50" t="s">
        <v>2776</v>
      </c>
      <c r="B599" s="50" t="s">
        <v>1558</v>
      </c>
      <c r="C599" s="50" t="s">
        <v>1624</v>
      </c>
      <c r="D599" s="50" t="s">
        <v>1624</v>
      </c>
      <c r="E599" s="50" t="s">
        <v>2106</v>
      </c>
      <c r="F599" s="50" t="s">
        <v>2106</v>
      </c>
      <c r="G599" s="50" t="s">
        <v>2107</v>
      </c>
      <c r="H599" s="50" t="s">
        <v>2007</v>
      </c>
    </row>
    <row r="600" spans="1:8" x14ac:dyDescent="0.2">
      <c r="A600" s="50" t="s">
        <v>2777</v>
      </c>
      <c r="B600" s="50" t="s">
        <v>1559</v>
      </c>
      <c r="C600" s="50" t="s">
        <v>1624</v>
      </c>
      <c r="D600" s="50" t="s">
        <v>1624</v>
      </c>
      <c r="E600" s="50" t="s">
        <v>2106</v>
      </c>
      <c r="F600" s="50" t="s">
        <v>2106</v>
      </c>
      <c r="G600" s="50" t="s">
        <v>2107</v>
      </c>
      <c r="H600" s="50" t="s">
        <v>2007</v>
      </c>
    </row>
    <row r="601" spans="1:8" x14ac:dyDescent="0.2">
      <c r="A601" s="50" t="s">
        <v>2778</v>
      </c>
      <c r="B601" s="50" t="s">
        <v>1065</v>
      </c>
      <c r="C601" s="50" t="s">
        <v>1624</v>
      </c>
      <c r="D601" s="50" t="s">
        <v>1624</v>
      </c>
      <c r="E601" s="50" t="s">
        <v>2106</v>
      </c>
      <c r="F601" s="50" t="s">
        <v>2106</v>
      </c>
      <c r="G601" s="50" t="s">
        <v>2107</v>
      </c>
      <c r="H601" s="50" t="s">
        <v>2007</v>
      </c>
    </row>
    <row r="602" spans="1:8" x14ac:dyDescent="0.2">
      <c r="A602" s="50" t="s">
        <v>2779</v>
      </c>
      <c r="B602" s="50" t="s">
        <v>825</v>
      </c>
      <c r="C602" s="50" t="s">
        <v>1624</v>
      </c>
      <c r="D602" s="50" t="s">
        <v>1624</v>
      </c>
      <c r="E602" s="50" t="s">
        <v>2106</v>
      </c>
      <c r="F602" s="50" t="s">
        <v>2106</v>
      </c>
      <c r="G602" s="50" t="s">
        <v>2107</v>
      </c>
      <c r="H602" s="50" t="s">
        <v>2007</v>
      </c>
    </row>
    <row r="603" spans="1:8" x14ac:dyDescent="0.2">
      <c r="A603" s="50" t="s">
        <v>2780</v>
      </c>
      <c r="B603" s="50" t="s">
        <v>827</v>
      </c>
      <c r="C603" s="50" t="s">
        <v>1624</v>
      </c>
      <c r="D603" s="50" t="s">
        <v>1624</v>
      </c>
      <c r="E603" s="50" t="s">
        <v>2106</v>
      </c>
      <c r="F603" s="50" t="s">
        <v>2106</v>
      </c>
      <c r="G603" s="50" t="s">
        <v>2107</v>
      </c>
      <c r="H603" s="50" t="s">
        <v>2007</v>
      </c>
    </row>
    <row r="604" spans="1:8" x14ac:dyDescent="0.2">
      <c r="A604" s="50" t="s">
        <v>2781</v>
      </c>
      <c r="B604" s="50" t="s">
        <v>829</v>
      </c>
      <c r="C604" s="50" t="s">
        <v>1624</v>
      </c>
      <c r="D604" s="50" t="s">
        <v>1624</v>
      </c>
      <c r="E604" s="50" t="s">
        <v>2106</v>
      </c>
      <c r="F604" s="50" t="s">
        <v>2106</v>
      </c>
      <c r="G604" s="50" t="s">
        <v>2107</v>
      </c>
      <c r="H604" s="50" t="s">
        <v>2007</v>
      </c>
    </row>
    <row r="605" spans="1:8" x14ac:dyDescent="0.2">
      <c r="A605" s="50" t="s">
        <v>2782</v>
      </c>
      <c r="B605" s="50" t="s">
        <v>281</v>
      </c>
      <c r="C605" s="50" t="s">
        <v>1624</v>
      </c>
      <c r="D605" s="50" t="s">
        <v>1624</v>
      </c>
      <c r="E605" s="50" t="s">
        <v>2106</v>
      </c>
      <c r="F605" s="50" t="s">
        <v>2106</v>
      </c>
      <c r="G605" s="50" t="s">
        <v>2107</v>
      </c>
      <c r="H605" s="50" t="s">
        <v>2007</v>
      </c>
    </row>
    <row r="606" spans="1:8" x14ac:dyDescent="0.2">
      <c r="A606" s="50" t="s">
        <v>2783</v>
      </c>
      <c r="B606" s="50" t="s">
        <v>2108</v>
      </c>
      <c r="C606" s="50" t="s">
        <v>1624</v>
      </c>
      <c r="D606" s="50" t="s">
        <v>1624</v>
      </c>
      <c r="E606" s="50" t="s">
        <v>2109</v>
      </c>
      <c r="F606" s="50" t="s">
        <v>2109</v>
      </c>
      <c r="G606" s="50" t="s">
        <v>2110</v>
      </c>
      <c r="H606" s="50" t="s">
        <v>2111</v>
      </c>
    </row>
    <row r="607" spans="1:8" x14ac:dyDescent="0.2">
      <c r="A607" s="50" t="s">
        <v>2784</v>
      </c>
      <c r="B607" s="50" t="s">
        <v>204</v>
      </c>
      <c r="C607" s="50" t="s">
        <v>1624</v>
      </c>
      <c r="D607" s="50" t="s">
        <v>1624</v>
      </c>
      <c r="E607" s="50" t="s">
        <v>2109</v>
      </c>
      <c r="F607" s="50" t="s">
        <v>2109</v>
      </c>
      <c r="G607" s="50" t="s">
        <v>2110</v>
      </c>
      <c r="H607" s="50" t="s">
        <v>2111</v>
      </c>
    </row>
    <row r="608" spans="1:8" x14ac:dyDescent="0.2">
      <c r="A608" s="50" t="s">
        <v>2785</v>
      </c>
      <c r="B608" s="50" t="s">
        <v>162</v>
      </c>
      <c r="C608" s="50" t="s">
        <v>1624</v>
      </c>
      <c r="D608" s="50" t="s">
        <v>1624</v>
      </c>
      <c r="E608" s="50" t="s">
        <v>2109</v>
      </c>
      <c r="F608" s="50" t="s">
        <v>2109</v>
      </c>
      <c r="G608" s="50" t="s">
        <v>2110</v>
      </c>
      <c r="H608" s="50" t="s">
        <v>2111</v>
      </c>
    </row>
    <row r="609" spans="1:8" x14ac:dyDescent="0.2">
      <c r="A609" s="50" t="s">
        <v>2786</v>
      </c>
      <c r="B609" s="50" t="s">
        <v>163</v>
      </c>
      <c r="C609" s="50" t="s">
        <v>1624</v>
      </c>
      <c r="D609" s="50" t="s">
        <v>1624</v>
      </c>
      <c r="E609" s="50" t="s">
        <v>2109</v>
      </c>
      <c r="F609" s="50" t="s">
        <v>2109</v>
      </c>
      <c r="G609" s="50" t="s">
        <v>2110</v>
      </c>
      <c r="H609" s="50" t="s">
        <v>2111</v>
      </c>
    </row>
    <row r="610" spans="1:8" x14ac:dyDescent="0.2">
      <c r="A610" s="50" t="s">
        <v>2787</v>
      </c>
      <c r="B610" s="50" t="s">
        <v>207</v>
      </c>
      <c r="C610" s="50" t="s">
        <v>1624</v>
      </c>
      <c r="D610" s="50" t="s">
        <v>1624</v>
      </c>
      <c r="E610" s="50" t="s">
        <v>2109</v>
      </c>
      <c r="F610" s="50" t="s">
        <v>2109</v>
      </c>
      <c r="G610" s="50" t="s">
        <v>2110</v>
      </c>
      <c r="H610" s="50" t="s">
        <v>2111</v>
      </c>
    </row>
    <row r="611" spans="1:8" x14ac:dyDescent="0.2">
      <c r="A611" s="50" t="s">
        <v>2788</v>
      </c>
      <c r="B611" s="50" t="s">
        <v>944</v>
      </c>
      <c r="C611" s="50" t="s">
        <v>1624</v>
      </c>
      <c r="D611" s="50" t="s">
        <v>1624</v>
      </c>
      <c r="E611" s="50" t="s">
        <v>2109</v>
      </c>
      <c r="F611" s="50" t="s">
        <v>2109</v>
      </c>
      <c r="G611" s="50" t="s">
        <v>2110</v>
      </c>
      <c r="H611" s="50" t="s">
        <v>2111</v>
      </c>
    </row>
    <row r="612" spans="1:8" x14ac:dyDescent="0.2">
      <c r="A612" s="50" t="s">
        <v>2789</v>
      </c>
      <c r="B612" s="50" t="s">
        <v>205</v>
      </c>
      <c r="C612" s="50" t="s">
        <v>1624</v>
      </c>
      <c r="D612" s="50" t="s">
        <v>1624</v>
      </c>
      <c r="E612" s="50" t="s">
        <v>2109</v>
      </c>
      <c r="F612" s="50" t="s">
        <v>2109</v>
      </c>
      <c r="G612" s="50" t="s">
        <v>2110</v>
      </c>
      <c r="H612" s="50" t="s">
        <v>2111</v>
      </c>
    </row>
    <row r="613" spans="1:8" x14ac:dyDescent="0.2">
      <c r="A613" s="50" t="s">
        <v>2790</v>
      </c>
      <c r="B613" s="50" t="s">
        <v>203</v>
      </c>
      <c r="C613" s="50" t="s">
        <v>1624</v>
      </c>
      <c r="D613" s="50" t="s">
        <v>1624</v>
      </c>
      <c r="E613" s="50" t="s">
        <v>2109</v>
      </c>
      <c r="F613" s="50" t="s">
        <v>2109</v>
      </c>
      <c r="G613" s="50" t="s">
        <v>2110</v>
      </c>
      <c r="H613" s="50" t="s">
        <v>2111</v>
      </c>
    </row>
    <row r="614" spans="1:8" x14ac:dyDescent="0.2">
      <c r="A614" s="50" t="s">
        <v>2791</v>
      </c>
      <c r="B614" s="50" t="s">
        <v>209</v>
      </c>
      <c r="C614" s="50" t="s">
        <v>1624</v>
      </c>
      <c r="D614" s="50" t="s">
        <v>1624</v>
      </c>
      <c r="E614" s="50" t="s">
        <v>2109</v>
      </c>
      <c r="F614" s="50" t="s">
        <v>2109</v>
      </c>
      <c r="G614" s="50" t="s">
        <v>2110</v>
      </c>
      <c r="H614" s="50" t="s">
        <v>2111</v>
      </c>
    </row>
    <row r="615" spans="1:8" x14ac:dyDescent="0.2">
      <c r="A615" s="50" t="s">
        <v>2792</v>
      </c>
      <c r="B615" s="50" t="s">
        <v>208</v>
      </c>
      <c r="C615" s="50" t="s">
        <v>1624</v>
      </c>
      <c r="D615" s="50" t="s">
        <v>1624</v>
      </c>
      <c r="E615" s="50" t="s">
        <v>2109</v>
      </c>
      <c r="F615" s="50" t="s">
        <v>2109</v>
      </c>
      <c r="G615" s="50" t="s">
        <v>2110</v>
      </c>
      <c r="H615" s="50" t="s">
        <v>2111</v>
      </c>
    </row>
    <row r="616" spans="1:8" x14ac:dyDescent="0.2">
      <c r="A616" s="50" t="s">
        <v>2793</v>
      </c>
      <c r="B616" s="50" t="s">
        <v>206</v>
      </c>
      <c r="C616" s="50" t="s">
        <v>1624</v>
      </c>
      <c r="D616" s="50" t="s">
        <v>1624</v>
      </c>
      <c r="E616" s="50" t="s">
        <v>2109</v>
      </c>
      <c r="F616" s="50" t="s">
        <v>2109</v>
      </c>
      <c r="G616" s="50" t="s">
        <v>2110</v>
      </c>
      <c r="H616" s="50" t="s">
        <v>2111</v>
      </c>
    </row>
    <row r="617" spans="1:8" x14ac:dyDescent="0.2">
      <c r="A617" s="50" t="s">
        <v>2794</v>
      </c>
      <c r="B617" s="50" t="s">
        <v>210</v>
      </c>
      <c r="C617" s="50" t="s">
        <v>1624</v>
      </c>
      <c r="D617" s="50" t="s">
        <v>1624</v>
      </c>
      <c r="E617" s="50" t="s">
        <v>2109</v>
      </c>
      <c r="F617" s="50" t="s">
        <v>2109</v>
      </c>
      <c r="G617" s="50" t="s">
        <v>2110</v>
      </c>
      <c r="H617" s="50" t="s">
        <v>2111</v>
      </c>
    </row>
    <row r="618" spans="1:8" x14ac:dyDescent="0.2">
      <c r="A618" s="50" t="s">
        <v>2795</v>
      </c>
      <c r="B618" s="50" t="s">
        <v>952</v>
      </c>
      <c r="C618" s="50" t="s">
        <v>1624</v>
      </c>
      <c r="D618" s="50" t="s">
        <v>1624</v>
      </c>
      <c r="E618" s="50" t="s">
        <v>2112</v>
      </c>
      <c r="F618" s="50" t="s">
        <v>2112</v>
      </c>
      <c r="G618" s="50" t="s">
        <v>2113</v>
      </c>
      <c r="H618" s="50" t="s">
        <v>2111</v>
      </c>
    </row>
    <row r="619" spans="1:8" x14ac:dyDescent="0.2">
      <c r="A619" s="50" t="s">
        <v>2796</v>
      </c>
      <c r="B619" s="50" t="s">
        <v>161</v>
      </c>
      <c r="C619" s="50" t="s">
        <v>1624</v>
      </c>
      <c r="D619" s="50" t="s">
        <v>1624</v>
      </c>
      <c r="E619" s="50" t="s">
        <v>2112</v>
      </c>
      <c r="F619" s="50" t="s">
        <v>2112</v>
      </c>
      <c r="G619" s="50" t="s">
        <v>2113</v>
      </c>
      <c r="H619" s="50" t="s">
        <v>2111</v>
      </c>
    </row>
    <row r="620" spans="1:8" x14ac:dyDescent="0.2">
      <c r="A620" s="50" t="s">
        <v>2797</v>
      </c>
      <c r="B620" s="50" t="s">
        <v>955</v>
      </c>
      <c r="C620" s="50" t="s">
        <v>1624</v>
      </c>
      <c r="D620" s="50" t="s">
        <v>1624</v>
      </c>
      <c r="E620" s="50" t="s">
        <v>2112</v>
      </c>
      <c r="F620" s="50" t="s">
        <v>2112</v>
      </c>
      <c r="G620" s="50" t="s">
        <v>2113</v>
      </c>
      <c r="H620" s="50" t="s">
        <v>2111</v>
      </c>
    </row>
    <row r="621" spans="1:8" x14ac:dyDescent="0.2">
      <c r="A621" s="50" t="s">
        <v>2798</v>
      </c>
      <c r="B621" s="50" t="s">
        <v>957</v>
      </c>
      <c r="C621" s="50" t="s">
        <v>1624</v>
      </c>
      <c r="D621" s="50" t="s">
        <v>1624</v>
      </c>
      <c r="E621" s="50" t="s">
        <v>2112</v>
      </c>
      <c r="F621" s="50" t="s">
        <v>2112</v>
      </c>
      <c r="G621" s="50" t="s">
        <v>2113</v>
      </c>
      <c r="H621" s="50" t="s">
        <v>2111</v>
      </c>
    </row>
    <row r="622" spans="1:8" x14ac:dyDescent="0.2">
      <c r="A622" s="50" t="s">
        <v>2799</v>
      </c>
      <c r="B622" s="50" t="s">
        <v>959</v>
      </c>
      <c r="C622" s="50" t="s">
        <v>1624</v>
      </c>
      <c r="D622" s="50" t="s">
        <v>1624</v>
      </c>
      <c r="E622" s="50" t="s">
        <v>2112</v>
      </c>
      <c r="F622" s="50" t="s">
        <v>2112</v>
      </c>
      <c r="G622" s="50" t="s">
        <v>2113</v>
      </c>
      <c r="H622" s="50" t="s">
        <v>2111</v>
      </c>
    </row>
    <row r="623" spans="1:8" x14ac:dyDescent="0.2">
      <c r="A623" s="50" t="s">
        <v>2800</v>
      </c>
      <c r="B623" s="50" t="s">
        <v>961</v>
      </c>
      <c r="C623" s="50" t="s">
        <v>1624</v>
      </c>
      <c r="D623" s="50" t="s">
        <v>1624</v>
      </c>
      <c r="E623" s="50" t="s">
        <v>2112</v>
      </c>
      <c r="F623" s="50" t="s">
        <v>2112</v>
      </c>
      <c r="G623" s="50" t="s">
        <v>2113</v>
      </c>
      <c r="H623" s="50" t="s">
        <v>2111</v>
      </c>
    </row>
    <row r="624" spans="1:8" x14ac:dyDescent="0.2">
      <c r="A624" s="50" t="s">
        <v>2801</v>
      </c>
      <c r="B624" s="50" t="s">
        <v>963</v>
      </c>
      <c r="C624" s="50" t="s">
        <v>1624</v>
      </c>
      <c r="D624" s="50" t="s">
        <v>1624</v>
      </c>
      <c r="E624" s="50" t="s">
        <v>2112</v>
      </c>
      <c r="F624" s="50" t="s">
        <v>2112</v>
      </c>
      <c r="G624" s="50" t="s">
        <v>2113</v>
      </c>
      <c r="H624" s="50" t="s">
        <v>2111</v>
      </c>
    </row>
    <row r="625" spans="1:8" x14ac:dyDescent="0.2">
      <c r="A625" s="50" t="s">
        <v>2802</v>
      </c>
      <c r="B625" s="50" t="s">
        <v>965</v>
      </c>
      <c r="C625" s="50" t="s">
        <v>1624</v>
      </c>
      <c r="D625" s="50" t="s">
        <v>1624</v>
      </c>
      <c r="E625" s="50" t="s">
        <v>2112</v>
      </c>
      <c r="F625" s="50" t="s">
        <v>2112</v>
      </c>
      <c r="G625" s="50" t="s">
        <v>2113</v>
      </c>
      <c r="H625" s="50" t="s">
        <v>2111</v>
      </c>
    </row>
    <row r="626" spans="1:8" x14ac:dyDescent="0.2">
      <c r="A626" s="50" t="s">
        <v>2803</v>
      </c>
      <c r="B626" s="50" t="s">
        <v>967</v>
      </c>
      <c r="C626" s="50" t="s">
        <v>1624</v>
      </c>
      <c r="D626" s="50" t="s">
        <v>1624</v>
      </c>
      <c r="E626" s="50" t="s">
        <v>2112</v>
      </c>
      <c r="F626" s="50" t="s">
        <v>2112</v>
      </c>
      <c r="G626" s="50" t="s">
        <v>2113</v>
      </c>
      <c r="H626" s="50" t="s">
        <v>2111</v>
      </c>
    </row>
    <row r="627" spans="1:8" x14ac:dyDescent="0.2">
      <c r="A627" s="50" t="s">
        <v>2804</v>
      </c>
      <c r="B627" s="50" t="s">
        <v>969</v>
      </c>
      <c r="C627" s="50" t="s">
        <v>1624</v>
      </c>
      <c r="D627" s="50" t="s">
        <v>1624</v>
      </c>
      <c r="E627" s="50" t="s">
        <v>2112</v>
      </c>
      <c r="F627" s="50" t="s">
        <v>2112</v>
      </c>
      <c r="G627" s="50" t="s">
        <v>2113</v>
      </c>
      <c r="H627" s="50" t="s">
        <v>2111</v>
      </c>
    </row>
    <row r="628" spans="1:8" x14ac:dyDescent="0.2">
      <c r="A628" s="50" t="s">
        <v>2805</v>
      </c>
      <c r="B628" s="50" t="s">
        <v>971</v>
      </c>
      <c r="C628" s="50" t="s">
        <v>1624</v>
      </c>
      <c r="D628" s="50" t="s">
        <v>1624</v>
      </c>
      <c r="E628" s="50" t="s">
        <v>2112</v>
      </c>
      <c r="F628" s="50" t="s">
        <v>2112</v>
      </c>
      <c r="G628" s="50" t="s">
        <v>2113</v>
      </c>
      <c r="H628" s="50" t="s">
        <v>2111</v>
      </c>
    </row>
    <row r="629" spans="1:8" x14ac:dyDescent="0.2">
      <c r="A629" s="50" t="s">
        <v>2806</v>
      </c>
      <c r="B629" s="50" t="s">
        <v>973</v>
      </c>
      <c r="C629" s="50" t="s">
        <v>1624</v>
      </c>
      <c r="D629" s="50" t="s">
        <v>1624</v>
      </c>
      <c r="E629" s="50" t="s">
        <v>2112</v>
      </c>
      <c r="F629" s="50" t="s">
        <v>2112</v>
      </c>
      <c r="G629" s="50" t="s">
        <v>2113</v>
      </c>
      <c r="H629" s="50" t="s">
        <v>2111</v>
      </c>
    </row>
    <row r="630" spans="1:8" x14ac:dyDescent="0.2">
      <c r="A630" s="50" t="s">
        <v>2807</v>
      </c>
      <c r="B630" s="50" t="s">
        <v>975</v>
      </c>
      <c r="C630" s="50" t="s">
        <v>1624</v>
      </c>
      <c r="D630" s="50" t="s">
        <v>1624</v>
      </c>
      <c r="E630" s="50" t="s">
        <v>2112</v>
      </c>
      <c r="F630" s="50" t="s">
        <v>2112</v>
      </c>
      <c r="G630" s="50" t="s">
        <v>2113</v>
      </c>
      <c r="H630" s="50" t="s">
        <v>2111</v>
      </c>
    </row>
    <row r="631" spans="1:8" x14ac:dyDescent="0.2">
      <c r="A631" s="50" t="s">
        <v>2808</v>
      </c>
      <c r="B631" s="50" t="s">
        <v>181</v>
      </c>
      <c r="C631" s="50" t="s">
        <v>1624</v>
      </c>
      <c r="D631" s="50" t="s">
        <v>1624</v>
      </c>
      <c r="E631" s="50" t="s">
        <v>2112</v>
      </c>
      <c r="F631" s="50" t="s">
        <v>2112</v>
      </c>
      <c r="G631" s="50" t="s">
        <v>2113</v>
      </c>
      <c r="H631" s="50" t="s">
        <v>2111</v>
      </c>
    </row>
    <row r="632" spans="1:8" x14ac:dyDescent="0.2">
      <c r="A632" s="50" t="s">
        <v>2809</v>
      </c>
      <c r="B632" s="50" t="s">
        <v>182</v>
      </c>
      <c r="C632" s="50" t="s">
        <v>1624</v>
      </c>
      <c r="D632" s="50" t="s">
        <v>1624</v>
      </c>
      <c r="E632" s="50" t="s">
        <v>2112</v>
      </c>
      <c r="F632" s="50" t="s">
        <v>2112</v>
      </c>
      <c r="G632" s="50" t="s">
        <v>2113</v>
      </c>
      <c r="H632" s="50" t="s">
        <v>2111</v>
      </c>
    </row>
    <row r="633" spans="1:8" x14ac:dyDescent="0.2">
      <c r="A633" s="50" t="s">
        <v>2810</v>
      </c>
      <c r="B633" s="50" t="s">
        <v>979</v>
      </c>
      <c r="C633" s="50" t="s">
        <v>1624</v>
      </c>
      <c r="D633" s="50" t="s">
        <v>1624</v>
      </c>
      <c r="E633" s="50" t="s">
        <v>2112</v>
      </c>
      <c r="F633" s="50" t="s">
        <v>2112</v>
      </c>
      <c r="G633" s="50" t="s">
        <v>2113</v>
      </c>
      <c r="H633" s="50" t="s">
        <v>2111</v>
      </c>
    </row>
    <row r="634" spans="1:8" x14ac:dyDescent="0.2">
      <c r="A634" s="50" t="s">
        <v>2811</v>
      </c>
      <c r="B634" s="50" t="s">
        <v>981</v>
      </c>
      <c r="C634" s="50" t="s">
        <v>1624</v>
      </c>
      <c r="D634" s="50" t="s">
        <v>1624</v>
      </c>
      <c r="E634" s="50" t="s">
        <v>2112</v>
      </c>
      <c r="F634" s="50" t="s">
        <v>2112</v>
      </c>
      <c r="G634" s="50" t="s">
        <v>2113</v>
      </c>
      <c r="H634" s="50" t="s">
        <v>2111</v>
      </c>
    </row>
    <row r="635" spans="1:8" x14ac:dyDescent="0.2">
      <c r="A635" s="50" t="s">
        <v>2812</v>
      </c>
      <c r="B635" s="50" t="s">
        <v>983</v>
      </c>
      <c r="C635" s="50" t="s">
        <v>1624</v>
      </c>
      <c r="D635" s="50" t="s">
        <v>1624</v>
      </c>
      <c r="E635" s="50" t="s">
        <v>2112</v>
      </c>
      <c r="F635" s="50" t="s">
        <v>2112</v>
      </c>
      <c r="G635" s="50" t="s">
        <v>2113</v>
      </c>
      <c r="H635" s="50" t="s">
        <v>2111</v>
      </c>
    </row>
    <row r="636" spans="1:8" x14ac:dyDescent="0.2">
      <c r="A636" s="50" t="s">
        <v>2813</v>
      </c>
      <c r="B636" s="50" t="s">
        <v>985</v>
      </c>
      <c r="C636" s="50" t="s">
        <v>1624</v>
      </c>
      <c r="D636" s="50" t="s">
        <v>1624</v>
      </c>
      <c r="E636" s="50" t="s">
        <v>2112</v>
      </c>
      <c r="F636" s="50" t="s">
        <v>2112</v>
      </c>
      <c r="G636" s="50" t="s">
        <v>2113</v>
      </c>
      <c r="H636" s="50" t="s">
        <v>2111</v>
      </c>
    </row>
    <row r="637" spans="1:8" x14ac:dyDescent="0.2">
      <c r="A637" s="50" t="s">
        <v>2814</v>
      </c>
      <c r="B637" s="50" t="s">
        <v>987</v>
      </c>
      <c r="C637" s="50" t="s">
        <v>1624</v>
      </c>
      <c r="D637" s="50" t="s">
        <v>1624</v>
      </c>
      <c r="E637" s="50" t="s">
        <v>2112</v>
      </c>
      <c r="F637" s="50" t="s">
        <v>2112</v>
      </c>
      <c r="G637" s="50" t="s">
        <v>2113</v>
      </c>
      <c r="H637" s="50" t="s">
        <v>2111</v>
      </c>
    </row>
    <row r="638" spans="1:8" x14ac:dyDescent="0.2">
      <c r="A638" s="50" t="s">
        <v>2815</v>
      </c>
      <c r="B638" s="50" t="s">
        <v>1561</v>
      </c>
      <c r="C638" s="50" t="s">
        <v>1624</v>
      </c>
      <c r="D638" s="50" t="s">
        <v>1624</v>
      </c>
      <c r="E638" s="50" t="s">
        <v>2112</v>
      </c>
      <c r="F638" s="50" t="s">
        <v>2112</v>
      </c>
      <c r="G638" s="50" t="s">
        <v>2113</v>
      </c>
      <c r="H638" s="50" t="s">
        <v>2111</v>
      </c>
    </row>
    <row r="639" spans="1:8" x14ac:dyDescent="0.2">
      <c r="A639" s="50" t="s">
        <v>2816</v>
      </c>
      <c r="B639" s="50" t="s">
        <v>111</v>
      </c>
      <c r="C639" s="50" t="s">
        <v>1624</v>
      </c>
      <c r="D639" s="50" t="s">
        <v>1624</v>
      </c>
      <c r="E639" s="50" t="s">
        <v>2112</v>
      </c>
      <c r="F639" s="50" t="s">
        <v>2112</v>
      </c>
      <c r="G639" s="50" t="s">
        <v>2113</v>
      </c>
      <c r="H639" s="50" t="s">
        <v>2111</v>
      </c>
    </row>
    <row r="640" spans="1:8" x14ac:dyDescent="0.2">
      <c r="A640" s="50" t="s">
        <v>2817</v>
      </c>
      <c r="B640" s="50" t="s">
        <v>75</v>
      </c>
      <c r="C640" s="50" t="s">
        <v>1624</v>
      </c>
      <c r="D640" s="50" t="s">
        <v>1624</v>
      </c>
      <c r="E640" s="50" t="s">
        <v>2114</v>
      </c>
      <c r="F640" s="50" t="s">
        <v>2114</v>
      </c>
      <c r="G640" s="50" t="s">
        <v>2115</v>
      </c>
      <c r="H640" s="50" t="s">
        <v>2111</v>
      </c>
    </row>
    <row r="641" spans="1:8" x14ac:dyDescent="0.2">
      <c r="A641" s="50" t="s">
        <v>2818</v>
      </c>
      <c r="B641" s="50" t="s">
        <v>202</v>
      </c>
      <c r="C641" s="50" t="s">
        <v>1624</v>
      </c>
      <c r="D641" s="50" t="s">
        <v>1624</v>
      </c>
      <c r="E641" s="50" t="s">
        <v>2114</v>
      </c>
      <c r="F641" s="50" t="s">
        <v>2114</v>
      </c>
      <c r="G641" s="50" t="s">
        <v>2115</v>
      </c>
      <c r="H641" s="50" t="s">
        <v>2111</v>
      </c>
    </row>
    <row r="642" spans="1:8" x14ac:dyDescent="0.2">
      <c r="A642" s="50" t="s">
        <v>2819</v>
      </c>
      <c r="B642" s="50" t="s">
        <v>199</v>
      </c>
      <c r="C642" s="50" t="s">
        <v>1624</v>
      </c>
      <c r="D642" s="50" t="s">
        <v>1624</v>
      </c>
      <c r="E642" s="50" t="s">
        <v>2114</v>
      </c>
      <c r="F642" s="50" t="s">
        <v>2114</v>
      </c>
      <c r="G642" s="50" t="s">
        <v>2115</v>
      </c>
      <c r="H642" s="50" t="s">
        <v>2111</v>
      </c>
    </row>
    <row r="643" spans="1:8" x14ac:dyDescent="0.2">
      <c r="A643" s="50" t="s">
        <v>2820</v>
      </c>
      <c r="B643" s="50" t="s">
        <v>198</v>
      </c>
      <c r="C643" s="50" t="s">
        <v>1624</v>
      </c>
      <c r="D643" s="50" t="s">
        <v>1624</v>
      </c>
      <c r="E643" s="50" t="s">
        <v>2114</v>
      </c>
      <c r="F643" s="50" t="s">
        <v>2114</v>
      </c>
      <c r="G643" s="50" t="s">
        <v>2115</v>
      </c>
      <c r="H643" s="50" t="s">
        <v>2111</v>
      </c>
    </row>
    <row r="644" spans="1:8" x14ac:dyDescent="0.2">
      <c r="A644" s="50" t="s">
        <v>2821</v>
      </c>
      <c r="B644" s="50" t="s">
        <v>996</v>
      </c>
      <c r="C644" s="50" t="s">
        <v>1624</v>
      </c>
      <c r="D644" s="50" t="s">
        <v>1624</v>
      </c>
      <c r="E644" s="50" t="s">
        <v>2114</v>
      </c>
      <c r="F644" s="50" t="s">
        <v>2114</v>
      </c>
      <c r="G644" s="50" t="s">
        <v>2115</v>
      </c>
      <c r="H644" s="50" t="s">
        <v>2111</v>
      </c>
    </row>
    <row r="645" spans="1:8" x14ac:dyDescent="0.2">
      <c r="A645" s="50" t="s">
        <v>2822</v>
      </c>
      <c r="B645" s="50" t="s">
        <v>998</v>
      </c>
      <c r="C645" s="50" t="s">
        <v>1624</v>
      </c>
      <c r="D645" s="50" t="s">
        <v>1624</v>
      </c>
      <c r="E645" s="50" t="s">
        <v>2114</v>
      </c>
      <c r="F645" s="50" t="s">
        <v>2114</v>
      </c>
      <c r="G645" s="50" t="s">
        <v>2115</v>
      </c>
      <c r="H645" s="50" t="s">
        <v>2111</v>
      </c>
    </row>
    <row r="646" spans="1:8" x14ac:dyDescent="0.2">
      <c r="A646" s="50" t="s">
        <v>2823</v>
      </c>
      <c r="B646" s="50" t="s">
        <v>1000</v>
      </c>
      <c r="C646" s="50" t="s">
        <v>1624</v>
      </c>
      <c r="D646" s="50" t="s">
        <v>1624</v>
      </c>
      <c r="E646" s="50" t="s">
        <v>2114</v>
      </c>
      <c r="F646" s="50" t="s">
        <v>2114</v>
      </c>
      <c r="G646" s="50" t="s">
        <v>2115</v>
      </c>
      <c r="H646" s="50" t="s">
        <v>2111</v>
      </c>
    </row>
    <row r="647" spans="1:8" x14ac:dyDescent="0.2">
      <c r="A647" s="50" t="s">
        <v>2824</v>
      </c>
      <c r="B647" s="50" t="s">
        <v>1562</v>
      </c>
      <c r="C647" s="50" t="s">
        <v>1624</v>
      </c>
      <c r="D647" s="50" t="s">
        <v>1624</v>
      </c>
      <c r="E647" s="50" t="s">
        <v>2114</v>
      </c>
      <c r="F647" s="50" t="s">
        <v>2114</v>
      </c>
      <c r="G647" s="50" t="s">
        <v>2115</v>
      </c>
      <c r="H647" s="50" t="s">
        <v>2111</v>
      </c>
    </row>
    <row r="648" spans="1:8" x14ac:dyDescent="0.2">
      <c r="A648" s="50" t="s">
        <v>2825</v>
      </c>
      <c r="B648" s="50" t="s">
        <v>200</v>
      </c>
      <c r="C648" s="50" t="s">
        <v>1624</v>
      </c>
      <c r="D648" s="50" t="s">
        <v>1624</v>
      </c>
      <c r="E648" s="50" t="s">
        <v>2114</v>
      </c>
      <c r="F648" s="50" t="s">
        <v>2114</v>
      </c>
      <c r="G648" s="50" t="s">
        <v>2115</v>
      </c>
      <c r="H648" s="50" t="s">
        <v>2111</v>
      </c>
    </row>
    <row r="649" spans="1:8" x14ac:dyDescent="0.2">
      <c r="A649" s="50" t="s">
        <v>2826</v>
      </c>
      <c r="B649" s="50" t="s">
        <v>112</v>
      </c>
      <c r="C649" s="50" t="s">
        <v>1624</v>
      </c>
      <c r="D649" s="50" t="s">
        <v>1624</v>
      </c>
      <c r="E649" s="50" t="s">
        <v>2116</v>
      </c>
      <c r="F649" s="50" t="s">
        <v>2116</v>
      </c>
      <c r="G649" s="50" t="s">
        <v>2117</v>
      </c>
      <c r="H649" s="50" t="s">
        <v>2111</v>
      </c>
    </row>
    <row r="650" spans="1:8" x14ac:dyDescent="0.2">
      <c r="A650" s="50" t="s">
        <v>2827</v>
      </c>
      <c r="B650" s="50" t="s">
        <v>113</v>
      </c>
      <c r="C650" s="50" t="s">
        <v>1624</v>
      </c>
      <c r="D650" s="50" t="s">
        <v>1624</v>
      </c>
      <c r="E650" s="50" t="s">
        <v>2118</v>
      </c>
      <c r="F650" s="50" t="s">
        <v>2118</v>
      </c>
      <c r="G650" s="50" t="s">
        <v>2119</v>
      </c>
      <c r="H650" s="50" t="s">
        <v>2111</v>
      </c>
    </row>
    <row r="651" spans="1:8" x14ac:dyDescent="0.2">
      <c r="A651" s="50" t="s">
        <v>2828</v>
      </c>
      <c r="B651" s="50" t="s">
        <v>76</v>
      </c>
      <c r="C651" s="50" t="s">
        <v>1624</v>
      </c>
      <c r="D651" s="50" t="s">
        <v>1624</v>
      </c>
      <c r="E651" s="50" t="s">
        <v>2120</v>
      </c>
      <c r="F651" s="50" t="s">
        <v>2120</v>
      </c>
      <c r="G651" s="50" t="s">
        <v>2121</v>
      </c>
      <c r="H651" s="50" t="s">
        <v>2111</v>
      </c>
    </row>
    <row r="652" spans="1:8" x14ac:dyDescent="0.2">
      <c r="A652" s="50" t="s">
        <v>2829</v>
      </c>
      <c r="B652" s="50" t="s">
        <v>77</v>
      </c>
      <c r="C652" s="50" t="s">
        <v>1624</v>
      </c>
      <c r="D652" s="50" t="s">
        <v>1624</v>
      </c>
      <c r="E652" s="50" t="s">
        <v>2120</v>
      </c>
      <c r="F652" s="50" t="s">
        <v>2120</v>
      </c>
      <c r="G652" s="50" t="s">
        <v>2121</v>
      </c>
      <c r="H652" s="50" t="s">
        <v>2111</v>
      </c>
    </row>
    <row r="653" spans="1:8" x14ac:dyDescent="0.2">
      <c r="A653" s="50" t="s">
        <v>2830</v>
      </c>
      <c r="B653" s="50" t="s">
        <v>197</v>
      </c>
      <c r="C653" s="50" t="s">
        <v>1624</v>
      </c>
      <c r="D653" s="50" t="s">
        <v>1624</v>
      </c>
      <c r="E653" s="50" t="s">
        <v>2120</v>
      </c>
      <c r="F653" s="50" t="s">
        <v>2120</v>
      </c>
      <c r="G653" s="50" t="s">
        <v>2121</v>
      </c>
      <c r="H653" s="50" t="s">
        <v>2111</v>
      </c>
    </row>
    <row r="654" spans="1:8" x14ac:dyDescent="0.2">
      <c r="A654" s="50" t="s">
        <v>2831</v>
      </c>
      <c r="B654" s="50" t="s">
        <v>196</v>
      </c>
      <c r="C654" s="50" t="s">
        <v>1624</v>
      </c>
      <c r="D654" s="50" t="s">
        <v>1624</v>
      </c>
      <c r="E654" s="50" t="s">
        <v>2120</v>
      </c>
      <c r="F654" s="50" t="s">
        <v>2120</v>
      </c>
      <c r="G654" s="50" t="s">
        <v>2121</v>
      </c>
      <c r="H654" s="50" t="s">
        <v>2111</v>
      </c>
    </row>
    <row r="655" spans="1:8" x14ac:dyDescent="0.2">
      <c r="A655" s="50" t="s">
        <v>2832</v>
      </c>
      <c r="B655" s="50" t="s">
        <v>195</v>
      </c>
      <c r="C655" s="50" t="s">
        <v>1624</v>
      </c>
      <c r="D655" s="50" t="s">
        <v>1624</v>
      </c>
      <c r="E655" s="50" t="s">
        <v>2120</v>
      </c>
      <c r="F655" s="50" t="s">
        <v>2120</v>
      </c>
      <c r="G655" s="50" t="s">
        <v>2121</v>
      </c>
      <c r="H655" s="50" t="s">
        <v>2111</v>
      </c>
    </row>
    <row r="656" spans="1:8" x14ac:dyDescent="0.2">
      <c r="A656" s="50" t="s">
        <v>2833</v>
      </c>
      <c r="B656" s="50" t="s">
        <v>194</v>
      </c>
      <c r="C656" s="50" t="s">
        <v>1624</v>
      </c>
      <c r="D656" s="50" t="s">
        <v>1624</v>
      </c>
      <c r="E656" s="50" t="s">
        <v>2120</v>
      </c>
      <c r="F656" s="50" t="s">
        <v>2120</v>
      </c>
      <c r="G656" s="50" t="s">
        <v>2121</v>
      </c>
      <c r="H656" s="50" t="s">
        <v>2111</v>
      </c>
    </row>
    <row r="657" spans="1:8" x14ac:dyDescent="0.2">
      <c r="A657" s="50" t="s">
        <v>2834</v>
      </c>
      <c r="B657" s="50" t="s">
        <v>193</v>
      </c>
      <c r="C657" s="50" t="s">
        <v>1624</v>
      </c>
      <c r="D657" s="50" t="s">
        <v>1624</v>
      </c>
      <c r="E657" s="50" t="s">
        <v>2120</v>
      </c>
      <c r="F657" s="50" t="s">
        <v>2120</v>
      </c>
      <c r="G657" s="50" t="s">
        <v>2121</v>
      </c>
      <c r="H657" s="50" t="s">
        <v>2111</v>
      </c>
    </row>
    <row r="658" spans="1:8" x14ac:dyDescent="0.2">
      <c r="A658" s="50" t="s">
        <v>2835</v>
      </c>
      <c r="B658" s="50" t="s">
        <v>192</v>
      </c>
      <c r="C658" s="50" t="s">
        <v>1624</v>
      </c>
      <c r="D658" s="50" t="s">
        <v>1624</v>
      </c>
      <c r="E658" s="50" t="s">
        <v>2120</v>
      </c>
      <c r="F658" s="50" t="s">
        <v>2120</v>
      </c>
      <c r="G658" s="50" t="s">
        <v>2121</v>
      </c>
      <c r="H658" s="50" t="s">
        <v>2111</v>
      </c>
    </row>
    <row r="659" spans="1:8" x14ac:dyDescent="0.2">
      <c r="A659" s="50" t="s">
        <v>2836</v>
      </c>
      <c r="B659" s="50" t="s">
        <v>191</v>
      </c>
      <c r="C659" s="50" t="s">
        <v>1624</v>
      </c>
      <c r="D659" s="50" t="s">
        <v>1624</v>
      </c>
      <c r="E659" s="50" t="s">
        <v>2120</v>
      </c>
      <c r="F659" s="50" t="s">
        <v>2120</v>
      </c>
      <c r="G659" s="50" t="s">
        <v>2121</v>
      </c>
      <c r="H659" s="50" t="s">
        <v>2111</v>
      </c>
    </row>
    <row r="660" spans="1:8" x14ac:dyDescent="0.2">
      <c r="A660" s="50" t="s">
        <v>2837</v>
      </c>
      <c r="B660" s="50" t="s">
        <v>190</v>
      </c>
      <c r="C660" s="50" t="s">
        <v>1624</v>
      </c>
      <c r="D660" s="50" t="s">
        <v>1624</v>
      </c>
      <c r="E660" s="50" t="s">
        <v>2120</v>
      </c>
      <c r="F660" s="50" t="s">
        <v>2120</v>
      </c>
      <c r="G660" s="50" t="s">
        <v>2121</v>
      </c>
      <c r="H660" s="50" t="s">
        <v>2111</v>
      </c>
    </row>
    <row r="661" spans="1:8" x14ac:dyDescent="0.2">
      <c r="A661" s="50" t="s">
        <v>2838</v>
      </c>
      <c r="B661" s="50" t="s">
        <v>189</v>
      </c>
      <c r="C661" s="50" t="s">
        <v>1624</v>
      </c>
      <c r="D661" s="50" t="s">
        <v>1624</v>
      </c>
      <c r="E661" s="50" t="s">
        <v>2120</v>
      </c>
      <c r="F661" s="50" t="s">
        <v>2120</v>
      </c>
      <c r="G661" s="50" t="s">
        <v>2121</v>
      </c>
      <c r="H661" s="50" t="s">
        <v>2111</v>
      </c>
    </row>
    <row r="662" spans="1:8" x14ac:dyDescent="0.2">
      <c r="A662" s="50" t="s">
        <v>2839</v>
      </c>
      <c r="B662" s="50" t="s">
        <v>188</v>
      </c>
      <c r="C662" s="50" t="s">
        <v>1624</v>
      </c>
      <c r="D662" s="50" t="s">
        <v>1624</v>
      </c>
      <c r="E662" s="50" t="s">
        <v>2120</v>
      </c>
      <c r="F662" s="50" t="s">
        <v>2120</v>
      </c>
      <c r="G662" s="50" t="s">
        <v>2121</v>
      </c>
      <c r="H662" s="50" t="s">
        <v>2111</v>
      </c>
    </row>
    <row r="663" spans="1:8" x14ac:dyDescent="0.2">
      <c r="A663" s="50" t="s">
        <v>2840</v>
      </c>
      <c r="B663" s="50" t="s">
        <v>187</v>
      </c>
      <c r="C663" s="50" t="s">
        <v>1624</v>
      </c>
      <c r="D663" s="50" t="s">
        <v>1624</v>
      </c>
      <c r="E663" s="50" t="s">
        <v>2120</v>
      </c>
      <c r="F663" s="50" t="s">
        <v>2120</v>
      </c>
      <c r="G663" s="50" t="s">
        <v>2121</v>
      </c>
      <c r="H663" s="50" t="s">
        <v>2111</v>
      </c>
    </row>
    <row r="664" spans="1:8" x14ac:dyDescent="0.2">
      <c r="A664" s="50" t="s">
        <v>2841</v>
      </c>
      <c r="B664" s="50" t="s">
        <v>186</v>
      </c>
      <c r="C664" s="50" t="s">
        <v>1624</v>
      </c>
      <c r="D664" s="50" t="s">
        <v>1624</v>
      </c>
      <c r="E664" s="50" t="s">
        <v>2120</v>
      </c>
      <c r="F664" s="50" t="s">
        <v>2120</v>
      </c>
      <c r="G664" s="50" t="s">
        <v>2121</v>
      </c>
      <c r="H664" s="50" t="s">
        <v>2111</v>
      </c>
    </row>
    <row r="665" spans="1:8" x14ac:dyDescent="0.2">
      <c r="A665" s="50" t="s">
        <v>2842</v>
      </c>
      <c r="B665" s="50" t="s">
        <v>180</v>
      </c>
      <c r="C665" s="50" t="s">
        <v>1624</v>
      </c>
      <c r="D665" s="50" t="s">
        <v>1624</v>
      </c>
      <c r="E665" s="50" t="s">
        <v>2120</v>
      </c>
      <c r="F665" s="50" t="s">
        <v>2120</v>
      </c>
      <c r="G665" s="50" t="s">
        <v>2121</v>
      </c>
      <c r="H665" s="50" t="s">
        <v>2111</v>
      </c>
    </row>
    <row r="666" spans="1:8" x14ac:dyDescent="0.2">
      <c r="A666" s="50" t="s">
        <v>2843</v>
      </c>
      <c r="B666" s="50" t="s">
        <v>179</v>
      </c>
      <c r="C666" s="50" t="s">
        <v>1624</v>
      </c>
      <c r="D666" s="50" t="s">
        <v>1624</v>
      </c>
      <c r="E666" s="50" t="s">
        <v>2120</v>
      </c>
      <c r="F666" s="50" t="s">
        <v>2120</v>
      </c>
      <c r="G666" s="50" t="s">
        <v>2121</v>
      </c>
      <c r="H666" s="50" t="s">
        <v>2111</v>
      </c>
    </row>
    <row r="667" spans="1:8" x14ac:dyDescent="0.2">
      <c r="A667" s="50" t="s">
        <v>2844</v>
      </c>
      <c r="B667" s="50" t="s">
        <v>178</v>
      </c>
      <c r="C667" s="50" t="s">
        <v>1624</v>
      </c>
      <c r="D667" s="50" t="s">
        <v>1624</v>
      </c>
      <c r="E667" s="50" t="s">
        <v>2120</v>
      </c>
      <c r="F667" s="50" t="s">
        <v>2120</v>
      </c>
      <c r="G667" s="50" t="s">
        <v>2121</v>
      </c>
      <c r="H667" s="50" t="s">
        <v>2111</v>
      </c>
    </row>
    <row r="668" spans="1:8" x14ac:dyDescent="0.2">
      <c r="A668" s="50" t="s">
        <v>2845</v>
      </c>
      <c r="B668" s="50" t="s">
        <v>177</v>
      </c>
      <c r="C668" s="50" t="s">
        <v>1624</v>
      </c>
      <c r="D668" s="50" t="s">
        <v>1624</v>
      </c>
      <c r="E668" s="50" t="s">
        <v>2120</v>
      </c>
      <c r="F668" s="50" t="s">
        <v>2120</v>
      </c>
      <c r="G668" s="50" t="s">
        <v>2121</v>
      </c>
      <c r="H668" s="50" t="s">
        <v>2111</v>
      </c>
    </row>
    <row r="669" spans="1:8" x14ac:dyDescent="0.2">
      <c r="A669" s="50" t="s">
        <v>2846</v>
      </c>
      <c r="B669" s="50" t="s">
        <v>176</v>
      </c>
      <c r="C669" s="50" t="s">
        <v>1624</v>
      </c>
      <c r="D669" s="50" t="s">
        <v>1624</v>
      </c>
      <c r="E669" s="50" t="s">
        <v>2120</v>
      </c>
      <c r="F669" s="50" t="s">
        <v>2120</v>
      </c>
      <c r="G669" s="50" t="s">
        <v>2121</v>
      </c>
      <c r="H669" s="50" t="s">
        <v>2111</v>
      </c>
    </row>
    <row r="670" spans="1:8" x14ac:dyDescent="0.2">
      <c r="A670" s="50" t="s">
        <v>2847</v>
      </c>
      <c r="B670" s="50" t="s">
        <v>175</v>
      </c>
      <c r="C670" s="50" t="s">
        <v>1624</v>
      </c>
      <c r="D670" s="50" t="s">
        <v>1624</v>
      </c>
      <c r="E670" s="50" t="s">
        <v>2120</v>
      </c>
      <c r="F670" s="50" t="s">
        <v>2120</v>
      </c>
      <c r="G670" s="50" t="s">
        <v>2121</v>
      </c>
      <c r="H670" s="50" t="s">
        <v>2111</v>
      </c>
    </row>
    <row r="671" spans="1:8" x14ac:dyDescent="0.2">
      <c r="A671" s="50" t="s">
        <v>2848</v>
      </c>
      <c r="B671" s="50" t="s">
        <v>174</v>
      </c>
      <c r="C671" s="50" t="s">
        <v>1624</v>
      </c>
      <c r="D671" s="50" t="s">
        <v>1624</v>
      </c>
      <c r="E671" s="50" t="s">
        <v>2120</v>
      </c>
      <c r="F671" s="50" t="s">
        <v>2120</v>
      </c>
      <c r="G671" s="50" t="s">
        <v>2121</v>
      </c>
      <c r="H671" s="50" t="s">
        <v>2111</v>
      </c>
    </row>
    <row r="672" spans="1:8" x14ac:dyDescent="0.2">
      <c r="A672" s="50" t="s">
        <v>2849</v>
      </c>
      <c r="B672" s="50" t="s">
        <v>173</v>
      </c>
      <c r="C672" s="50" t="s">
        <v>1624</v>
      </c>
      <c r="D672" s="50" t="s">
        <v>1624</v>
      </c>
      <c r="E672" s="50" t="s">
        <v>2120</v>
      </c>
      <c r="F672" s="50" t="s">
        <v>2120</v>
      </c>
      <c r="G672" s="50" t="s">
        <v>2121</v>
      </c>
      <c r="H672" s="50" t="s">
        <v>2111</v>
      </c>
    </row>
    <row r="673" spans="1:8" x14ac:dyDescent="0.2">
      <c r="A673" s="50" t="s">
        <v>2850</v>
      </c>
      <c r="B673" s="50" t="s">
        <v>1028</v>
      </c>
      <c r="C673" s="50" t="s">
        <v>1624</v>
      </c>
      <c r="D673" s="50" t="s">
        <v>1624</v>
      </c>
      <c r="E673" s="50" t="s">
        <v>2120</v>
      </c>
      <c r="F673" s="50" t="s">
        <v>2120</v>
      </c>
      <c r="G673" s="50" t="s">
        <v>2121</v>
      </c>
      <c r="H673" s="50" t="s">
        <v>2111</v>
      </c>
    </row>
    <row r="674" spans="1:8" x14ac:dyDescent="0.2">
      <c r="A674" s="50" t="s">
        <v>2851</v>
      </c>
      <c r="B674" s="50" t="s">
        <v>1030</v>
      </c>
      <c r="C674" s="50" t="s">
        <v>1624</v>
      </c>
      <c r="D674" s="50" t="s">
        <v>1624</v>
      </c>
      <c r="E674" s="50" t="s">
        <v>2122</v>
      </c>
      <c r="F674" s="50" t="s">
        <v>2122</v>
      </c>
      <c r="G674" s="50" t="s">
        <v>2123</v>
      </c>
      <c r="H674" s="50" t="s">
        <v>2111</v>
      </c>
    </row>
    <row r="675" spans="1:8" x14ac:dyDescent="0.2">
      <c r="A675" s="50" t="s">
        <v>2852</v>
      </c>
      <c r="B675" s="50" t="s">
        <v>1032</v>
      </c>
      <c r="C675" s="50" t="s">
        <v>1624</v>
      </c>
      <c r="D675" s="50" t="s">
        <v>1624</v>
      </c>
      <c r="E675" s="50" t="s">
        <v>2122</v>
      </c>
      <c r="F675" s="50" t="s">
        <v>2122</v>
      </c>
      <c r="G675" s="50" t="s">
        <v>2123</v>
      </c>
      <c r="H675" s="50" t="s">
        <v>2111</v>
      </c>
    </row>
    <row r="676" spans="1:8" x14ac:dyDescent="0.2">
      <c r="A676" s="50" t="s">
        <v>2853</v>
      </c>
      <c r="B676" s="50" t="s">
        <v>1034</v>
      </c>
      <c r="C676" s="50" t="s">
        <v>1624</v>
      </c>
      <c r="D676" s="50" t="s">
        <v>1624</v>
      </c>
      <c r="E676" s="50" t="s">
        <v>2122</v>
      </c>
      <c r="F676" s="50" t="s">
        <v>2122</v>
      </c>
      <c r="G676" s="50" t="s">
        <v>2123</v>
      </c>
      <c r="H676" s="50" t="s">
        <v>2111</v>
      </c>
    </row>
    <row r="677" spans="1:8" x14ac:dyDescent="0.2">
      <c r="A677" s="50" t="s">
        <v>2854</v>
      </c>
      <c r="B677" s="50" t="s">
        <v>1036</v>
      </c>
      <c r="C677" s="50" t="s">
        <v>1624</v>
      </c>
      <c r="D677" s="50" t="s">
        <v>1624</v>
      </c>
      <c r="E677" s="50" t="s">
        <v>2122</v>
      </c>
      <c r="F677" s="50" t="s">
        <v>2122</v>
      </c>
      <c r="G677" s="50" t="s">
        <v>2123</v>
      </c>
      <c r="H677" s="50" t="s">
        <v>2111</v>
      </c>
    </row>
    <row r="678" spans="1:8" x14ac:dyDescent="0.2">
      <c r="A678" s="50" t="s">
        <v>2855</v>
      </c>
      <c r="B678" s="50" t="s">
        <v>1038</v>
      </c>
      <c r="C678" s="50" t="s">
        <v>1624</v>
      </c>
      <c r="D678" s="50" t="s">
        <v>1624</v>
      </c>
      <c r="E678" s="50" t="s">
        <v>2122</v>
      </c>
      <c r="F678" s="50" t="s">
        <v>2122</v>
      </c>
      <c r="G678" s="50" t="s">
        <v>2123</v>
      </c>
      <c r="H678" s="50" t="s">
        <v>2111</v>
      </c>
    </row>
    <row r="679" spans="1:8" x14ac:dyDescent="0.2">
      <c r="A679" s="50" t="s">
        <v>2856</v>
      </c>
      <c r="B679" s="50" t="s">
        <v>1040</v>
      </c>
      <c r="C679" s="50" t="s">
        <v>1624</v>
      </c>
      <c r="D679" s="50" t="s">
        <v>1624</v>
      </c>
      <c r="E679" s="50" t="s">
        <v>2122</v>
      </c>
      <c r="F679" s="50" t="s">
        <v>2122</v>
      </c>
      <c r="G679" s="50" t="s">
        <v>2123</v>
      </c>
      <c r="H679" s="50" t="s">
        <v>2111</v>
      </c>
    </row>
    <row r="680" spans="1:8" x14ac:dyDescent="0.2">
      <c r="A680" s="50" t="s">
        <v>2857</v>
      </c>
      <c r="B680" s="50" t="s">
        <v>1042</v>
      </c>
      <c r="C680" s="50" t="s">
        <v>1624</v>
      </c>
      <c r="D680" s="50" t="s">
        <v>1624</v>
      </c>
      <c r="E680" s="50" t="s">
        <v>2122</v>
      </c>
      <c r="F680" s="50" t="s">
        <v>2122</v>
      </c>
      <c r="G680" s="50" t="s">
        <v>2123</v>
      </c>
      <c r="H680" s="50" t="s">
        <v>2111</v>
      </c>
    </row>
    <row r="681" spans="1:8" x14ac:dyDescent="0.2">
      <c r="A681" s="50" t="s">
        <v>2858</v>
      </c>
      <c r="B681" s="50" t="s">
        <v>2124</v>
      </c>
      <c r="C681" s="50" t="s">
        <v>1624</v>
      </c>
      <c r="D681" s="50" t="s">
        <v>1624</v>
      </c>
      <c r="E681" s="50" t="s">
        <v>2122</v>
      </c>
      <c r="F681" s="50" t="s">
        <v>2122</v>
      </c>
      <c r="G681" s="50" t="s">
        <v>2123</v>
      </c>
      <c r="H681" s="50" t="s">
        <v>2111</v>
      </c>
    </row>
    <row r="682" spans="1:8" x14ac:dyDescent="0.2">
      <c r="A682" s="50" t="s">
        <v>2859</v>
      </c>
      <c r="B682" s="50" t="s">
        <v>2125</v>
      </c>
      <c r="C682" s="50" t="s">
        <v>1624</v>
      </c>
      <c r="D682" s="50" t="s">
        <v>1624</v>
      </c>
      <c r="E682" s="50" t="s">
        <v>2122</v>
      </c>
      <c r="F682" s="50" t="s">
        <v>2122</v>
      </c>
      <c r="G682" s="50" t="s">
        <v>2123</v>
      </c>
      <c r="H682" s="50" t="s">
        <v>2111</v>
      </c>
    </row>
    <row r="683" spans="1:8" x14ac:dyDescent="0.2">
      <c r="A683" s="50" t="s">
        <v>2860</v>
      </c>
      <c r="B683" s="50" t="s">
        <v>185</v>
      </c>
      <c r="C683" s="50" t="s">
        <v>1624</v>
      </c>
      <c r="D683" s="50" t="s">
        <v>1624</v>
      </c>
      <c r="E683" s="50" t="s">
        <v>2122</v>
      </c>
      <c r="F683" s="50" t="s">
        <v>2122</v>
      </c>
      <c r="G683" s="50" t="s">
        <v>2123</v>
      </c>
      <c r="H683" s="50" t="s">
        <v>2111</v>
      </c>
    </row>
    <row r="684" spans="1:8" x14ac:dyDescent="0.2">
      <c r="A684" s="50" t="s">
        <v>2861</v>
      </c>
      <c r="B684" s="50" t="s">
        <v>184</v>
      </c>
      <c r="C684" s="50" t="s">
        <v>1624</v>
      </c>
      <c r="D684" s="50" t="s">
        <v>1624</v>
      </c>
      <c r="E684" s="50" t="s">
        <v>2122</v>
      </c>
      <c r="F684" s="50" t="s">
        <v>2122</v>
      </c>
      <c r="G684" s="50" t="s">
        <v>2123</v>
      </c>
      <c r="H684" s="50" t="s">
        <v>2111</v>
      </c>
    </row>
    <row r="685" spans="1:8" x14ac:dyDescent="0.2">
      <c r="A685" s="50" t="s">
        <v>2862</v>
      </c>
      <c r="B685" s="50" t="s">
        <v>183</v>
      </c>
      <c r="C685" s="50" t="s">
        <v>1624</v>
      </c>
      <c r="D685" s="50" t="s">
        <v>1624</v>
      </c>
      <c r="E685" s="50" t="s">
        <v>2122</v>
      </c>
      <c r="F685" s="50" t="s">
        <v>2122</v>
      </c>
      <c r="G685" s="50" t="s">
        <v>2123</v>
      </c>
      <c r="H685" s="50" t="s">
        <v>2111</v>
      </c>
    </row>
    <row r="686" spans="1:8" x14ac:dyDescent="0.2">
      <c r="A686" s="50" t="s">
        <v>2863</v>
      </c>
      <c r="B686" s="50" t="s">
        <v>238</v>
      </c>
      <c r="C686" s="50" t="s">
        <v>1624</v>
      </c>
      <c r="D686" s="50" t="s">
        <v>1624</v>
      </c>
      <c r="E686" s="50" t="s">
        <v>2126</v>
      </c>
      <c r="F686" s="50" t="s">
        <v>2126</v>
      </c>
      <c r="G686" s="50" t="s">
        <v>2127</v>
      </c>
      <c r="H686" s="50" t="s">
        <v>2111</v>
      </c>
    </row>
    <row r="687" spans="1:8" x14ac:dyDescent="0.2">
      <c r="A687" s="50" t="s">
        <v>2864</v>
      </c>
      <c r="B687" s="50" t="s">
        <v>239</v>
      </c>
      <c r="C687" s="50" t="s">
        <v>1624</v>
      </c>
      <c r="D687" s="50" t="s">
        <v>1624</v>
      </c>
      <c r="E687" s="50" t="s">
        <v>2126</v>
      </c>
      <c r="F687" s="50" t="s">
        <v>2126</v>
      </c>
      <c r="G687" s="50" t="s">
        <v>2127</v>
      </c>
      <c r="H687" s="50" t="s">
        <v>2111</v>
      </c>
    </row>
    <row r="688" spans="1:8" x14ac:dyDescent="0.2">
      <c r="A688" s="50" t="s">
        <v>2865</v>
      </c>
      <c r="B688" s="50" t="s">
        <v>240</v>
      </c>
      <c r="C688" s="50" t="s">
        <v>1624</v>
      </c>
      <c r="D688" s="50" t="s">
        <v>1624</v>
      </c>
      <c r="E688" s="50" t="s">
        <v>2126</v>
      </c>
      <c r="F688" s="50" t="s">
        <v>2126</v>
      </c>
      <c r="G688" s="50" t="s">
        <v>2127</v>
      </c>
      <c r="H688" s="50" t="s">
        <v>2111</v>
      </c>
    </row>
    <row r="689" spans="1:8" x14ac:dyDescent="0.2">
      <c r="A689" s="50" t="s">
        <v>2866</v>
      </c>
      <c r="B689" s="50" t="s">
        <v>241</v>
      </c>
      <c r="C689" s="50" t="s">
        <v>1624</v>
      </c>
      <c r="D689" s="50" t="s">
        <v>1624</v>
      </c>
      <c r="E689" s="50" t="s">
        <v>2126</v>
      </c>
      <c r="F689" s="50" t="s">
        <v>2126</v>
      </c>
      <c r="G689" s="50" t="s">
        <v>2127</v>
      </c>
      <c r="H689" s="50" t="s">
        <v>2111</v>
      </c>
    </row>
    <row r="690" spans="1:8" x14ac:dyDescent="0.2">
      <c r="A690" s="50" t="s">
        <v>2867</v>
      </c>
      <c r="B690" s="50" t="s">
        <v>172</v>
      </c>
      <c r="C690" s="50" t="s">
        <v>1624</v>
      </c>
      <c r="D690" s="50" t="s">
        <v>1624</v>
      </c>
      <c r="E690" s="50" t="s">
        <v>2128</v>
      </c>
      <c r="F690" s="50" t="s">
        <v>2128</v>
      </c>
      <c r="G690" s="50" t="s">
        <v>2129</v>
      </c>
      <c r="H690" s="50" t="s">
        <v>2111</v>
      </c>
    </row>
    <row r="691" spans="1:8" x14ac:dyDescent="0.2">
      <c r="A691" s="50" t="s">
        <v>2868</v>
      </c>
      <c r="B691" s="50" t="s">
        <v>171</v>
      </c>
      <c r="C691" s="50" t="s">
        <v>1624</v>
      </c>
      <c r="D691" s="50" t="s">
        <v>1624</v>
      </c>
      <c r="E691" s="50" t="s">
        <v>2130</v>
      </c>
      <c r="F691" s="50" t="s">
        <v>2130</v>
      </c>
      <c r="G691" s="50" t="s">
        <v>2131</v>
      </c>
      <c r="H691" s="50" t="s">
        <v>2111</v>
      </c>
    </row>
    <row r="692" spans="1:8" x14ac:dyDescent="0.2">
      <c r="A692" s="50" t="s">
        <v>2869</v>
      </c>
      <c r="B692" s="50" t="s">
        <v>2132</v>
      </c>
      <c r="C692" s="50" t="s">
        <v>1812</v>
      </c>
      <c r="D692" s="50" t="s">
        <v>1624</v>
      </c>
      <c r="E692" s="50" t="s">
        <v>2102</v>
      </c>
      <c r="F692" s="50" t="s">
        <v>2102</v>
      </c>
      <c r="G692" s="50" t="s">
        <v>2102</v>
      </c>
      <c r="H692" s="50" t="s">
        <v>2102</v>
      </c>
    </row>
    <row r="693" spans="1:8" x14ac:dyDescent="0.2">
      <c r="A693" s="50" t="s">
        <v>1622</v>
      </c>
      <c r="B693" s="50" t="s">
        <v>1623</v>
      </c>
      <c r="C693" s="50" t="s">
        <v>1624</v>
      </c>
      <c r="D693" s="50" t="s">
        <v>1624</v>
      </c>
      <c r="E693" s="50" t="s">
        <v>1625</v>
      </c>
      <c r="F693" s="50" t="s">
        <v>1626</v>
      </c>
      <c r="G693" s="50" t="s">
        <v>1627</v>
      </c>
      <c r="H693" s="50" t="s">
        <v>1628</v>
      </c>
    </row>
    <row r="694" spans="1:8" x14ac:dyDescent="0.2">
      <c r="A694" s="50" t="s">
        <v>1629</v>
      </c>
      <c r="B694" s="50" t="s">
        <v>1630</v>
      </c>
      <c r="C694" s="50" t="s">
        <v>1624</v>
      </c>
      <c r="D694" s="50" t="s">
        <v>1624</v>
      </c>
      <c r="E694" s="50" t="s">
        <v>1625</v>
      </c>
      <c r="F694" s="50" t="s">
        <v>1626</v>
      </c>
      <c r="G694" s="50" t="s">
        <v>1627</v>
      </c>
      <c r="H694" s="50" t="s">
        <v>1628</v>
      </c>
    </row>
    <row r="695" spans="1:8" x14ac:dyDescent="0.2">
      <c r="A695" s="50" t="s">
        <v>1631</v>
      </c>
      <c r="B695" s="50" t="s">
        <v>1632</v>
      </c>
      <c r="C695" s="50" t="s">
        <v>1624</v>
      </c>
      <c r="D695" s="50" t="s">
        <v>1624</v>
      </c>
      <c r="E695" s="50" t="s">
        <v>1625</v>
      </c>
      <c r="F695" s="50" t="s">
        <v>1626</v>
      </c>
      <c r="G695" s="50" t="s">
        <v>1627</v>
      </c>
      <c r="H695" s="50" t="s">
        <v>1628</v>
      </c>
    </row>
    <row r="696" spans="1:8" x14ac:dyDescent="0.2">
      <c r="A696" s="50" t="s">
        <v>1633</v>
      </c>
      <c r="B696" s="50" t="s">
        <v>1634</v>
      </c>
      <c r="C696" s="50" t="s">
        <v>1624</v>
      </c>
      <c r="D696" s="50" t="s">
        <v>1624</v>
      </c>
      <c r="E696" s="50" t="s">
        <v>1625</v>
      </c>
      <c r="F696" s="50" t="s">
        <v>1626</v>
      </c>
      <c r="G696" s="50" t="s">
        <v>1627</v>
      </c>
      <c r="H696" s="50" t="s">
        <v>1628</v>
      </c>
    </row>
    <row r="697" spans="1:8" x14ac:dyDescent="0.2">
      <c r="A697" s="50" t="s">
        <v>1635</v>
      </c>
      <c r="B697" s="50" t="s">
        <v>1636</v>
      </c>
      <c r="C697" s="50" t="s">
        <v>1624</v>
      </c>
      <c r="D697" s="50" t="s">
        <v>1624</v>
      </c>
      <c r="E697" s="50" t="s">
        <v>1625</v>
      </c>
      <c r="F697" s="50" t="s">
        <v>1626</v>
      </c>
      <c r="G697" s="50" t="s">
        <v>1627</v>
      </c>
      <c r="H697" s="50" t="s">
        <v>1628</v>
      </c>
    </row>
    <row r="698" spans="1:8" x14ac:dyDescent="0.2">
      <c r="A698" s="50" t="s">
        <v>1637</v>
      </c>
      <c r="B698" s="50" t="s">
        <v>1638</v>
      </c>
      <c r="C698" s="50" t="s">
        <v>1624</v>
      </c>
      <c r="D698" s="50" t="s">
        <v>1624</v>
      </c>
      <c r="E698" s="50" t="s">
        <v>1625</v>
      </c>
      <c r="F698" s="50" t="s">
        <v>1626</v>
      </c>
      <c r="G698" s="50" t="s">
        <v>1627</v>
      </c>
      <c r="H698" s="50" t="s">
        <v>1628</v>
      </c>
    </row>
    <row r="699" spans="1:8" x14ac:dyDescent="0.2">
      <c r="A699" s="50" t="s">
        <v>1639</v>
      </c>
      <c r="B699" s="50" t="s">
        <v>1640</v>
      </c>
      <c r="C699" s="50" t="s">
        <v>1624</v>
      </c>
      <c r="D699" s="50" t="s">
        <v>1624</v>
      </c>
      <c r="E699" s="50" t="s">
        <v>1625</v>
      </c>
      <c r="F699" s="50" t="s">
        <v>1626</v>
      </c>
      <c r="G699" s="50" t="s">
        <v>1627</v>
      </c>
      <c r="H699" s="50" t="s">
        <v>1628</v>
      </c>
    </row>
    <row r="700" spans="1:8" x14ac:dyDescent="0.2">
      <c r="A700" s="50" t="s">
        <v>1641</v>
      </c>
      <c r="B700" s="50" t="s">
        <v>1642</v>
      </c>
      <c r="C700" s="50" t="s">
        <v>1624</v>
      </c>
      <c r="D700" s="50" t="s">
        <v>1624</v>
      </c>
      <c r="E700" s="50" t="s">
        <v>1625</v>
      </c>
      <c r="F700" s="50" t="s">
        <v>1626</v>
      </c>
      <c r="G700" s="50" t="s">
        <v>1627</v>
      </c>
      <c r="H700" s="50" t="s">
        <v>1628</v>
      </c>
    </row>
    <row r="701" spans="1:8" x14ac:dyDescent="0.2">
      <c r="A701" s="50" t="s">
        <v>1643</v>
      </c>
      <c r="B701" s="50" t="s">
        <v>1644</v>
      </c>
      <c r="C701" s="50" t="s">
        <v>1624</v>
      </c>
      <c r="D701" s="50" t="s">
        <v>1624</v>
      </c>
      <c r="E701" s="50" t="s">
        <v>1625</v>
      </c>
      <c r="F701" s="50" t="s">
        <v>1626</v>
      </c>
      <c r="G701" s="50" t="s">
        <v>1627</v>
      </c>
      <c r="H701" s="50" t="s">
        <v>1628</v>
      </c>
    </row>
    <row r="702" spans="1:8" x14ac:dyDescent="0.2">
      <c r="A702" s="50" t="s">
        <v>1645</v>
      </c>
      <c r="B702" s="50" t="s">
        <v>1646</v>
      </c>
      <c r="C702" s="50" t="s">
        <v>1624</v>
      </c>
      <c r="D702" s="50" t="s">
        <v>1624</v>
      </c>
      <c r="E702" s="50" t="s">
        <v>1625</v>
      </c>
      <c r="F702" s="50" t="s">
        <v>1626</v>
      </c>
      <c r="G702" s="50" t="s">
        <v>1627</v>
      </c>
      <c r="H702" s="50" t="s">
        <v>1628</v>
      </c>
    </row>
    <row r="703" spans="1:8" x14ac:dyDescent="0.2">
      <c r="A703" s="50" t="s">
        <v>1647</v>
      </c>
      <c r="B703" s="50" t="s">
        <v>1648</v>
      </c>
      <c r="C703" s="50" t="s">
        <v>1624</v>
      </c>
      <c r="D703" s="50" t="s">
        <v>1624</v>
      </c>
      <c r="E703" s="50" t="s">
        <v>1625</v>
      </c>
      <c r="F703" s="50" t="s">
        <v>1626</v>
      </c>
      <c r="G703" s="50" t="s">
        <v>1627</v>
      </c>
      <c r="H703" s="50" t="s">
        <v>1628</v>
      </c>
    </row>
    <row r="704" spans="1:8" x14ac:dyDescent="0.2">
      <c r="A704" s="50" t="s">
        <v>1649</v>
      </c>
      <c r="B704" s="50" t="s">
        <v>1650</v>
      </c>
      <c r="C704" s="50" t="s">
        <v>1624</v>
      </c>
      <c r="D704" s="50" t="s">
        <v>1624</v>
      </c>
      <c r="E704" s="50" t="s">
        <v>1625</v>
      </c>
      <c r="F704" s="50" t="s">
        <v>1626</v>
      </c>
      <c r="G704" s="50" t="s">
        <v>1627</v>
      </c>
      <c r="H704" s="50" t="s">
        <v>1628</v>
      </c>
    </row>
    <row r="705" spans="1:8" x14ac:dyDescent="0.2">
      <c r="A705" s="50" t="s">
        <v>1651</v>
      </c>
      <c r="B705" s="50" t="s">
        <v>1652</v>
      </c>
      <c r="C705" s="50" t="s">
        <v>1624</v>
      </c>
      <c r="D705" s="50" t="s">
        <v>1624</v>
      </c>
      <c r="E705" s="50" t="s">
        <v>1625</v>
      </c>
      <c r="F705" s="50" t="s">
        <v>1626</v>
      </c>
      <c r="G705" s="50" t="s">
        <v>1627</v>
      </c>
      <c r="H705" s="50" t="s">
        <v>1628</v>
      </c>
    </row>
    <row r="706" spans="1:8" x14ac:dyDescent="0.2">
      <c r="A706" s="50" t="s">
        <v>1653</v>
      </c>
      <c r="B706" s="50" t="s">
        <v>1654</v>
      </c>
      <c r="C706" s="50" t="s">
        <v>1624</v>
      </c>
      <c r="D706" s="50" t="s">
        <v>1624</v>
      </c>
      <c r="E706" s="50" t="s">
        <v>1625</v>
      </c>
      <c r="F706" s="50" t="s">
        <v>1626</v>
      </c>
      <c r="G706" s="50" t="s">
        <v>1627</v>
      </c>
      <c r="H706" s="50" t="s">
        <v>1628</v>
      </c>
    </row>
    <row r="707" spans="1:8" x14ac:dyDescent="0.2">
      <c r="A707" s="50" t="s">
        <v>1655</v>
      </c>
      <c r="B707" s="50" t="s">
        <v>1656</v>
      </c>
      <c r="C707" s="50" t="s">
        <v>1624</v>
      </c>
      <c r="D707" s="50" t="s">
        <v>1624</v>
      </c>
      <c r="E707" s="50" t="s">
        <v>1625</v>
      </c>
      <c r="F707" s="50" t="s">
        <v>1626</v>
      </c>
      <c r="G707" s="50" t="s">
        <v>1627</v>
      </c>
      <c r="H707" s="50" t="s">
        <v>1628</v>
      </c>
    </row>
    <row r="708" spans="1:8" x14ac:dyDescent="0.2">
      <c r="A708" s="50" t="s">
        <v>1657</v>
      </c>
      <c r="B708" s="50" t="s">
        <v>1658</v>
      </c>
      <c r="C708" s="50" t="s">
        <v>1624</v>
      </c>
      <c r="D708" s="50" t="s">
        <v>1624</v>
      </c>
      <c r="E708" s="50" t="s">
        <v>1625</v>
      </c>
      <c r="F708" s="50" t="s">
        <v>1626</v>
      </c>
      <c r="G708" s="50" t="s">
        <v>1627</v>
      </c>
      <c r="H708" s="50" t="s">
        <v>1628</v>
      </c>
    </row>
    <row r="709" spans="1:8" x14ac:dyDescent="0.2">
      <c r="A709" s="50" t="s">
        <v>1659</v>
      </c>
      <c r="B709" s="50" t="s">
        <v>1660</v>
      </c>
      <c r="C709" s="50" t="s">
        <v>1624</v>
      </c>
      <c r="D709" s="50" t="s">
        <v>1624</v>
      </c>
      <c r="E709" s="50" t="s">
        <v>1625</v>
      </c>
      <c r="F709" s="50" t="s">
        <v>1626</v>
      </c>
      <c r="G709" s="50" t="s">
        <v>1627</v>
      </c>
      <c r="H709" s="50" t="s">
        <v>1628</v>
      </c>
    </row>
    <row r="710" spans="1:8" x14ac:dyDescent="0.2">
      <c r="A710" s="50" t="s">
        <v>1661</v>
      </c>
      <c r="B710" s="50" t="s">
        <v>1662</v>
      </c>
      <c r="C710" s="50" t="s">
        <v>1624</v>
      </c>
      <c r="D710" s="50" t="s">
        <v>1624</v>
      </c>
      <c r="E710" s="50" t="s">
        <v>1625</v>
      </c>
      <c r="F710" s="50" t="s">
        <v>1626</v>
      </c>
      <c r="G710" s="50" t="s">
        <v>1627</v>
      </c>
      <c r="H710" s="50" t="s">
        <v>1628</v>
      </c>
    </row>
    <row r="711" spans="1:8" x14ac:dyDescent="0.2">
      <c r="A711" s="50" t="s">
        <v>1663</v>
      </c>
      <c r="B711" s="50" t="s">
        <v>1664</v>
      </c>
      <c r="C711" s="50" t="s">
        <v>1624</v>
      </c>
      <c r="D711" s="50" t="s">
        <v>1624</v>
      </c>
      <c r="E711" s="50" t="s">
        <v>1625</v>
      </c>
      <c r="F711" s="50" t="s">
        <v>1626</v>
      </c>
      <c r="G711" s="50" t="s">
        <v>1627</v>
      </c>
      <c r="H711" s="50" t="s">
        <v>1628</v>
      </c>
    </row>
    <row r="712" spans="1:8" x14ac:dyDescent="0.2">
      <c r="A712" s="50" t="s">
        <v>1665</v>
      </c>
      <c r="B712" s="50" t="s">
        <v>1666</v>
      </c>
      <c r="C712" s="50" t="s">
        <v>1624</v>
      </c>
      <c r="D712" s="50" t="s">
        <v>1624</v>
      </c>
      <c r="E712" s="50" t="s">
        <v>1625</v>
      </c>
      <c r="F712" s="50" t="s">
        <v>1626</v>
      </c>
      <c r="G712" s="50" t="s">
        <v>1627</v>
      </c>
      <c r="H712" s="50" t="s">
        <v>1628</v>
      </c>
    </row>
    <row r="713" spans="1:8" x14ac:dyDescent="0.2">
      <c r="A713" s="50" t="s">
        <v>1667</v>
      </c>
      <c r="B713" s="50" t="s">
        <v>1668</v>
      </c>
      <c r="C713" s="50" t="s">
        <v>1624</v>
      </c>
      <c r="D713" s="50" t="s">
        <v>1624</v>
      </c>
      <c r="E713" s="50" t="s">
        <v>1625</v>
      </c>
      <c r="F713" s="50" t="s">
        <v>1626</v>
      </c>
      <c r="G713" s="50" t="s">
        <v>1627</v>
      </c>
      <c r="H713" s="50" t="s">
        <v>1628</v>
      </c>
    </row>
    <row r="714" spans="1:8" x14ac:dyDescent="0.2">
      <c r="A714" s="50" t="s">
        <v>1669</v>
      </c>
      <c r="B714" s="50" t="s">
        <v>1670</v>
      </c>
      <c r="C714" s="50" t="s">
        <v>1624</v>
      </c>
      <c r="D714" s="50" t="s">
        <v>1624</v>
      </c>
      <c r="E714" s="50" t="s">
        <v>1625</v>
      </c>
      <c r="F714" s="50" t="s">
        <v>1626</v>
      </c>
      <c r="G714" s="50" t="s">
        <v>1627</v>
      </c>
      <c r="H714" s="50" t="s">
        <v>1628</v>
      </c>
    </row>
    <row r="715" spans="1:8" x14ac:dyDescent="0.2">
      <c r="A715" s="50" t="s">
        <v>1671</v>
      </c>
      <c r="B715" s="50" t="s">
        <v>2329</v>
      </c>
      <c r="C715" s="50" t="s">
        <v>1624</v>
      </c>
      <c r="D715" s="50" t="s">
        <v>1624</v>
      </c>
      <c r="E715" s="50" t="s">
        <v>1625</v>
      </c>
      <c r="F715" s="50" t="s">
        <v>1626</v>
      </c>
      <c r="G715" s="50" t="s">
        <v>1627</v>
      </c>
      <c r="H715" s="50" t="s">
        <v>1628</v>
      </c>
    </row>
    <row r="716" spans="1:8" x14ac:dyDescent="0.2">
      <c r="A716" s="50" t="s">
        <v>1672</v>
      </c>
      <c r="B716" s="50" t="s">
        <v>1673</v>
      </c>
      <c r="C716" s="50" t="s">
        <v>1624</v>
      </c>
      <c r="D716" s="50" t="s">
        <v>1624</v>
      </c>
      <c r="E716" s="50" t="s">
        <v>1625</v>
      </c>
      <c r="F716" s="50" t="s">
        <v>1626</v>
      </c>
      <c r="G716" s="50" t="s">
        <v>1627</v>
      </c>
      <c r="H716" s="50" t="s">
        <v>1628</v>
      </c>
    </row>
    <row r="717" spans="1:8" x14ac:dyDescent="0.2">
      <c r="A717" s="50" t="s">
        <v>1674</v>
      </c>
      <c r="B717" s="50" t="s">
        <v>1675</v>
      </c>
      <c r="C717" s="50" t="s">
        <v>1624</v>
      </c>
      <c r="D717" s="50" t="s">
        <v>1624</v>
      </c>
      <c r="E717" s="50" t="s">
        <v>1625</v>
      </c>
      <c r="F717" s="50" t="s">
        <v>1626</v>
      </c>
      <c r="G717" s="50" t="s">
        <v>1627</v>
      </c>
      <c r="H717" s="50" t="s">
        <v>1628</v>
      </c>
    </row>
    <row r="718" spans="1:8" x14ac:dyDescent="0.2">
      <c r="A718" s="50" t="s">
        <v>1676</v>
      </c>
      <c r="B718" s="50" t="s">
        <v>1677</v>
      </c>
      <c r="C718" s="50" t="s">
        <v>1624</v>
      </c>
      <c r="D718" s="50" t="s">
        <v>1624</v>
      </c>
      <c r="E718" s="50" t="s">
        <v>1625</v>
      </c>
      <c r="F718" s="50" t="s">
        <v>1626</v>
      </c>
      <c r="G718" s="50" t="s">
        <v>1627</v>
      </c>
      <c r="H718" s="50" t="s">
        <v>1628</v>
      </c>
    </row>
    <row r="719" spans="1:8" x14ac:dyDescent="0.2">
      <c r="A719" s="50" t="s">
        <v>1678</v>
      </c>
      <c r="B719" s="50" t="s">
        <v>1679</v>
      </c>
      <c r="C719" s="50" t="s">
        <v>1624</v>
      </c>
      <c r="D719" s="50" t="s">
        <v>1624</v>
      </c>
      <c r="E719" s="50" t="s">
        <v>1625</v>
      </c>
      <c r="F719" s="50" t="s">
        <v>1626</v>
      </c>
      <c r="G719" s="50" t="s">
        <v>1627</v>
      </c>
      <c r="H719" s="50" t="s">
        <v>1628</v>
      </c>
    </row>
    <row r="720" spans="1:8" x14ac:dyDescent="0.2">
      <c r="A720" s="50" t="s">
        <v>1680</v>
      </c>
      <c r="B720" s="50" t="s">
        <v>1681</v>
      </c>
      <c r="C720" s="50" t="s">
        <v>1624</v>
      </c>
      <c r="D720" s="50" t="s">
        <v>1624</v>
      </c>
      <c r="E720" s="50" t="s">
        <v>1625</v>
      </c>
      <c r="F720" s="50" t="s">
        <v>1626</v>
      </c>
      <c r="G720" s="50" t="s">
        <v>1627</v>
      </c>
      <c r="H720" s="50" t="s">
        <v>1628</v>
      </c>
    </row>
    <row r="721" spans="1:8" x14ac:dyDescent="0.2">
      <c r="A721" s="50" t="s">
        <v>1682</v>
      </c>
      <c r="B721" s="50" t="s">
        <v>1683</v>
      </c>
      <c r="C721" s="50" t="s">
        <v>1624</v>
      </c>
      <c r="D721" s="50" t="s">
        <v>1624</v>
      </c>
      <c r="E721" s="50" t="s">
        <v>1625</v>
      </c>
      <c r="F721" s="50" t="s">
        <v>1626</v>
      </c>
      <c r="G721" s="50" t="s">
        <v>1627</v>
      </c>
      <c r="H721" s="50" t="s">
        <v>1628</v>
      </c>
    </row>
    <row r="722" spans="1:8" x14ac:dyDescent="0.2">
      <c r="A722" s="50" t="s">
        <v>1684</v>
      </c>
      <c r="B722" s="50" t="s">
        <v>1685</v>
      </c>
      <c r="C722" s="50" t="s">
        <v>1624</v>
      </c>
      <c r="D722" s="50" t="s">
        <v>1624</v>
      </c>
      <c r="E722" s="50" t="s">
        <v>1625</v>
      </c>
      <c r="F722" s="50" t="s">
        <v>1626</v>
      </c>
      <c r="G722" s="50" t="s">
        <v>1627</v>
      </c>
      <c r="H722" s="50" t="s">
        <v>1628</v>
      </c>
    </row>
    <row r="723" spans="1:8" x14ac:dyDescent="0.2">
      <c r="A723" s="50" t="s">
        <v>1686</v>
      </c>
      <c r="B723" s="50" t="s">
        <v>1687</v>
      </c>
      <c r="C723" s="50" t="s">
        <v>1624</v>
      </c>
      <c r="D723" s="50" t="s">
        <v>1624</v>
      </c>
      <c r="E723" s="50" t="s">
        <v>1625</v>
      </c>
      <c r="F723" s="50" t="s">
        <v>1626</v>
      </c>
      <c r="G723" s="50" t="s">
        <v>1627</v>
      </c>
      <c r="H723" s="50" t="s">
        <v>1628</v>
      </c>
    </row>
    <row r="724" spans="1:8" x14ac:dyDescent="0.2">
      <c r="A724" s="50" t="s">
        <v>1688</v>
      </c>
      <c r="B724" s="50" t="s">
        <v>1689</v>
      </c>
      <c r="C724" s="50" t="s">
        <v>1624</v>
      </c>
      <c r="D724" s="50" t="s">
        <v>1624</v>
      </c>
      <c r="E724" s="50" t="s">
        <v>1625</v>
      </c>
      <c r="F724" s="50" t="s">
        <v>1626</v>
      </c>
      <c r="G724" s="50" t="s">
        <v>1627</v>
      </c>
      <c r="H724" s="50" t="s">
        <v>1628</v>
      </c>
    </row>
    <row r="725" spans="1:8" x14ac:dyDescent="0.2">
      <c r="A725" s="50" t="s">
        <v>1690</v>
      </c>
      <c r="B725" s="50" t="s">
        <v>1691</v>
      </c>
      <c r="C725" s="50" t="s">
        <v>1624</v>
      </c>
      <c r="D725" s="50" t="s">
        <v>1624</v>
      </c>
      <c r="E725" s="50" t="s">
        <v>1625</v>
      </c>
      <c r="F725" s="50" t="s">
        <v>1626</v>
      </c>
      <c r="G725" s="50" t="s">
        <v>1627</v>
      </c>
      <c r="H725" s="50" t="s">
        <v>1628</v>
      </c>
    </row>
    <row r="726" spans="1:8" x14ac:dyDescent="0.2">
      <c r="A726" s="50" t="s">
        <v>1692</v>
      </c>
      <c r="B726" s="50" t="s">
        <v>1693</v>
      </c>
      <c r="C726" s="50" t="s">
        <v>1624</v>
      </c>
      <c r="D726" s="50" t="s">
        <v>1624</v>
      </c>
      <c r="E726" s="50" t="s">
        <v>1625</v>
      </c>
      <c r="F726" s="50" t="s">
        <v>1626</v>
      </c>
      <c r="G726" s="50" t="s">
        <v>1627</v>
      </c>
      <c r="H726" s="50" t="s">
        <v>1628</v>
      </c>
    </row>
    <row r="727" spans="1:8" x14ac:dyDescent="0.2">
      <c r="A727" s="50" t="s">
        <v>1694</v>
      </c>
      <c r="B727" s="50" t="s">
        <v>1695</v>
      </c>
      <c r="C727" s="50" t="s">
        <v>1624</v>
      </c>
      <c r="D727" s="50" t="s">
        <v>1624</v>
      </c>
      <c r="E727" s="50" t="s">
        <v>1625</v>
      </c>
      <c r="F727" s="50" t="s">
        <v>1626</v>
      </c>
      <c r="G727" s="50" t="s">
        <v>1627</v>
      </c>
      <c r="H727" s="50" t="s">
        <v>1628</v>
      </c>
    </row>
    <row r="728" spans="1:8" x14ac:dyDescent="0.2">
      <c r="A728" s="50" t="s">
        <v>1696</v>
      </c>
      <c r="B728" s="50" t="s">
        <v>1697</v>
      </c>
      <c r="C728" s="50" t="s">
        <v>1624</v>
      </c>
      <c r="D728" s="50" t="s">
        <v>1624</v>
      </c>
      <c r="E728" s="50" t="s">
        <v>1625</v>
      </c>
      <c r="F728" s="50" t="s">
        <v>1626</v>
      </c>
      <c r="G728" s="50" t="s">
        <v>1627</v>
      </c>
      <c r="H728" s="50" t="s">
        <v>1628</v>
      </c>
    </row>
    <row r="729" spans="1:8" x14ac:dyDescent="0.2">
      <c r="A729" s="50" t="s">
        <v>1698</v>
      </c>
      <c r="B729" s="50" t="s">
        <v>1699</v>
      </c>
      <c r="C729" s="50" t="s">
        <v>1624</v>
      </c>
      <c r="D729" s="50" t="s">
        <v>1624</v>
      </c>
      <c r="E729" s="50" t="s">
        <v>1625</v>
      </c>
      <c r="F729" s="50" t="s">
        <v>1626</v>
      </c>
      <c r="G729" s="50" t="s">
        <v>1627</v>
      </c>
      <c r="H729" s="50" t="s">
        <v>1628</v>
      </c>
    </row>
    <row r="730" spans="1:8" x14ac:dyDescent="0.2">
      <c r="A730" s="50" t="s">
        <v>1700</v>
      </c>
      <c r="B730" s="50" t="s">
        <v>1701</v>
      </c>
      <c r="C730" s="50" t="s">
        <v>1624</v>
      </c>
      <c r="D730" s="50" t="s">
        <v>1624</v>
      </c>
      <c r="E730" s="50" t="s">
        <v>1625</v>
      </c>
      <c r="F730" s="50" t="s">
        <v>1626</v>
      </c>
      <c r="G730" s="50" t="s">
        <v>1627</v>
      </c>
      <c r="H730" s="50" t="s">
        <v>1628</v>
      </c>
    </row>
    <row r="731" spans="1:8" x14ac:dyDescent="0.2">
      <c r="A731" s="50" t="s">
        <v>1702</v>
      </c>
      <c r="B731" s="50" t="s">
        <v>1703</v>
      </c>
      <c r="C731" s="50" t="s">
        <v>1624</v>
      </c>
      <c r="D731" s="50" t="s">
        <v>1624</v>
      </c>
      <c r="E731" s="50" t="s">
        <v>1625</v>
      </c>
      <c r="F731" s="50" t="s">
        <v>1626</v>
      </c>
      <c r="G731" s="50" t="s">
        <v>1627</v>
      </c>
      <c r="H731" s="50" t="s">
        <v>1628</v>
      </c>
    </row>
    <row r="732" spans="1:8" x14ac:dyDescent="0.2">
      <c r="A732" s="50" t="s">
        <v>1704</v>
      </c>
      <c r="B732" s="50" t="s">
        <v>1705</v>
      </c>
      <c r="C732" s="50" t="s">
        <v>1624</v>
      </c>
      <c r="D732" s="50" t="s">
        <v>1624</v>
      </c>
      <c r="E732" s="50" t="s">
        <v>1625</v>
      </c>
      <c r="F732" s="50" t="s">
        <v>1626</v>
      </c>
      <c r="G732" s="50" t="s">
        <v>1627</v>
      </c>
      <c r="H732" s="50" t="s">
        <v>1628</v>
      </c>
    </row>
    <row r="733" spans="1:8" x14ac:dyDescent="0.2">
      <c r="A733" s="50" t="s">
        <v>1706</v>
      </c>
      <c r="B733" s="50" t="s">
        <v>1707</v>
      </c>
      <c r="C733" s="50" t="s">
        <v>1624</v>
      </c>
      <c r="D733" s="50" t="s">
        <v>1624</v>
      </c>
      <c r="E733" s="50" t="s">
        <v>1625</v>
      </c>
      <c r="F733" s="50" t="s">
        <v>1626</v>
      </c>
      <c r="G733" s="50" t="s">
        <v>1627</v>
      </c>
      <c r="H733" s="50" t="s">
        <v>1628</v>
      </c>
    </row>
    <row r="734" spans="1:8" x14ac:dyDescent="0.2">
      <c r="A734" s="50" t="s">
        <v>1708</v>
      </c>
      <c r="B734" s="50" t="s">
        <v>2318</v>
      </c>
      <c r="C734" s="50" t="s">
        <v>1624</v>
      </c>
      <c r="D734" s="50" t="s">
        <v>1624</v>
      </c>
      <c r="E734" s="50" t="s">
        <v>1625</v>
      </c>
      <c r="F734" s="50" t="s">
        <v>1626</v>
      </c>
      <c r="G734" s="50" t="s">
        <v>1627</v>
      </c>
      <c r="H734" s="50" t="s">
        <v>1628</v>
      </c>
    </row>
    <row r="735" spans="1:8" x14ac:dyDescent="0.2">
      <c r="A735" s="50" t="s">
        <v>1709</v>
      </c>
      <c r="B735" s="50" t="s">
        <v>1710</v>
      </c>
      <c r="C735" s="50" t="s">
        <v>1624</v>
      </c>
      <c r="D735" s="50" t="s">
        <v>1624</v>
      </c>
      <c r="E735" s="50" t="s">
        <v>1625</v>
      </c>
      <c r="F735" s="50" t="s">
        <v>1626</v>
      </c>
      <c r="G735" s="50" t="s">
        <v>1627</v>
      </c>
      <c r="H735" s="50" t="s">
        <v>1628</v>
      </c>
    </row>
    <row r="736" spans="1:8" x14ac:dyDescent="0.2">
      <c r="A736" s="50" t="s">
        <v>1711</v>
      </c>
      <c r="B736" s="50" t="s">
        <v>1712</v>
      </c>
      <c r="C736" s="50" t="s">
        <v>1624</v>
      </c>
      <c r="D736" s="50" t="s">
        <v>1624</v>
      </c>
      <c r="E736" s="50" t="s">
        <v>1625</v>
      </c>
      <c r="F736" s="50" t="s">
        <v>1626</v>
      </c>
      <c r="G736" s="50" t="s">
        <v>1627</v>
      </c>
      <c r="H736" s="50" t="s">
        <v>1628</v>
      </c>
    </row>
    <row r="737" spans="1:8" x14ac:dyDescent="0.2">
      <c r="A737" s="50" t="s">
        <v>1713</v>
      </c>
      <c r="B737" s="50" t="s">
        <v>1714</v>
      </c>
      <c r="C737" s="50" t="s">
        <v>1624</v>
      </c>
      <c r="D737" s="50" t="s">
        <v>1624</v>
      </c>
      <c r="E737" s="50" t="s">
        <v>1625</v>
      </c>
      <c r="F737" s="50" t="s">
        <v>1626</v>
      </c>
      <c r="G737" s="50" t="s">
        <v>1627</v>
      </c>
      <c r="H737" s="50" t="s">
        <v>1628</v>
      </c>
    </row>
    <row r="738" spans="1:8" x14ac:dyDescent="0.2">
      <c r="A738" s="50" t="s">
        <v>1715</v>
      </c>
      <c r="B738" s="50" t="s">
        <v>1716</v>
      </c>
      <c r="C738" s="50" t="s">
        <v>1624</v>
      </c>
      <c r="D738" s="50" t="s">
        <v>1624</v>
      </c>
      <c r="E738" s="50" t="s">
        <v>1625</v>
      </c>
      <c r="F738" s="50" t="s">
        <v>1626</v>
      </c>
      <c r="G738" s="50" t="s">
        <v>1627</v>
      </c>
      <c r="H738" s="50" t="s">
        <v>1628</v>
      </c>
    </row>
    <row r="739" spans="1:8" x14ac:dyDescent="0.2">
      <c r="A739" s="50" t="s">
        <v>1717</v>
      </c>
      <c r="B739" s="50" t="s">
        <v>1718</v>
      </c>
      <c r="C739" s="50" t="s">
        <v>1624</v>
      </c>
      <c r="D739" s="50" t="s">
        <v>1624</v>
      </c>
      <c r="E739" s="50" t="s">
        <v>1625</v>
      </c>
      <c r="F739" s="50" t="s">
        <v>1626</v>
      </c>
      <c r="G739" s="50" t="s">
        <v>1627</v>
      </c>
      <c r="H739" s="50" t="s">
        <v>1628</v>
      </c>
    </row>
    <row r="740" spans="1:8" x14ac:dyDescent="0.2">
      <c r="A740" s="50" t="s">
        <v>1719</v>
      </c>
      <c r="B740" s="50" t="s">
        <v>2311</v>
      </c>
      <c r="C740" s="50" t="s">
        <v>1624</v>
      </c>
      <c r="D740" s="50" t="s">
        <v>1624</v>
      </c>
      <c r="E740" s="50" t="s">
        <v>1625</v>
      </c>
      <c r="F740" s="50" t="s">
        <v>1626</v>
      </c>
      <c r="G740" s="50" t="s">
        <v>1627</v>
      </c>
      <c r="H740" s="50" t="s">
        <v>1628</v>
      </c>
    </row>
    <row r="741" spans="1:8" x14ac:dyDescent="0.2">
      <c r="A741" s="50" t="s">
        <v>1720</v>
      </c>
      <c r="B741" s="50" t="s">
        <v>1721</v>
      </c>
      <c r="C741" s="50" t="s">
        <v>1624</v>
      </c>
      <c r="D741" s="50" t="s">
        <v>1624</v>
      </c>
      <c r="E741" s="50" t="s">
        <v>1625</v>
      </c>
      <c r="F741" s="50" t="s">
        <v>1626</v>
      </c>
      <c r="G741" s="50" t="s">
        <v>1627</v>
      </c>
      <c r="H741" s="50" t="s">
        <v>1628</v>
      </c>
    </row>
    <row r="742" spans="1:8" x14ac:dyDescent="0.2">
      <c r="A742" s="50" t="s">
        <v>1722</v>
      </c>
      <c r="B742" s="50" t="s">
        <v>1723</v>
      </c>
      <c r="C742" s="50" t="s">
        <v>1624</v>
      </c>
      <c r="D742" s="50" t="s">
        <v>1624</v>
      </c>
      <c r="E742" s="50" t="s">
        <v>1625</v>
      </c>
      <c r="F742" s="50" t="s">
        <v>1626</v>
      </c>
      <c r="G742" s="50" t="s">
        <v>1627</v>
      </c>
      <c r="H742" s="50" t="s">
        <v>1628</v>
      </c>
    </row>
    <row r="743" spans="1:8" x14ac:dyDescent="0.2">
      <c r="A743" s="50" t="s">
        <v>1724</v>
      </c>
      <c r="B743" s="50" t="s">
        <v>2330</v>
      </c>
      <c r="C743" s="50" t="s">
        <v>1624</v>
      </c>
      <c r="D743" s="50" t="s">
        <v>1624</v>
      </c>
      <c r="E743" s="50" t="s">
        <v>1625</v>
      </c>
      <c r="F743" s="50" t="s">
        <v>1626</v>
      </c>
      <c r="G743" s="50" t="s">
        <v>1627</v>
      </c>
      <c r="H743" s="50" t="s">
        <v>1628</v>
      </c>
    </row>
    <row r="744" spans="1:8" x14ac:dyDescent="0.2">
      <c r="A744" s="50" t="s">
        <v>1725</v>
      </c>
      <c r="B744" s="50" t="s">
        <v>1726</v>
      </c>
      <c r="C744" s="50" t="s">
        <v>1624</v>
      </c>
      <c r="D744" s="50" t="s">
        <v>1624</v>
      </c>
      <c r="E744" s="50" t="s">
        <v>1625</v>
      </c>
      <c r="F744" s="50" t="s">
        <v>1626</v>
      </c>
      <c r="G744" s="50" t="s">
        <v>1627</v>
      </c>
      <c r="H744" s="50" t="s">
        <v>1628</v>
      </c>
    </row>
    <row r="745" spans="1:8" x14ac:dyDescent="0.2">
      <c r="A745" s="50" t="s">
        <v>1727</v>
      </c>
      <c r="B745" s="50" t="s">
        <v>1728</v>
      </c>
      <c r="C745" s="50" t="s">
        <v>1624</v>
      </c>
      <c r="D745" s="50" t="s">
        <v>1624</v>
      </c>
      <c r="E745" s="50" t="s">
        <v>1625</v>
      </c>
      <c r="F745" s="50" t="s">
        <v>1626</v>
      </c>
      <c r="G745" s="50" t="s">
        <v>1627</v>
      </c>
      <c r="H745" s="50" t="s">
        <v>1628</v>
      </c>
    </row>
    <row r="746" spans="1:8" x14ac:dyDescent="0.2">
      <c r="A746" s="50" t="s">
        <v>1729</v>
      </c>
      <c r="B746" s="50" t="s">
        <v>1730</v>
      </c>
      <c r="C746" s="50" t="s">
        <v>1624</v>
      </c>
      <c r="D746" s="50" t="s">
        <v>1624</v>
      </c>
      <c r="E746" s="50" t="s">
        <v>1625</v>
      </c>
      <c r="F746" s="50" t="s">
        <v>1626</v>
      </c>
      <c r="G746" s="50" t="s">
        <v>1627</v>
      </c>
      <c r="H746" s="50" t="s">
        <v>1628</v>
      </c>
    </row>
    <row r="747" spans="1:8" x14ac:dyDescent="0.2">
      <c r="A747" s="50" t="s">
        <v>1731</v>
      </c>
      <c r="B747" s="50" t="s">
        <v>1732</v>
      </c>
      <c r="C747" s="50" t="s">
        <v>1624</v>
      </c>
      <c r="D747" s="50" t="s">
        <v>1624</v>
      </c>
      <c r="E747" s="50" t="s">
        <v>1625</v>
      </c>
      <c r="F747" s="50" t="s">
        <v>1626</v>
      </c>
      <c r="G747" s="50" t="s">
        <v>1627</v>
      </c>
      <c r="H747" s="50" t="s">
        <v>1628</v>
      </c>
    </row>
    <row r="748" spans="1:8" x14ac:dyDescent="0.2">
      <c r="A748" s="50" t="s">
        <v>1733</v>
      </c>
      <c r="B748" s="50" t="s">
        <v>1734</v>
      </c>
      <c r="C748" s="50" t="s">
        <v>1624</v>
      </c>
      <c r="D748" s="50" t="s">
        <v>1624</v>
      </c>
      <c r="E748" s="50" t="s">
        <v>1625</v>
      </c>
      <c r="F748" s="50" t="s">
        <v>1626</v>
      </c>
      <c r="G748" s="50" t="s">
        <v>1627</v>
      </c>
      <c r="H748" s="50" t="s">
        <v>1628</v>
      </c>
    </row>
    <row r="749" spans="1:8" x14ac:dyDescent="0.2">
      <c r="A749" s="50" t="s">
        <v>1735</v>
      </c>
      <c r="B749" s="50" t="s">
        <v>1736</v>
      </c>
      <c r="C749" s="50" t="s">
        <v>1624</v>
      </c>
      <c r="D749" s="50" t="s">
        <v>1624</v>
      </c>
      <c r="E749" s="50" t="s">
        <v>1625</v>
      </c>
      <c r="F749" s="50" t="s">
        <v>1626</v>
      </c>
      <c r="G749" s="50" t="s">
        <v>1627</v>
      </c>
      <c r="H749" s="50" t="s">
        <v>1628</v>
      </c>
    </row>
    <row r="750" spans="1:8" x14ac:dyDescent="0.2">
      <c r="A750" s="50" t="s">
        <v>1737</v>
      </c>
      <c r="B750" s="50" t="s">
        <v>1738</v>
      </c>
      <c r="C750" s="50" t="s">
        <v>1624</v>
      </c>
      <c r="D750" s="50" t="s">
        <v>1624</v>
      </c>
      <c r="E750" s="50" t="s">
        <v>1625</v>
      </c>
      <c r="F750" s="50" t="s">
        <v>1626</v>
      </c>
      <c r="G750" s="50" t="s">
        <v>1627</v>
      </c>
      <c r="H750" s="50" t="s">
        <v>1628</v>
      </c>
    </row>
    <row r="751" spans="1:8" x14ac:dyDescent="0.2">
      <c r="A751" s="50" t="s">
        <v>1739</v>
      </c>
      <c r="B751" s="50" t="s">
        <v>1740</v>
      </c>
      <c r="C751" s="50" t="s">
        <v>1624</v>
      </c>
      <c r="D751" s="50" t="s">
        <v>1624</v>
      </c>
      <c r="E751" s="50" t="s">
        <v>1625</v>
      </c>
      <c r="F751" s="50" t="s">
        <v>1626</v>
      </c>
      <c r="G751" s="50" t="s">
        <v>1627</v>
      </c>
      <c r="H751" s="50" t="s">
        <v>1628</v>
      </c>
    </row>
    <row r="752" spans="1:8" x14ac:dyDescent="0.2">
      <c r="A752" s="50" t="s">
        <v>1741</v>
      </c>
      <c r="B752" s="50" t="s">
        <v>1742</v>
      </c>
      <c r="C752" s="50" t="s">
        <v>1624</v>
      </c>
      <c r="D752" s="50" t="s">
        <v>1624</v>
      </c>
      <c r="E752" s="50" t="s">
        <v>1625</v>
      </c>
      <c r="F752" s="50" t="s">
        <v>1626</v>
      </c>
      <c r="G752" s="50" t="s">
        <v>1627</v>
      </c>
      <c r="H752" s="50" t="s">
        <v>1628</v>
      </c>
    </row>
    <row r="753" spans="1:8" x14ac:dyDescent="0.2">
      <c r="A753" s="50" t="s">
        <v>1743</v>
      </c>
      <c r="B753" s="50" t="s">
        <v>1744</v>
      </c>
      <c r="C753" s="50" t="s">
        <v>1624</v>
      </c>
      <c r="D753" s="50" t="s">
        <v>1624</v>
      </c>
      <c r="E753" s="50" t="s">
        <v>1625</v>
      </c>
      <c r="F753" s="50" t="s">
        <v>1626</v>
      </c>
      <c r="G753" s="50" t="s">
        <v>1627</v>
      </c>
      <c r="H753" s="50" t="s">
        <v>1628</v>
      </c>
    </row>
    <row r="754" spans="1:8" x14ac:dyDescent="0.2">
      <c r="A754" s="50" t="s">
        <v>1745</v>
      </c>
      <c r="B754" s="50" t="s">
        <v>1746</v>
      </c>
      <c r="C754" s="50" t="s">
        <v>1624</v>
      </c>
      <c r="D754" s="50" t="s">
        <v>1624</v>
      </c>
      <c r="E754" s="50" t="s">
        <v>1625</v>
      </c>
      <c r="F754" s="50" t="s">
        <v>1626</v>
      </c>
      <c r="G754" s="50" t="s">
        <v>1627</v>
      </c>
      <c r="H754" s="50" t="s">
        <v>1628</v>
      </c>
    </row>
    <row r="755" spans="1:8" x14ac:dyDescent="0.2">
      <c r="A755" s="50" t="s">
        <v>1747</v>
      </c>
      <c r="B755" s="50" t="s">
        <v>1748</v>
      </c>
      <c r="C755" s="50" t="s">
        <v>1624</v>
      </c>
      <c r="D755" s="50" t="s">
        <v>1624</v>
      </c>
      <c r="E755" s="50" t="s">
        <v>1625</v>
      </c>
      <c r="F755" s="50" t="s">
        <v>1626</v>
      </c>
      <c r="G755" s="50" t="s">
        <v>1627</v>
      </c>
      <c r="H755" s="50" t="s">
        <v>1628</v>
      </c>
    </row>
    <row r="756" spans="1:8" x14ac:dyDescent="0.2">
      <c r="A756" s="50" t="s">
        <v>1749</v>
      </c>
      <c r="B756" s="50" t="s">
        <v>2331</v>
      </c>
      <c r="C756" s="50" t="s">
        <v>1624</v>
      </c>
      <c r="D756" s="50" t="s">
        <v>1624</v>
      </c>
      <c r="E756" s="50" t="s">
        <v>1625</v>
      </c>
      <c r="F756" s="50" t="s">
        <v>1626</v>
      </c>
      <c r="G756" s="50" t="s">
        <v>1627</v>
      </c>
      <c r="H756" s="50" t="s">
        <v>1628</v>
      </c>
    </row>
    <row r="757" spans="1:8" x14ac:dyDescent="0.2">
      <c r="A757" s="50" t="s">
        <v>1750</v>
      </c>
      <c r="B757" s="50" t="s">
        <v>1751</v>
      </c>
      <c r="C757" s="50" t="s">
        <v>1624</v>
      </c>
      <c r="D757" s="50" t="s">
        <v>1624</v>
      </c>
      <c r="E757" s="50" t="s">
        <v>1625</v>
      </c>
      <c r="F757" s="50" t="s">
        <v>1626</v>
      </c>
      <c r="G757" s="50" t="s">
        <v>1627</v>
      </c>
      <c r="H757" s="50" t="s">
        <v>1628</v>
      </c>
    </row>
    <row r="758" spans="1:8" x14ac:dyDescent="0.2">
      <c r="A758" s="50" t="s">
        <v>1752</v>
      </c>
      <c r="B758" s="50" t="s">
        <v>1753</v>
      </c>
      <c r="C758" s="50" t="s">
        <v>1624</v>
      </c>
      <c r="D758" s="50" t="s">
        <v>1624</v>
      </c>
      <c r="E758" s="50" t="s">
        <v>1625</v>
      </c>
      <c r="F758" s="50" t="s">
        <v>1626</v>
      </c>
      <c r="G758" s="50" t="s">
        <v>1627</v>
      </c>
      <c r="H758" s="50" t="s">
        <v>1628</v>
      </c>
    </row>
    <row r="759" spans="1:8" x14ac:dyDescent="0.2">
      <c r="A759" s="50" t="s">
        <v>1754</v>
      </c>
      <c r="B759" s="50" t="s">
        <v>1755</v>
      </c>
      <c r="C759" s="50" t="s">
        <v>1624</v>
      </c>
      <c r="D759" s="50" t="s">
        <v>1624</v>
      </c>
      <c r="E759" s="50" t="s">
        <v>1625</v>
      </c>
      <c r="F759" s="50" t="s">
        <v>1626</v>
      </c>
      <c r="G759" s="50" t="s">
        <v>1627</v>
      </c>
      <c r="H759" s="50" t="s">
        <v>1628</v>
      </c>
    </row>
    <row r="760" spans="1:8" x14ac:dyDescent="0.2">
      <c r="A760" s="50" t="s">
        <v>1756</v>
      </c>
      <c r="B760" s="50" t="s">
        <v>1757</v>
      </c>
      <c r="C760" s="50" t="s">
        <v>1624</v>
      </c>
      <c r="D760" s="50" t="s">
        <v>1624</v>
      </c>
      <c r="E760" s="50" t="s">
        <v>1625</v>
      </c>
      <c r="F760" s="50" t="s">
        <v>1626</v>
      </c>
      <c r="G760" s="50" t="s">
        <v>1627</v>
      </c>
      <c r="H760" s="50" t="s">
        <v>1628</v>
      </c>
    </row>
    <row r="761" spans="1:8" x14ac:dyDescent="0.2">
      <c r="A761" s="50" t="s">
        <v>1758</v>
      </c>
      <c r="B761" s="50" t="s">
        <v>1759</v>
      </c>
      <c r="C761" s="50" t="s">
        <v>1624</v>
      </c>
      <c r="D761" s="50" t="s">
        <v>1624</v>
      </c>
      <c r="E761" s="50" t="s">
        <v>1625</v>
      </c>
      <c r="F761" s="50" t="s">
        <v>1626</v>
      </c>
      <c r="G761" s="50" t="s">
        <v>1627</v>
      </c>
      <c r="H761" s="50" t="s">
        <v>1628</v>
      </c>
    </row>
    <row r="762" spans="1:8" x14ac:dyDescent="0.2">
      <c r="A762" s="50" t="s">
        <v>1760</v>
      </c>
      <c r="B762" s="50" t="s">
        <v>1761</v>
      </c>
      <c r="C762" s="50" t="s">
        <v>1624</v>
      </c>
      <c r="D762" s="50" t="s">
        <v>1624</v>
      </c>
      <c r="E762" s="50" t="s">
        <v>1625</v>
      </c>
      <c r="F762" s="50" t="s">
        <v>1626</v>
      </c>
      <c r="G762" s="50" t="s">
        <v>1627</v>
      </c>
      <c r="H762" s="50" t="s">
        <v>1628</v>
      </c>
    </row>
    <row r="763" spans="1:8" x14ac:dyDescent="0.2">
      <c r="A763" s="50" t="s">
        <v>1762</v>
      </c>
      <c r="B763" s="50" t="s">
        <v>1763</v>
      </c>
      <c r="C763" s="50" t="s">
        <v>1624</v>
      </c>
      <c r="D763" s="50" t="s">
        <v>1624</v>
      </c>
      <c r="E763" s="50" t="s">
        <v>1625</v>
      </c>
      <c r="F763" s="50" t="s">
        <v>1626</v>
      </c>
      <c r="G763" s="50" t="s">
        <v>1627</v>
      </c>
      <c r="H763" s="50" t="s">
        <v>1628</v>
      </c>
    </row>
    <row r="764" spans="1:8" x14ac:dyDescent="0.2">
      <c r="A764" s="50" t="s">
        <v>1764</v>
      </c>
      <c r="B764" s="50" t="s">
        <v>1765</v>
      </c>
      <c r="C764" s="50" t="s">
        <v>1624</v>
      </c>
      <c r="D764" s="50" t="s">
        <v>1624</v>
      </c>
      <c r="E764" s="50" t="s">
        <v>1625</v>
      </c>
      <c r="F764" s="50" t="s">
        <v>1626</v>
      </c>
      <c r="G764" s="50" t="s">
        <v>1627</v>
      </c>
      <c r="H764" s="50" t="s">
        <v>1628</v>
      </c>
    </row>
    <row r="765" spans="1:8" x14ac:dyDescent="0.2">
      <c r="A765" s="50" t="s">
        <v>1766</v>
      </c>
      <c r="B765" s="50" t="s">
        <v>1767</v>
      </c>
      <c r="C765" s="50" t="s">
        <v>1624</v>
      </c>
      <c r="D765" s="50" t="s">
        <v>1624</v>
      </c>
      <c r="E765" s="50" t="s">
        <v>1625</v>
      </c>
      <c r="F765" s="50" t="s">
        <v>1626</v>
      </c>
      <c r="G765" s="50" t="s">
        <v>1627</v>
      </c>
      <c r="H765" s="50" t="s">
        <v>1628</v>
      </c>
    </row>
    <row r="766" spans="1:8" x14ac:dyDescent="0.2">
      <c r="A766" s="50" t="s">
        <v>1768</v>
      </c>
      <c r="B766" s="50" t="s">
        <v>1769</v>
      </c>
      <c r="C766" s="50" t="s">
        <v>1624</v>
      </c>
      <c r="D766" s="50" t="s">
        <v>1624</v>
      </c>
      <c r="E766" s="50" t="s">
        <v>1625</v>
      </c>
      <c r="F766" s="50" t="s">
        <v>1626</v>
      </c>
      <c r="G766" s="50" t="s">
        <v>1627</v>
      </c>
      <c r="H766" s="50" t="s">
        <v>1628</v>
      </c>
    </row>
    <row r="767" spans="1:8" x14ac:dyDescent="0.2">
      <c r="A767" s="50" t="s">
        <v>1770</v>
      </c>
      <c r="B767" s="50" t="s">
        <v>1771</v>
      </c>
      <c r="C767" s="50" t="s">
        <v>1624</v>
      </c>
      <c r="D767" s="50" t="s">
        <v>1624</v>
      </c>
      <c r="E767" s="50" t="s">
        <v>1625</v>
      </c>
      <c r="F767" s="50" t="s">
        <v>1626</v>
      </c>
      <c r="G767" s="50" t="s">
        <v>1627</v>
      </c>
      <c r="H767" s="50" t="s">
        <v>1628</v>
      </c>
    </row>
    <row r="768" spans="1:8" x14ac:dyDescent="0.2">
      <c r="A768" s="50" t="s">
        <v>1772</v>
      </c>
      <c r="B768" s="50" t="s">
        <v>1773</v>
      </c>
      <c r="C768" s="50" t="s">
        <v>1624</v>
      </c>
      <c r="D768" s="50" t="s">
        <v>1624</v>
      </c>
      <c r="E768" s="50" t="s">
        <v>1625</v>
      </c>
      <c r="F768" s="50" t="s">
        <v>1626</v>
      </c>
      <c r="G768" s="50" t="s">
        <v>1627</v>
      </c>
      <c r="H768" s="50" t="s">
        <v>1628</v>
      </c>
    </row>
    <row r="769" spans="1:8" x14ac:dyDescent="0.2">
      <c r="A769" s="50" t="s">
        <v>1774</v>
      </c>
      <c r="B769" s="50" t="s">
        <v>1775</v>
      </c>
      <c r="C769" s="50" t="s">
        <v>1624</v>
      </c>
      <c r="D769" s="50" t="s">
        <v>1624</v>
      </c>
      <c r="E769" s="50" t="s">
        <v>1625</v>
      </c>
      <c r="F769" s="50" t="s">
        <v>1626</v>
      </c>
      <c r="G769" s="50" t="s">
        <v>1627</v>
      </c>
      <c r="H769" s="50" t="s">
        <v>1628</v>
      </c>
    </row>
    <row r="770" spans="1:8" x14ac:dyDescent="0.2">
      <c r="A770" s="50" t="s">
        <v>1776</v>
      </c>
      <c r="B770" s="50" t="s">
        <v>1777</v>
      </c>
      <c r="C770" s="50" t="s">
        <v>1624</v>
      </c>
      <c r="D770" s="50" t="s">
        <v>1624</v>
      </c>
      <c r="E770" s="50" t="s">
        <v>1625</v>
      </c>
      <c r="F770" s="50" t="s">
        <v>1626</v>
      </c>
      <c r="G770" s="50" t="s">
        <v>1627</v>
      </c>
      <c r="H770" s="50" t="s">
        <v>1628</v>
      </c>
    </row>
    <row r="771" spans="1:8" x14ac:dyDescent="0.2">
      <c r="A771" s="50" t="s">
        <v>1778</v>
      </c>
      <c r="B771" s="50" t="s">
        <v>1779</v>
      </c>
      <c r="C771" s="50" t="s">
        <v>1624</v>
      </c>
      <c r="D771" s="50" t="s">
        <v>1624</v>
      </c>
      <c r="E771" s="50" t="s">
        <v>1625</v>
      </c>
      <c r="F771" s="50" t="s">
        <v>1626</v>
      </c>
      <c r="G771" s="50" t="s">
        <v>1627</v>
      </c>
      <c r="H771" s="50" t="s">
        <v>1628</v>
      </c>
    </row>
    <row r="772" spans="1:8" x14ac:dyDescent="0.2">
      <c r="A772" s="50" t="s">
        <v>1780</v>
      </c>
      <c r="B772" s="50" t="s">
        <v>1781</v>
      </c>
      <c r="C772" s="50" t="s">
        <v>1624</v>
      </c>
      <c r="D772" s="50" t="s">
        <v>1624</v>
      </c>
      <c r="E772" s="50" t="s">
        <v>1625</v>
      </c>
      <c r="F772" s="50" t="s">
        <v>1626</v>
      </c>
      <c r="G772" s="50" t="s">
        <v>1627</v>
      </c>
      <c r="H772" s="50" t="s">
        <v>1628</v>
      </c>
    </row>
    <row r="773" spans="1:8" x14ac:dyDescent="0.2">
      <c r="A773" s="50" t="s">
        <v>1782</v>
      </c>
      <c r="B773" s="50" t="s">
        <v>1783</v>
      </c>
      <c r="C773" s="50" t="s">
        <v>1624</v>
      </c>
      <c r="D773" s="50" t="s">
        <v>1624</v>
      </c>
      <c r="E773" s="50" t="s">
        <v>1625</v>
      </c>
      <c r="F773" s="50" t="s">
        <v>1626</v>
      </c>
      <c r="G773" s="50" t="s">
        <v>1627</v>
      </c>
      <c r="H773" s="50" t="s">
        <v>1628</v>
      </c>
    </row>
    <row r="774" spans="1:8" x14ac:dyDescent="0.2">
      <c r="A774" s="50" t="s">
        <v>1784</v>
      </c>
      <c r="B774" s="50" t="s">
        <v>1785</v>
      </c>
      <c r="C774" s="50" t="s">
        <v>1624</v>
      </c>
      <c r="D774" s="50" t="s">
        <v>1624</v>
      </c>
      <c r="E774" s="50" t="s">
        <v>1625</v>
      </c>
      <c r="F774" s="50" t="s">
        <v>1626</v>
      </c>
      <c r="G774" s="50" t="s">
        <v>1627</v>
      </c>
      <c r="H774" s="50" t="s">
        <v>1628</v>
      </c>
    </row>
    <row r="775" spans="1:8" x14ac:dyDescent="0.2">
      <c r="A775" s="50" t="s">
        <v>1786</v>
      </c>
      <c r="B775" s="50" t="s">
        <v>1787</v>
      </c>
      <c r="C775" s="50" t="s">
        <v>1624</v>
      </c>
      <c r="D775" s="50" t="s">
        <v>1624</v>
      </c>
      <c r="E775" s="50" t="s">
        <v>1625</v>
      </c>
      <c r="F775" s="50" t="s">
        <v>1626</v>
      </c>
      <c r="G775" s="50" t="s">
        <v>1627</v>
      </c>
      <c r="H775" s="50" t="s">
        <v>1628</v>
      </c>
    </row>
    <row r="776" spans="1:8" x14ac:dyDescent="0.2">
      <c r="A776" s="50" t="s">
        <v>1788</v>
      </c>
      <c r="B776" s="50" t="s">
        <v>1789</v>
      </c>
      <c r="C776" s="50" t="s">
        <v>1624</v>
      </c>
      <c r="D776" s="50" t="s">
        <v>1624</v>
      </c>
      <c r="E776" s="50" t="s">
        <v>1625</v>
      </c>
      <c r="F776" s="50" t="s">
        <v>1626</v>
      </c>
      <c r="G776" s="50" t="s">
        <v>1627</v>
      </c>
      <c r="H776" s="50" t="s">
        <v>1628</v>
      </c>
    </row>
    <row r="777" spans="1:8" x14ac:dyDescent="0.2">
      <c r="A777" s="50" t="s">
        <v>1790</v>
      </c>
      <c r="B777" s="50" t="s">
        <v>1791</v>
      </c>
      <c r="C777" s="50" t="s">
        <v>1624</v>
      </c>
      <c r="D777" s="50" t="s">
        <v>1624</v>
      </c>
      <c r="E777" s="50" t="s">
        <v>1625</v>
      </c>
      <c r="F777" s="50" t="s">
        <v>1626</v>
      </c>
      <c r="G777" s="50" t="s">
        <v>1627</v>
      </c>
      <c r="H777" s="50" t="s">
        <v>1628</v>
      </c>
    </row>
    <row r="778" spans="1:8" x14ac:dyDescent="0.2">
      <c r="A778" s="50" t="s">
        <v>1792</v>
      </c>
      <c r="B778" s="50" t="s">
        <v>1793</v>
      </c>
      <c r="C778" s="50" t="s">
        <v>1624</v>
      </c>
      <c r="D778" s="50" t="s">
        <v>1624</v>
      </c>
      <c r="E778" s="50" t="s">
        <v>1625</v>
      </c>
      <c r="F778" s="50" t="s">
        <v>1626</v>
      </c>
      <c r="G778" s="50" t="s">
        <v>1627</v>
      </c>
      <c r="H778" s="50" t="s">
        <v>1628</v>
      </c>
    </row>
    <row r="779" spans="1:8" x14ac:dyDescent="0.2">
      <c r="A779" s="50" t="s">
        <v>1794</v>
      </c>
      <c r="B779" s="50" t="s">
        <v>1795</v>
      </c>
      <c r="C779" s="50" t="s">
        <v>1624</v>
      </c>
      <c r="D779" s="50" t="s">
        <v>1624</v>
      </c>
      <c r="E779" s="50" t="s">
        <v>1625</v>
      </c>
      <c r="F779" s="50" t="s">
        <v>1626</v>
      </c>
      <c r="G779" s="50" t="s">
        <v>1627</v>
      </c>
      <c r="H779" s="50" t="s">
        <v>1628</v>
      </c>
    </row>
    <row r="780" spans="1:8" x14ac:dyDescent="0.2">
      <c r="A780" s="50" t="s">
        <v>1796</v>
      </c>
      <c r="B780" s="50" t="s">
        <v>2332</v>
      </c>
      <c r="C780" s="50" t="s">
        <v>1624</v>
      </c>
      <c r="D780" s="50" t="s">
        <v>1624</v>
      </c>
      <c r="E780" s="50" t="s">
        <v>1625</v>
      </c>
      <c r="F780" s="50" t="s">
        <v>1626</v>
      </c>
      <c r="G780" s="50" t="s">
        <v>1627</v>
      </c>
      <c r="H780" s="50" t="s">
        <v>1628</v>
      </c>
    </row>
    <row r="781" spans="1:8" x14ac:dyDescent="0.2">
      <c r="A781" s="50" t="s">
        <v>1797</v>
      </c>
      <c r="B781" s="50" t="s">
        <v>1798</v>
      </c>
      <c r="C781" s="50" t="s">
        <v>1624</v>
      </c>
      <c r="D781" s="50" t="s">
        <v>1624</v>
      </c>
      <c r="E781" s="50" t="s">
        <v>1625</v>
      </c>
      <c r="F781" s="50" t="s">
        <v>1626</v>
      </c>
      <c r="G781" s="50" t="s">
        <v>1627</v>
      </c>
      <c r="H781" s="50" t="s">
        <v>1628</v>
      </c>
    </row>
    <row r="782" spans="1:8" x14ac:dyDescent="0.2">
      <c r="A782" s="50" t="s">
        <v>1799</v>
      </c>
      <c r="B782" s="50" t="s">
        <v>1800</v>
      </c>
      <c r="C782" s="50" t="s">
        <v>1624</v>
      </c>
      <c r="D782" s="50" t="s">
        <v>1624</v>
      </c>
      <c r="E782" s="50" t="s">
        <v>1625</v>
      </c>
      <c r="F782" s="50" t="s">
        <v>1626</v>
      </c>
      <c r="G782" s="50" t="s">
        <v>1627</v>
      </c>
      <c r="H782" s="50" t="s">
        <v>1628</v>
      </c>
    </row>
    <row r="783" spans="1:8" x14ac:dyDescent="0.2">
      <c r="A783" s="50" t="s">
        <v>1801</v>
      </c>
      <c r="B783" s="50" t="s">
        <v>1802</v>
      </c>
      <c r="C783" s="50" t="s">
        <v>1624</v>
      </c>
      <c r="D783" s="50" t="s">
        <v>1624</v>
      </c>
      <c r="E783" s="50" t="s">
        <v>1625</v>
      </c>
      <c r="F783" s="50" t="s">
        <v>1626</v>
      </c>
      <c r="G783" s="50" t="s">
        <v>1627</v>
      </c>
      <c r="H783" s="50" t="s">
        <v>1628</v>
      </c>
    </row>
    <row r="784" spans="1:8" x14ac:dyDescent="0.2">
      <c r="A784" s="50" t="s">
        <v>1803</v>
      </c>
      <c r="B784" s="50" t="s">
        <v>2333</v>
      </c>
      <c r="C784" s="50" t="s">
        <v>1624</v>
      </c>
      <c r="D784" s="50" t="s">
        <v>1624</v>
      </c>
      <c r="E784" s="50" t="s">
        <v>1625</v>
      </c>
      <c r="F784" s="50" t="s">
        <v>1626</v>
      </c>
      <c r="G784" s="50" t="s">
        <v>1627</v>
      </c>
      <c r="H784" s="50" t="s">
        <v>1628</v>
      </c>
    </row>
    <row r="785" spans="1:8" x14ac:dyDescent="0.2">
      <c r="A785" s="50" t="s">
        <v>1804</v>
      </c>
      <c r="B785" s="50" t="s">
        <v>1805</v>
      </c>
      <c r="C785" s="50" t="s">
        <v>1624</v>
      </c>
      <c r="D785" s="50" t="s">
        <v>1624</v>
      </c>
      <c r="E785" s="50" t="s">
        <v>1625</v>
      </c>
      <c r="F785" s="50" t="s">
        <v>1626</v>
      </c>
      <c r="G785" s="50" t="s">
        <v>1627</v>
      </c>
      <c r="H785" s="50" t="s">
        <v>1628</v>
      </c>
    </row>
    <row r="786" spans="1:8" x14ac:dyDescent="0.2">
      <c r="A786" s="50" t="s">
        <v>1806</v>
      </c>
      <c r="B786" s="50" t="s">
        <v>1807</v>
      </c>
      <c r="C786" s="50" t="s">
        <v>1624</v>
      </c>
      <c r="D786" s="50" t="s">
        <v>1624</v>
      </c>
      <c r="E786" s="50" t="s">
        <v>1625</v>
      </c>
      <c r="F786" s="50" t="s">
        <v>1626</v>
      </c>
      <c r="G786" s="50" t="s">
        <v>1627</v>
      </c>
      <c r="H786" s="50" t="s">
        <v>1628</v>
      </c>
    </row>
    <row r="787" spans="1:8" x14ac:dyDescent="0.2">
      <c r="A787" s="50" t="s">
        <v>1808</v>
      </c>
      <c r="B787" s="50" t="s">
        <v>1809</v>
      </c>
      <c r="C787" s="50" t="s">
        <v>1624</v>
      </c>
      <c r="D787" s="50" t="s">
        <v>1624</v>
      </c>
      <c r="E787" s="50" t="s">
        <v>1625</v>
      </c>
      <c r="F787" s="50" t="s">
        <v>1626</v>
      </c>
      <c r="G787" s="50" t="s">
        <v>1627</v>
      </c>
      <c r="H787" s="50" t="s">
        <v>1628</v>
      </c>
    </row>
    <row r="788" spans="1:8" x14ac:dyDescent="0.2">
      <c r="A788" s="50" t="s">
        <v>1810</v>
      </c>
      <c r="B788" s="50" t="s">
        <v>1811</v>
      </c>
      <c r="C788" s="50" t="s">
        <v>1812</v>
      </c>
      <c r="D788" s="50" t="s">
        <v>1624</v>
      </c>
      <c r="E788" s="50" t="s">
        <v>1625</v>
      </c>
      <c r="F788" s="50" t="s">
        <v>1626</v>
      </c>
      <c r="G788" s="50" t="s">
        <v>1627</v>
      </c>
      <c r="H788" s="50" t="s">
        <v>1628</v>
      </c>
    </row>
    <row r="789" spans="1:8" x14ac:dyDescent="0.2">
      <c r="A789" s="50" t="s">
        <v>1813</v>
      </c>
      <c r="B789" s="50" t="s">
        <v>1814</v>
      </c>
      <c r="C789" s="50" t="s">
        <v>1812</v>
      </c>
      <c r="D789" s="50" t="s">
        <v>1624</v>
      </c>
      <c r="E789" s="50" t="s">
        <v>1625</v>
      </c>
      <c r="F789" s="50" t="s">
        <v>1626</v>
      </c>
      <c r="G789" s="50" t="s">
        <v>1627</v>
      </c>
      <c r="H789" s="50" t="s">
        <v>1628</v>
      </c>
    </row>
    <row r="790" spans="1:8" x14ac:dyDescent="0.2">
      <c r="A790" s="50" t="s">
        <v>2312</v>
      </c>
      <c r="B790" s="50" t="s">
        <v>2334</v>
      </c>
      <c r="C790" s="50" t="s">
        <v>1812</v>
      </c>
      <c r="D790" s="50" t="s">
        <v>1624</v>
      </c>
      <c r="E790" s="50" t="s">
        <v>1957</v>
      </c>
      <c r="F790" s="50" t="s">
        <v>1628</v>
      </c>
      <c r="G790" s="50" t="s">
        <v>1627</v>
      </c>
      <c r="H790" s="50" t="s">
        <v>1628</v>
      </c>
    </row>
    <row r="791" spans="1:8" x14ac:dyDescent="0.2">
      <c r="A791" s="50" t="s">
        <v>2313</v>
      </c>
      <c r="B791" s="50" t="s">
        <v>2314</v>
      </c>
      <c r="C791" s="50" t="s">
        <v>1812</v>
      </c>
      <c r="D791" s="50" t="s">
        <v>1624</v>
      </c>
      <c r="E791" s="50" t="s">
        <v>1957</v>
      </c>
      <c r="F791" s="50" t="s">
        <v>1628</v>
      </c>
      <c r="G791" s="50" t="s">
        <v>1627</v>
      </c>
      <c r="H791" s="50" t="s">
        <v>1628</v>
      </c>
    </row>
    <row r="792" spans="1:8" x14ac:dyDescent="0.2">
      <c r="A792" s="50" t="s">
        <v>2315</v>
      </c>
      <c r="B792" s="50" t="s">
        <v>2316</v>
      </c>
      <c r="C792" s="50" t="s">
        <v>1812</v>
      </c>
      <c r="D792" s="50" t="s">
        <v>1624</v>
      </c>
      <c r="E792" s="50" t="s">
        <v>1625</v>
      </c>
      <c r="F792" s="50" t="s">
        <v>1626</v>
      </c>
      <c r="G792" s="50" t="s">
        <v>1627</v>
      </c>
      <c r="H792" s="50" t="s">
        <v>1628</v>
      </c>
    </row>
    <row r="793" spans="1:8" x14ac:dyDescent="0.2">
      <c r="A793" s="50" t="s">
        <v>2319</v>
      </c>
      <c r="B793" s="50" t="s">
        <v>2320</v>
      </c>
      <c r="C793" s="50" t="s">
        <v>1812</v>
      </c>
      <c r="D793" s="50" t="s">
        <v>1624</v>
      </c>
      <c r="E793" s="50" t="s">
        <v>1625</v>
      </c>
      <c r="F793" s="50" t="s">
        <v>1626</v>
      </c>
      <c r="G793" s="50" t="s">
        <v>1627</v>
      </c>
      <c r="H793" s="50" t="s">
        <v>1628</v>
      </c>
    </row>
    <row r="794" spans="1:8" x14ac:dyDescent="0.2">
      <c r="A794" s="50" t="s">
        <v>2321</v>
      </c>
      <c r="B794" s="50" t="s">
        <v>2322</v>
      </c>
      <c r="C794" s="50" t="s">
        <v>1812</v>
      </c>
      <c r="D794" s="50" t="s">
        <v>1624</v>
      </c>
      <c r="E794" s="50" t="s">
        <v>1625</v>
      </c>
      <c r="F794" s="50" t="s">
        <v>1626</v>
      </c>
      <c r="G794" s="50" t="s">
        <v>1627</v>
      </c>
      <c r="H794" s="50" t="s">
        <v>1628</v>
      </c>
    </row>
    <row r="795" spans="1:8" x14ac:dyDescent="0.2">
      <c r="A795" s="50" t="s">
        <v>2323</v>
      </c>
      <c r="B795" s="50" t="s">
        <v>2324</v>
      </c>
      <c r="C795" s="50" t="s">
        <v>1812</v>
      </c>
      <c r="D795" s="50" t="s">
        <v>1624</v>
      </c>
      <c r="E795" s="50" t="s">
        <v>1625</v>
      </c>
      <c r="F795" s="50" t="s">
        <v>1626</v>
      </c>
      <c r="G795" s="50" t="s">
        <v>1627</v>
      </c>
      <c r="H795" s="50" t="s">
        <v>1628</v>
      </c>
    </row>
    <row r="796" spans="1:8" x14ac:dyDescent="0.2">
      <c r="A796" s="50" t="s">
        <v>2325</v>
      </c>
      <c r="B796" s="50" t="s">
        <v>2326</v>
      </c>
      <c r="C796" s="50" t="s">
        <v>1812</v>
      </c>
      <c r="D796" s="50" t="s">
        <v>1624</v>
      </c>
      <c r="E796" s="50" t="s">
        <v>1625</v>
      </c>
      <c r="F796" s="50" t="s">
        <v>1626</v>
      </c>
      <c r="G796" s="50" t="s">
        <v>1627</v>
      </c>
      <c r="H796" s="50" t="s">
        <v>1628</v>
      </c>
    </row>
    <row r="797" spans="1:8" x14ac:dyDescent="0.2">
      <c r="A797" s="50" t="s">
        <v>2335</v>
      </c>
      <c r="B797" s="50" t="s">
        <v>2336</v>
      </c>
      <c r="C797" s="50" t="s">
        <v>1812</v>
      </c>
      <c r="D797" s="50" t="s">
        <v>1624</v>
      </c>
      <c r="E797" s="50" t="s">
        <v>1625</v>
      </c>
      <c r="F797" s="50" t="s">
        <v>1626</v>
      </c>
      <c r="G797" s="50" t="s">
        <v>1627</v>
      </c>
      <c r="H797" s="50" t="s">
        <v>1628</v>
      </c>
    </row>
    <row r="798" spans="1:8" x14ac:dyDescent="0.2">
      <c r="A798" s="50" t="s">
        <v>2337</v>
      </c>
      <c r="B798" s="50" t="s">
        <v>2338</v>
      </c>
      <c r="C798" s="50" t="s">
        <v>1812</v>
      </c>
      <c r="D798" s="50" t="s">
        <v>1624</v>
      </c>
      <c r="E798" s="50" t="s">
        <v>1625</v>
      </c>
      <c r="F798" s="50" t="s">
        <v>1626</v>
      </c>
      <c r="G798" s="50" t="s">
        <v>1627</v>
      </c>
      <c r="H798" s="50" t="s">
        <v>1628</v>
      </c>
    </row>
    <row r="799" spans="1:8" x14ac:dyDescent="0.2">
      <c r="A799" s="50" t="s">
        <v>2339</v>
      </c>
      <c r="B799" s="50" t="s">
        <v>2360</v>
      </c>
      <c r="C799" s="50" t="s">
        <v>1812</v>
      </c>
      <c r="D799" s="50" t="s">
        <v>1624</v>
      </c>
      <c r="E799" s="50" t="s">
        <v>1625</v>
      </c>
      <c r="F799" s="50" t="s">
        <v>1626</v>
      </c>
      <c r="G799" s="50" t="s">
        <v>1627</v>
      </c>
      <c r="H799" s="50" t="s">
        <v>1628</v>
      </c>
    </row>
    <row r="800" spans="1:8" x14ac:dyDescent="0.2">
      <c r="A800" s="50" t="s">
        <v>2340</v>
      </c>
      <c r="B800" s="50" t="s">
        <v>2341</v>
      </c>
      <c r="C800" s="50" t="s">
        <v>1812</v>
      </c>
      <c r="D800" s="50" t="s">
        <v>1624</v>
      </c>
      <c r="E800" s="50" t="s">
        <v>1625</v>
      </c>
      <c r="F800" s="50" t="s">
        <v>1626</v>
      </c>
      <c r="G800" s="50" t="s">
        <v>1627</v>
      </c>
      <c r="H800" s="50" t="s">
        <v>1628</v>
      </c>
    </row>
    <row r="801" spans="1:8" x14ac:dyDescent="0.2">
      <c r="A801" s="50" t="s">
        <v>2342</v>
      </c>
      <c r="B801" s="50" t="s">
        <v>2343</v>
      </c>
      <c r="C801" s="50" t="s">
        <v>1812</v>
      </c>
      <c r="D801" s="50" t="s">
        <v>1624</v>
      </c>
      <c r="E801" s="50" t="s">
        <v>1625</v>
      </c>
      <c r="F801" s="50" t="s">
        <v>1626</v>
      </c>
      <c r="G801" s="50" t="s">
        <v>1627</v>
      </c>
      <c r="H801" s="50" t="s">
        <v>1628</v>
      </c>
    </row>
    <row r="802" spans="1:8" x14ac:dyDescent="0.2">
      <c r="A802" s="50" t="s">
        <v>2344</v>
      </c>
      <c r="B802" s="50" t="s">
        <v>2345</v>
      </c>
      <c r="C802" s="50" t="s">
        <v>1812</v>
      </c>
      <c r="D802" s="50" t="s">
        <v>1624</v>
      </c>
      <c r="E802" s="50" t="s">
        <v>1625</v>
      </c>
      <c r="F802" s="50" t="s">
        <v>1626</v>
      </c>
      <c r="G802" s="50" t="s">
        <v>1627</v>
      </c>
      <c r="H802" s="50" t="s">
        <v>1628</v>
      </c>
    </row>
    <row r="803" spans="1:8" x14ac:dyDescent="0.2">
      <c r="A803" s="50" t="s">
        <v>2346</v>
      </c>
      <c r="B803" s="50" t="s">
        <v>2347</v>
      </c>
      <c r="C803" s="50" t="s">
        <v>1812</v>
      </c>
      <c r="D803" s="50" t="s">
        <v>1624</v>
      </c>
      <c r="E803" s="50" t="s">
        <v>1625</v>
      </c>
      <c r="F803" s="50" t="s">
        <v>1626</v>
      </c>
      <c r="G803" s="50" t="s">
        <v>1627</v>
      </c>
      <c r="H803" s="50" t="s">
        <v>1628</v>
      </c>
    </row>
    <row r="804" spans="1:8" x14ac:dyDescent="0.2">
      <c r="A804" s="50" t="s">
        <v>2348</v>
      </c>
      <c r="B804" s="50" t="s">
        <v>2349</v>
      </c>
      <c r="C804" s="50" t="s">
        <v>1812</v>
      </c>
      <c r="D804" s="50" t="s">
        <v>1624</v>
      </c>
      <c r="E804" s="50" t="s">
        <v>1625</v>
      </c>
      <c r="F804" s="50" t="s">
        <v>1626</v>
      </c>
      <c r="G804" s="50" t="s">
        <v>1627</v>
      </c>
      <c r="H804" s="50" t="s">
        <v>1628</v>
      </c>
    </row>
    <row r="805" spans="1:8" x14ac:dyDescent="0.2">
      <c r="A805" s="50" t="s">
        <v>2350</v>
      </c>
      <c r="B805" s="50" t="s">
        <v>2351</v>
      </c>
      <c r="C805" s="50" t="s">
        <v>1812</v>
      </c>
      <c r="D805" s="50" t="s">
        <v>1624</v>
      </c>
      <c r="E805" s="50" t="s">
        <v>1625</v>
      </c>
      <c r="F805" s="50" t="s">
        <v>1626</v>
      </c>
      <c r="G805" s="50" t="s">
        <v>1627</v>
      </c>
      <c r="H805" s="50" t="s">
        <v>1628</v>
      </c>
    </row>
    <row r="806" spans="1:8" x14ac:dyDescent="0.2">
      <c r="A806" s="50" t="s">
        <v>2352</v>
      </c>
      <c r="B806" s="50" t="s">
        <v>2353</v>
      </c>
      <c r="C806" s="50" t="s">
        <v>1812</v>
      </c>
      <c r="D806" s="50" t="s">
        <v>1624</v>
      </c>
      <c r="E806" s="50" t="s">
        <v>1625</v>
      </c>
      <c r="F806" s="50" t="s">
        <v>1626</v>
      </c>
      <c r="G806" s="50" t="s">
        <v>1627</v>
      </c>
      <c r="H806" s="50" t="s">
        <v>1628</v>
      </c>
    </row>
    <row r="807" spans="1:8" x14ac:dyDescent="0.2">
      <c r="A807" s="50" t="s">
        <v>2354</v>
      </c>
      <c r="B807" s="50" t="s">
        <v>2355</v>
      </c>
      <c r="C807" s="50" t="s">
        <v>1812</v>
      </c>
      <c r="D807" s="50" t="s">
        <v>1624</v>
      </c>
      <c r="E807" s="50" t="s">
        <v>1625</v>
      </c>
      <c r="F807" s="50" t="s">
        <v>1626</v>
      </c>
      <c r="G807" s="50" t="s">
        <v>1627</v>
      </c>
      <c r="H807" s="50" t="s">
        <v>1628</v>
      </c>
    </row>
    <row r="808" spans="1:8" x14ac:dyDescent="0.2">
      <c r="A808" s="50" t="s">
        <v>2356</v>
      </c>
      <c r="B808" s="50" t="s">
        <v>2357</v>
      </c>
      <c r="C808" s="50" t="s">
        <v>1812</v>
      </c>
      <c r="D808" s="50" t="s">
        <v>1624</v>
      </c>
      <c r="E808" s="50" t="s">
        <v>1625</v>
      </c>
      <c r="F808" s="50" t="s">
        <v>1626</v>
      </c>
      <c r="G808" s="50" t="s">
        <v>1627</v>
      </c>
      <c r="H808" s="50" t="s">
        <v>1628</v>
      </c>
    </row>
    <row r="809" spans="1:8" x14ac:dyDescent="0.2">
      <c r="A809" s="50" t="s">
        <v>2358</v>
      </c>
      <c r="B809" s="50" t="s">
        <v>2359</v>
      </c>
      <c r="C809" s="50" t="s">
        <v>1812</v>
      </c>
      <c r="D809" s="50" t="s">
        <v>1624</v>
      </c>
      <c r="E809" s="50" t="s">
        <v>1625</v>
      </c>
      <c r="F809" s="50" t="s">
        <v>1626</v>
      </c>
      <c r="G809" s="50" t="s">
        <v>1627</v>
      </c>
      <c r="H809" s="50" t="s">
        <v>1628</v>
      </c>
    </row>
    <row r="810" spans="1:8" x14ac:dyDescent="0.2">
      <c r="A810" s="50" t="s">
        <v>2361</v>
      </c>
      <c r="B810" s="50" t="s">
        <v>2362</v>
      </c>
      <c r="C810" s="50" t="s">
        <v>1812</v>
      </c>
      <c r="D810" s="50" t="s">
        <v>1624</v>
      </c>
      <c r="E810" s="50" t="s">
        <v>1625</v>
      </c>
      <c r="F810" s="50" t="s">
        <v>1626</v>
      </c>
      <c r="G810" s="50" t="s">
        <v>1627</v>
      </c>
      <c r="H810" s="50" t="s">
        <v>1628</v>
      </c>
    </row>
    <row r="811" spans="1:8" x14ac:dyDescent="0.2">
      <c r="A811" s="50" t="s">
        <v>2363</v>
      </c>
      <c r="B811" s="50" t="s">
        <v>2364</v>
      </c>
      <c r="C811" s="50" t="s">
        <v>1812</v>
      </c>
      <c r="D811" s="50" t="s">
        <v>1624</v>
      </c>
      <c r="E811" s="50" t="s">
        <v>1625</v>
      </c>
      <c r="F811" s="50" t="s">
        <v>1626</v>
      </c>
      <c r="G811" s="50" t="s">
        <v>1627</v>
      </c>
      <c r="H811" s="50" t="s">
        <v>1628</v>
      </c>
    </row>
    <row r="812" spans="1:8" x14ac:dyDescent="0.2">
      <c r="A812" s="50" t="s">
        <v>2365</v>
      </c>
      <c r="B812" s="50" t="s">
        <v>2366</v>
      </c>
      <c r="C812" s="50" t="s">
        <v>1812</v>
      </c>
      <c r="D812" s="50" t="s">
        <v>1624</v>
      </c>
      <c r="E812" s="50" t="s">
        <v>1625</v>
      </c>
      <c r="F812" s="50" t="s">
        <v>1626</v>
      </c>
      <c r="G812" s="50" t="s">
        <v>1627</v>
      </c>
      <c r="H812" s="50" t="s">
        <v>1628</v>
      </c>
    </row>
    <row r="813" spans="1:8" ht="13.5" thickBot="1" x14ac:dyDescent="0.25">
      <c r="A813" s="51" t="s">
        <v>2367</v>
      </c>
      <c r="B813" s="51" t="s">
        <v>2368</v>
      </c>
      <c r="C813" s="51" t="s">
        <v>1812</v>
      </c>
      <c r="D813" s="51" t="s">
        <v>1624</v>
      </c>
      <c r="E813" s="51" t="s">
        <v>1625</v>
      </c>
      <c r="F813" s="51" t="s">
        <v>1626</v>
      </c>
      <c r="G813" s="51" t="s">
        <v>1627</v>
      </c>
      <c r="H813" s="51" t="s">
        <v>1628</v>
      </c>
    </row>
  </sheetData>
  <dataValidations count="1">
    <dataValidation type="textLength" errorStyle="information" allowBlank="1" showInputMessage="1" showErrorMessage="1" error="XLBVal:8=Account Code_x000d__x000a_XLBRowCount:8=813_x000d__x000a_XLBColCount:8=8_x000d__x000a_" sqref="A1" xr:uid="{F70BB108-12A2-4810-96A1-03788253A489}">
      <formula1>0</formula1>
      <formula2>300</formula2>
    </dataValidation>
  </dataValidations>
  <pageMargins left="0.7" right="0.7" top="0.75" bottom="0.75" header="0.3" footer="0.3"/>
  <pageSetup paperSize="9" scale="47" orientation="portrait" r:id="rId1"/>
  <customProperties>
    <customPr name="QAA_DRILLPATH_NODE_ID" r:id="rId2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59FFB-E770-4C67-8F0D-60F5B7D3E719}">
  <sheetPr codeName="Sheet8" filterMode="1"/>
  <dimension ref="A1:H810"/>
  <sheetViews>
    <sheetView workbookViewId="0">
      <selection activeCell="B200" sqref="B200"/>
    </sheetView>
  </sheetViews>
  <sheetFormatPr defaultRowHeight="12.75" x14ac:dyDescent="0.2"/>
  <cols>
    <col min="1" max="1" width="13.42578125" bestFit="1" customWidth="1"/>
    <col min="2" max="2" width="48.28515625" bestFit="1" customWidth="1"/>
    <col min="3" max="3" width="12.85546875" bestFit="1" customWidth="1"/>
    <col min="4" max="4" width="7" bestFit="1" customWidth="1"/>
    <col min="5" max="5" width="13.5703125" bestFit="1" customWidth="1"/>
    <col min="6" max="6" width="34.42578125" bestFit="1" customWidth="1"/>
    <col min="7" max="7" width="13.5703125" bestFit="1" customWidth="1"/>
    <col min="8" max="8" width="34.42578125" bestFit="1" customWidth="1"/>
  </cols>
  <sheetData>
    <row r="1" spans="1:8" x14ac:dyDescent="0.2">
      <c r="A1" s="61" t="str">
        <f>[6]!QAA_SR("1,2,SS6,CA,F=WHU,K=DbC,F=&lt;ALL&gt;,K=/CA/AccTyp,F=&lt;ALL&gt;,K=/CA/Cde,E=0,O=/CA/Cde,E=0,O=/CA/Nme,E=20,O=/CA/BalOpn,E=20,O=/CA/Susp,E=0,O=/CA/A0/Cde,E=0,O=/CA/A0/8,E=0,O=/CA/A1/Cde,E=0,O=/CA/A1/8,RT=1,RF=111111011,AF=1,TP=,EA=0",)</f>
        <v>Account Code</v>
      </c>
      <c r="B1" s="61" t="s">
        <v>299</v>
      </c>
      <c r="C1" s="61" t="s">
        <v>1619</v>
      </c>
      <c r="D1" s="61" t="s">
        <v>1620</v>
      </c>
      <c r="E1" s="61" t="s">
        <v>1621</v>
      </c>
      <c r="F1" s="61" t="s">
        <v>865</v>
      </c>
      <c r="G1" s="61" t="s">
        <v>1621</v>
      </c>
      <c r="H1" s="61" t="s">
        <v>865</v>
      </c>
    </row>
    <row r="2" spans="1:8" hidden="1" x14ac:dyDescent="0.2">
      <c r="A2" s="63">
        <v>1</v>
      </c>
      <c r="B2" s="50" t="s">
        <v>1815</v>
      </c>
      <c r="C2" s="50" t="s">
        <v>1624</v>
      </c>
      <c r="D2" s="50" t="s">
        <v>1816</v>
      </c>
      <c r="E2" s="50" t="s">
        <v>1817</v>
      </c>
      <c r="F2" s="50" t="s">
        <v>1818</v>
      </c>
      <c r="G2" s="50" t="s">
        <v>1819</v>
      </c>
      <c r="H2" s="50" t="s">
        <v>1820</v>
      </c>
    </row>
    <row r="3" spans="1:8" hidden="1" x14ac:dyDescent="0.2">
      <c r="A3" s="63">
        <v>10010</v>
      </c>
      <c r="B3" s="50" t="s">
        <v>1821</v>
      </c>
      <c r="C3" s="50" t="s">
        <v>1624</v>
      </c>
      <c r="D3" s="50" t="s">
        <v>1624</v>
      </c>
      <c r="E3" s="50" t="s">
        <v>1817</v>
      </c>
      <c r="F3" s="50" t="s">
        <v>1818</v>
      </c>
      <c r="G3" s="50" t="s">
        <v>1819</v>
      </c>
      <c r="H3" s="50" t="s">
        <v>1820</v>
      </c>
    </row>
    <row r="4" spans="1:8" hidden="1" x14ac:dyDescent="0.2">
      <c r="A4" s="63">
        <v>10020</v>
      </c>
      <c r="B4" s="50" t="s">
        <v>1822</v>
      </c>
      <c r="C4" s="50" t="s">
        <v>1624</v>
      </c>
      <c r="D4" s="50" t="s">
        <v>1624</v>
      </c>
      <c r="E4" s="50" t="s">
        <v>1817</v>
      </c>
      <c r="F4" s="50" t="s">
        <v>1818</v>
      </c>
      <c r="G4" s="50" t="s">
        <v>1819</v>
      </c>
      <c r="H4" s="50" t="s">
        <v>1820</v>
      </c>
    </row>
    <row r="5" spans="1:8" hidden="1" x14ac:dyDescent="0.2">
      <c r="A5" s="63">
        <v>10030</v>
      </c>
      <c r="B5" s="50" t="s">
        <v>1823</v>
      </c>
      <c r="C5" s="50" t="s">
        <v>1624</v>
      </c>
      <c r="D5" s="50" t="s">
        <v>1624</v>
      </c>
      <c r="E5" s="50" t="s">
        <v>1817</v>
      </c>
      <c r="F5" s="50" t="s">
        <v>1818</v>
      </c>
      <c r="G5" s="50" t="s">
        <v>1819</v>
      </c>
      <c r="H5" s="50" t="s">
        <v>1820</v>
      </c>
    </row>
    <row r="6" spans="1:8" hidden="1" x14ac:dyDescent="0.2">
      <c r="A6" s="63">
        <v>10040</v>
      </c>
      <c r="B6" s="50" t="s">
        <v>1824</v>
      </c>
      <c r="C6" s="50" t="s">
        <v>1624</v>
      </c>
      <c r="D6" s="50" t="s">
        <v>1624</v>
      </c>
      <c r="E6" s="50" t="s">
        <v>1817</v>
      </c>
      <c r="F6" s="50" t="s">
        <v>1818</v>
      </c>
      <c r="G6" s="50" t="s">
        <v>1819</v>
      </c>
      <c r="H6" s="50" t="s">
        <v>1820</v>
      </c>
    </row>
    <row r="7" spans="1:8" hidden="1" x14ac:dyDescent="0.2">
      <c r="A7" s="63">
        <v>10050</v>
      </c>
      <c r="B7" s="50" t="s">
        <v>1825</v>
      </c>
      <c r="C7" s="50" t="s">
        <v>1624</v>
      </c>
      <c r="D7" s="50" t="s">
        <v>1624</v>
      </c>
      <c r="E7" s="50" t="s">
        <v>1817</v>
      </c>
      <c r="F7" s="50" t="s">
        <v>1818</v>
      </c>
      <c r="G7" s="50" t="s">
        <v>1819</v>
      </c>
      <c r="H7" s="50" t="s">
        <v>1820</v>
      </c>
    </row>
    <row r="8" spans="1:8" hidden="1" x14ac:dyDescent="0.2">
      <c r="A8" s="63">
        <v>10060</v>
      </c>
      <c r="B8" s="50" t="s">
        <v>1826</v>
      </c>
      <c r="C8" s="50" t="s">
        <v>1624</v>
      </c>
      <c r="D8" s="50" t="s">
        <v>1624</v>
      </c>
      <c r="E8" s="50" t="s">
        <v>1817</v>
      </c>
      <c r="F8" s="50" t="s">
        <v>1818</v>
      </c>
      <c r="G8" s="50" t="s">
        <v>1819</v>
      </c>
      <c r="H8" s="50" t="s">
        <v>1820</v>
      </c>
    </row>
    <row r="9" spans="1:8" hidden="1" x14ac:dyDescent="0.2">
      <c r="A9" s="63">
        <v>10070</v>
      </c>
      <c r="B9" s="50" t="s">
        <v>1827</v>
      </c>
      <c r="C9" s="50" t="s">
        <v>1624</v>
      </c>
      <c r="D9" s="50" t="s">
        <v>1624</v>
      </c>
      <c r="E9" s="50" t="s">
        <v>1817</v>
      </c>
      <c r="F9" s="50" t="s">
        <v>1818</v>
      </c>
      <c r="G9" s="50" t="s">
        <v>1819</v>
      </c>
      <c r="H9" s="50" t="s">
        <v>1820</v>
      </c>
    </row>
    <row r="10" spans="1:8" hidden="1" x14ac:dyDescent="0.2">
      <c r="A10" s="63">
        <v>10080</v>
      </c>
      <c r="B10" s="50" t="s">
        <v>1828</v>
      </c>
      <c r="C10" s="50" t="s">
        <v>1624</v>
      </c>
      <c r="D10" s="50" t="s">
        <v>1624</v>
      </c>
      <c r="E10" s="50" t="s">
        <v>1817</v>
      </c>
      <c r="F10" s="50" t="s">
        <v>1818</v>
      </c>
      <c r="G10" s="50" t="s">
        <v>1819</v>
      </c>
      <c r="H10" s="50" t="s">
        <v>1820</v>
      </c>
    </row>
    <row r="11" spans="1:8" hidden="1" x14ac:dyDescent="0.2">
      <c r="A11" s="63">
        <v>10100</v>
      </c>
      <c r="B11" s="50" t="s">
        <v>1829</v>
      </c>
      <c r="C11" s="50" t="s">
        <v>1624</v>
      </c>
      <c r="D11" s="50" t="s">
        <v>1624</v>
      </c>
      <c r="E11" s="50" t="s">
        <v>1817</v>
      </c>
      <c r="F11" s="50" t="s">
        <v>1818</v>
      </c>
      <c r="G11" s="50" t="s">
        <v>1830</v>
      </c>
      <c r="H11" s="50" t="s">
        <v>1831</v>
      </c>
    </row>
    <row r="12" spans="1:8" hidden="1" x14ac:dyDescent="0.2">
      <c r="A12" s="63">
        <v>10200</v>
      </c>
      <c r="B12" s="50" t="s">
        <v>1832</v>
      </c>
      <c r="C12" s="50" t="s">
        <v>1624</v>
      </c>
      <c r="D12" s="50" t="s">
        <v>1624</v>
      </c>
      <c r="E12" s="50" t="s">
        <v>1817</v>
      </c>
      <c r="F12" s="50" t="s">
        <v>1818</v>
      </c>
      <c r="G12" s="50" t="s">
        <v>1830</v>
      </c>
      <c r="H12" s="50" t="s">
        <v>1831</v>
      </c>
    </row>
    <row r="13" spans="1:8" hidden="1" x14ac:dyDescent="0.2">
      <c r="A13" s="63">
        <v>10300</v>
      </c>
      <c r="B13" s="50" t="s">
        <v>2304</v>
      </c>
      <c r="C13" s="50" t="s">
        <v>1624</v>
      </c>
      <c r="D13" s="50" t="s">
        <v>1624</v>
      </c>
      <c r="E13" s="50" t="s">
        <v>1817</v>
      </c>
      <c r="F13" s="50" t="s">
        <v>1818</v>
      </c>
      <c r="G13" s="50" t="s">
        <v>1830</v>
      </c>
      <c r="H13" s="50" t="s">
        <v>1831</v>
      </c>
    </row>
    <row r="14" spans="1:8" hidden="1" x14ac:dyDescent="0.2">
      <c r="A14" s="63">
        <v>10400</v>
      </c>
      <c r="B14" s="50" t="s">
        <v>1833</v>
      </c>
      <c r="C14" s="50" t="s">
        <v>1624</v>
      </c>
      <c r="D14" s="50" t="s">
        <v>1624</v>
      </c>
      <c r="E14" s="50" t="s">
        <v>1817</v>
      </c>
      <c r="F14" s="50" t="s">
        <v>1818</v>
      </c>
      <c r="G14" s="50" t="s">
        <v>1830</v>
      </c>
      <c r="H14" s="50" t="s">
        <v>1831</v>
      </c>
    </row>
    <row r="15" spans="1:8" hidden="1" x14ac:dyDescent="0.2">
      <c r="A15" s="63">
        <v>10600</v>
      </c>
      <c r="B15" s="50" t="s">
        <v>1834</v>
      </c>
      <c r="C15" s="50" t="s">
        <v>1624</v>
      </c>
      <c r="D15" s="50" t="s">
        <v>1624</v>
      </c>
      <c r="E15" s="50" t="s">
        <v>1817</v>
      </c>
      <c r="F15" s="50" t="s">
        <v>1818</v>
      </c>
      <c r="G15" s="50" t="s">
        <v>1830</v>
      </c>
      <c r="H15" s="50" t="s">
        <v>1831</v>
      </c>
    </row>
    <row r="16" spans="1:8" hidden="1" x14ac:dyDescent="0.2">
      <c r="A16" s="63">
        <v>10700</v>
      </c>
      <c r="B16" s="50" t="s">
        <v>1835</v>
      </c>
      <c r="C16" s="50" t="s">
        <v>1624</v>
      </c>
      <c r="D16" s="50" t="s">
        <v>1624</v>
      </c>
      <c r="E16" s="50" t="s">
        <v>1817</v>
      </c>
      <c r="F16" s="50" t="s">
        <v>1818</v>
      </c>
      <c r="G16" s="50" t="s">
        <v>1830</v>
      </c>
      <c r="H16" s="50" t="s">
        <v>1831</v>
      </c>
    </row>
    <row r="17" spans="1:8" hidden="1" x14ac:dyDescent="0.2">
      <c r="A17" s="63">
        <v>10800</v>
      </c>
      <c r="B17" s="50" t="s">
        <v>1836</v>
      </c>
      <c r="C17" s="50" t="s">
        <v>1624</v>
      </c>
      <c r="D17" s="50" t="s">
        <v>1624</v>
      </c>
      <c r="E17" s="50" t="s">
        <v>1817</v>
      </c>
      <c r="F17" s="50" t="s">
        <v>1818</v>
      </c>
      <c r="G17" s="50" t="s">
        <v>1830</v>
      </c>
      <c r="H17" s="50" t="s">
        <v>1831</v>
      </c>
    </row>
    <row r="18" spans="1:8" hidden="1" x14ac:dyDescent="0.2">
      <c r="A18" s="63">
        <v>11000</v>
      </c>
      <c r="B18" s="50" t="s">
        <v>1096</v>
      </c>
      <c r="C18" s="50" t="s">
        <v>1624</v>
      </c>
      <c r="D18" s="50" t="s">
        <v>1624</v>
      </c>
      <c r="E18" s="50" t="s">
        <v>1817</v>
      </c>
      <c r="F18" s="50" t="s">
        <v>1818</v>
      </c>
      <c r="G18" s="50" t="s">
        <v>1837</v>
      </c>
      <c r="H18" s="50" t="s">
        <v>1818</v>
      </c>
    </row>
    <row r="19" spans="1:8" hidden="1" x14ac:dyDescent="0.2">
      <c r="A19" s="63">
        <v>11100</v>
      </c>
      <c r="B19" s="50" t="s">
        <v>1098</v>
      </c>
      <c r="C19" s="50" t="s">
        <v>1624</v>
      </c>
      <c r="D19" s="50" t="s">
        <v>1624</v>
      </c>
      <c r="E19" s="50" t="s">
        <v>1817</v>
      </c>
      <c r="F19" s="50" t="s">
        <v>1818</v>
      </c>
      <c r="G19" s="50" t="s">
        <v>1837</v>
      </c>
      <c r="H19" s="50" t="s">
        <v>1818</v>
      </c>
    </row>
    <row r="20" spans="1:8" hidden="1" x14ac:dyDescent="0.2">
      <c r="A20" s="63">
        <v>11200</v>
      </c>
      <c r="B20" s="50" t="s">
        <v>1100</v>
      </c>
      <c r="C20" s="50" t="s">
        <v>1624</v>
      </c>
      <c r="D20" s="50" t="s">
        <v>1624</v>
      </c>
      <c r="E20" s="50" t="s">
        <v>1817</v>
      </c>
      <c r="F20" s="50" t="s">
        <v>1818</v>
      </c>
      <c r="G20" s="50" t="s">
        <v>1837</v>
      </c>
      <c r="H20" s="50" t="s">
        <v>1818</v>
      </c>
    </row>
    <row r="21" spans="1:8" hidden="1" x14ac:dyDescent="0.2">
      <c r="A21" s="63">
        <v>11300</v>
      </c>
      <c r="B21" s="50" t="s">
        <v>1102</v>
      </c>
      <c r="C21" s="50" t="s">
        <v>1624</v>
      </c>
      <c r="D21" s="50" t="s">
        <v>1624</v>
      </c>
      <c r="E21" s="50" t="s">
        <v>1817</v>
      </c>
      <c r="F21" s="50" t="s">
        <v>1818</v>
      </c>
      <c r="G21" s="50" t="s">
        <v>1837</v>
      </c>
      <c r="H21" s="50" t="s">
        <v>1818</v>
      </c>
    </row>
    <row r="22" spans="1:8" hidden="1" x14ac:dyDescent="0.2">
      <c r="A22" s="63">
        <v>11400</v>
      </c>
      <c r="B22" s="50" t="s">
        <v>1104</v>
      </c>
      <c r="C22" s="50" t="s">
        <v>1624</v>
      </c>
      <c r="D22" s="50" t="s">
        <v>1624</v>
      </c>
      <c r="E22" s="50" t="s">
        <v>1817</v>
      </c>
      <c r="F22" s="50" t="s">
        <v>1818</v>
      </c>
      <c r="G22" s="50" t="s">
        <v>1837</v>
      </c>
      <c r="H22" s="50" t="s">
        <v>1818</v>
      </c>
    </row>
    <row r="23" spans="1:8" hidden="1" x14ac:dyDescent="0.2">
      <c r="A23" s="63">
        <v>12010</v>
      </c>
      <c r="B23" s="50" t="s">
        <v>1106</v>
      </c>
      <c r="C23" s="50" t="s">
        <v>1624</v>
      </c>
      <c r="D23" s="50" t="s">
        <v>1624</v>
      </c>
      <c r="E23" s="50" t="s">
        <v>1838</v>
      </c>
      <c r="F23" s="50" t="s">
        <v>1839</v>
      </c>
      <c r="G23" s="50" t="s">
        <v>1840</v>
      </c>
      <c r="H23" s="50" t="s">
        <v>1839</v>
      </c>
    </row>
    <row r="24" spans="1:8" hidden="1" x14ac:dyDescent="0.2">
      <c r="A24" s="63">
        <v>12020</v>
      </c>
      <c r="B24" s="50" t="s">
        <v>1108</v>
      </c>
      <c r="C24" s="50" t="s">
        <v>1624</v>
      </c>
      <c r="D24" s="50" t="s">
        <v>1624</v>
      </c>
      <c r="E24" s="50" t="s">
        <v>1838</v>
      </c>
      <c r="F24" s="50" t="s">
        <v>1839</v>
      </c>
      <c r="G24" s="50" t="s">
        <v>1840</v>
      </c>
      <c r="H24" s="50" t="s">
        <v>1839</v>
      </c>
    </row>
    <row r="25" spans="1:8" hidden="1" x14ac:dyDescent="0.2">
      <c r="A25" s="63">
        <v>12030</v>
      </c>
      <c r="B25" s="50" t="s">
        <v>1114</v>
      </c>
      <c r="C25" s="50" t="s">
        <v>1624</v>
      </c>
      <c r="D25" s="50" t="s">
        <v>1624</v>
      </c>
      <c r="E25" s="50" t="s">
        <v>1838</v>
      </c>
      <c r="F25" s="50" t="s">
        <v>1839</v>
      </c>
      <c r="G25" s="50" t="s">
        <v>1840</v>
      </c>
      <c r="H25" s="50" t="s">
        <v>1839</v>
      </c>
    </row>
    <row r="26" spans="1:8" hidden="1" x14ac:dyDescent="0.2">
      <c r="A26" s="63">
        <v>12040</v>
      </c>
      <c r="B26" s="50" t="s">
        <v>1841</v>
      </c>
      <c r="C26" s="50" t="s">
        <v>1624</v>
      </c>
      <c r="D26" s="50" t="s">
        <v>1624</v>
      </c>
      <c r="E26" s="50" t="s">
        <v>1838</v>
      </c>
      <c r="F26" s="50" t="s">
        <v>1839</v>
      </c>
      <c r="G26" s="50" t="s">
        <v>1840</v>
      </c>
      <c r="H26" s="50" t="s">
        <v>1839</v>
      </c>
    </row>
    <row r="27" spans="1:8" hidden="1" x14ac:dyDescent="0.2">
      <c r="A27" s="63">
        <v>12050</v>
      </c>
      <c r="B27" s="50" t="s">
        <v>1110</v>
      </c>
      <c r="C27" s="50" t="s">
        <v>1624</v>
      </c>
      <c r="D27" s="50" t="s">
        <v>1624</v>
      </c>
      <c r="E27" s="50" t="s">
        <v>1838</v>
      </c>
      <c r="F27" s="50" t="s">
        <v>1839</v>
      </c>
      <c r="G27" s="50" t="s">
        <v>1840</v>
      </c>
      <c r="H27" s="50" t="s">
        <v>1839</v>
      </c>
    </row>
    <row r="28" spans="1:8" hidden="1" x14ac:dyDescent="0.2">
      <c r="A28" s="63">
        <v>12060</v>
      </c>
      <c r="B28" s="50" t="s">
        <v>1116</v>
      </c>
      <c r="C28" s="50" t="s">
        <v>1624</v>
      </c>
      <c r="D28" s="50" t="s">
        <v>1624</v>
      </c>
      <c r="E28" s="50" t="s">
        <v>1838</v>
      </c>
      <c r="F28" s="50" t="s">
        <v>1839</v>
      </c>
      <c r="G28" s="50" t="s">
        <v>1840</v>
      </c>
      <c r="H28" s="50" t="s">
        <v>1839</v>
      </c>
    </row>
    <row r="29" spans="1:8" hidden="1" x14ac:dyDescent="0.2">
      <c r="A29" s="63">
        <v>12070</v>
      </c>
      <c r="B29" s="50" t="s">
        <v>1118</v>
      </c>
      <c r="C29" s="50" t="s">
        <v>1624</v>
      </c>
      <c r="D29" s="50" t="s">
        <v>1624</v>
      </c>
      <c r="E29" s="50" t="s">
        <v>1838</v>
      </c>
      <c r="F29" s="50" t="s">
        <v>1839</v>
      </c>
      <c r="G29" s="50" t="s">
        <v>1840</v>
      </c>
      <c r="H29" s="50" t="s">
        <v>1839</v>
      </c>
    </row>
    <row r="30" spans="1:8" hidden="1" x14ac:dyDescent="0.2">
      <c r="A30" s="63">
        <v>12080</v>
      </c>
      <c r="B30" s="50" t="s">
        <v>1120</v>
      </c>
      <c r="C30" s="50" t="s">
        <v>1624</v>
      </c>
      <c r="D30" s="50" t="s">
        <v>1624</v>
      </c>
      <c r="E30" s="50" t="s">
        <v>1838</v>
      </c>
      <c r="F30" s="50" t="s">
        <v>1839</v>
      </c>
      <c r="G30" s="50" t="s">
        <v>1840</v>
      </c>
      <c r="H30" s="50" t="s">
        <v>1839</v>
      </c>
    </row>
    <row r="31" spans="1:8" hidden="1" x14ac:dyDescent="0.2">
      <c r="A31" s="63">
        <v>12090</v>
      </c>
      <c r="B31" s="50" t="s">
        <v>1132</v>
      </c>
      <c r="C31" s="50" t="s">
        <v>1624</v>
      </c>
      <c r="D31" s="50" t="s">
        <v>1624</v>
      </c>
      <c r="E31" s="50" t="s">
        <v>1838</v>
      </c>
      <c r="F31" s="50" t="s">
        <v>1839</v>
      </c>
      <c r="G31" s="50" t="s">
        <v>1840</v>
      </c>
      <c r="H31" s="50" t="s">
        <v>1839</v>
      </c>
    </row>
    <row r="32" spans="1:8" hidden="1" x14ac:dyDescent="0.2">
      <c r="A32" s="63">
        <v>12100</v>
      </c>
      <c r="B32" s="50" t="s">
        <v>444</v>
      </c>
      <c r="C32" s="50" t="s">
        <v>1624</v>
      </c>
      <c r="D32" s="50" t="s">
        <v>1624</v>
      </c>
      <c r="E32" s="50" t="s">
        <v>1838</v>
      </c>
      <c r="F32" s="50" t="s">
        <v>1839</v>
      </c>
      <c r="G32" s="50" t="s">
        <v>1840</v>
      </c>
      <c r="H32" s="50" t="s">
        <v>1839</v>
      </c>
    </row>
    <row r="33" spans="1:8" hidden="1" x14ac:dyDescent="0.2">
      <c r="A33" s="63">
        <v>12200</v>
      </c>
      <c r="B33" s="50" t="s">
        <v>1135</v>
      </c>
      <c r="C33" s="50" t="s">
        <v>1624</v>
      </c>
      <c r="D33" s="50" t="s">
        <v>1624</v>
      </c>
      <c r="E33" s="50" t="s">
        <v>1838</v>
      </c>
      <c r="F33" s="50" t="s">
        <v>1839</v>
      </c>
      <c r="G33" s="50" t="s">
        <v>1840</v>
      </c>
      <c r="H33" s="50" t="s">
        <v>1839</v>
      </c>
    </row>
    <row r="34" spans="1:8" hidden="1" x14ac:dyDescent="0.2">
      <c r="A34" s="63">
        <v>12300</v>
      </c>
      <c r="B34" s="50" t="s">
        <v>1137</v>
      </c>
      <c r="C34" s="50" t="s">
        <v>1624</v>
      </c>
      <c r="D34" s="50" t="s">
        <v>1624</v>
      </c>
      <c r="E34" s="50" t="s">
        <v>1838</v>
      </c>
      <c r="F34" s="50" t="s">
        <v>1839</v>
      </c>
      <c r="G34" s="50" t="s">
        <v>1840</v>
      </c>
      <c r="H34" s="50" t="s">
        <v>1839</v>
      </c>
    </row>
    <row r="35" spans="1:8" hidden="1" x14ac:dyDescent="0.2">
      <c r="A35" s="63">
        <v>12400</v>
      </c>
      <c r="B35" s="50" t="s">
        <v>1139</v>
      </c>
      <c r="C35" s="50" t="s">
        <v>1624</v>
      </c>
      <c r="D35" s="50" t="s">
        <v>1624</v>
      </c>
      <c r="E35" s="50" t="s">
        <v>1838</v>
      </c>
      <c r="F35" s="50" t="s">
        <v>1839</v>
      </c>
      <c r="G35" s="50" t="s">
        <v>1840</v>
      </c>
      <c r="H35" s="50" t="s">
        <v>1839</v>
      </c>
    </row>
    <row r="36" spans="1:8" hidden="1" x14ac:dyDescent="0.2">
      <c r="A36" s="63">
        <v>13100</v>
      </c>
      <c r="B36" s="50" t="s">
        <v>1842</v>
      </c>
      <c r="C36" s="50" t="s">
        <v>1624</v>
      </c>
      <c r="D36" s="50" t="s">
        <v>1624</v>
      </c>
      <c r="E36" s="50" t="s">
        <v>1838</v>
      </c>
      <c r="F36" s="50" t="s">
        <v>1839</v>
      </c>
      <c r="G36" s="50" t="s">
        <v>1840</v>
      </c>
      <c r="H36" s="50" t="s">
        <v>1839</v>
      </c>
    </row>
    <row r="37" spans="1:8" hidden="1" x14ac:dyDescent="0.2">
      <c r="A37" s="63">
        <v>13110</v>
      </c>
      <c r="B37" s="50" t="s">
        <v>1843</v>
      </c>
      <c r="C37" s="50" t="s">
        <v>1624</v>
      </c>
      <c r="D37" s="50" t="s">
        <v>1624</v>
      </c>
      <c r="E37" s="50" t="s">
        <v>1838</v>
      </c>
      <c r="F37" s="50" t="s">
        <v>1839</v>
      </c>
      <c r="G37" s="50" t="s">
        <v>1840</v>
      </c>
      <c r="H37" s="50" t="s">
        <v>1839</v>
      </c>
    </row>
    <row r="38" spans="1:8" hidden="1" x14ac:dyDescent="0.2">
      <c r="A38" s="63">
        <v>13120</v>
      </c>
      <c r="B38" s="50" t="s">
        <v>1844</v>
      </c>
      <c r="C38" s="50" t="s">
        <v>1624</v>
      </c>
      <c r="D38" s="50" t="s">
        <v>1624</v>
      </c>
      <c r="E38" s="50" t="s">
        <v>1838</v>
      </c>
      <c r="F38" s="50" t="s">
        <v>1839</v>
      </c>
      <c r="G38" s="50" t="s">
        <v>1840</v>
      </c>
      <c r="H38" s="50" t="s">
        <v>1839</v>
      </c>
    </row>
    <row r="39" spans="1:8" hidden="1" x14ac:dyDescent="0.2">
      <c r="A39" s="63">
        <v>13130</v>
      </c>
      <c r="B39" s="50" t="s">
        <v>1845</v>
      </c>
      <c r="C39" s="50" t="s">
        <v>1624</v>
      </c>
      <c r="D39" s="50" t="s">
        <v>1624</v>
      </c>
      <c r="E39" s="50" t="s">
        <v>1838</v>
      </c>
      <c r="F39" s="50" t="s">
        <v>1839</v>
      </c>
      <c r="G39" s="50" t="s">
        <v>1840</v>
      </c>
      <c r="H39" s="50" t="s">
        <v>1839</v>
      </c>
    </row>
    <row r="40" spans="1:8" hidden="1" x14ac:dyDescent="0.2">
      <c r="A40" s="63">
        <v>13140</v>
      </c>
      <c r="B40" s="50" t="s">
        <v>1846</v>
      </c>
      <c r="C40" s="50" t="s">
        <v>1624</v>
      </c>
      <c r="D40" s="50" t="s">
        <v>1624</v>
      </c>
      <c r="E40" s="50" t="s">
        <v>1838</v>
      </c>
      <c r="F40" s="50" t="s">
        <v>1839</v>
      </c>
      <c r="G40" s="50" t="s">
        <v>1840</v>
      </c>
      <c r="H40" s="50" t="s">
        <v>1839</v>
      </c>
    </row>
    <row r="41" spans="1:8" hidden="1" x14ac:dyDescent="0.2">
      <c r="A41" s="63">
        <v>13150</v>
      </c>
      <c r="B41" s="50" t="s">
        <v>1847</v>
      </c>
      <c r="C41" s="50" t="s">
        <v>1624</v>
      </c>
      <c r="D41" s="50" t="s">
        <v>1624</v>
      </c>
      <c r="E41" s="50" t="s">
        <v>1838</v>
      </c>
      <c r="F41" s="50" t="s">
        <v>1839</v>
      </c>
      <c r="G41" s="50" t="s">
        <v>1840</v>
      </c>
      <c r="H41" s="50" t="s">
        <v>1839</v>
      </c>
    </row>
    <row r="42" spans="1:8" hidden="1" x14ac:dyDescent="0.2">
      <c r="A42" s="63">
        <v>13160</v>
      </c>
      <c r="B42" s="50" t="s">
        <v>1848</v>
      </c>
      <c r="C42" s="50" t="s">
        <v>1624</v>
      </c>
      <c r="D42" s="50" t="s">
        <v>1624</v>
      </c>
      <c r="E42" s="50" t="s">
        <v>1838</v>
      </c>
      <c r="F42" s="50" t="s">
        <v>1839</v>
      </c>
      <c r="G42" s="50" t="s">
        <v>1840</v>
      </c>
      <c r="H42" s="50" t="s">
        <v>1839</v>
      </c>
    </row>
    <row r="43" spans="1:8" hidden="1" x14ac:dyDescent="0.2">
      <c r="A43" s="63">
        <v>14010</v>
      </c>
      <c r="B43" s="50" t="s">
        <v>1849</v>
      </c>
      <c r="C43" s="50" t="s">
        <v>1624</v>
      </c>
      <c r="D43" s="50" t="s">
        <v>1624</v>
      </c>
      <c r="E43" s="50" t="s">
        <v>1850</v>
      </c>
      <c r="F43" s="50" t="s">
        <v>1851</v>
      </c>
      <c r="G43" s="50" t="s">
        <v>1852</v>
      </c>
      <c r="H43" s="50" t="s">
        <v>1851</v>
      </c>
    </row>
    <row r="44" spans="1:8" hidden="1" x14ac:dyDescent="0.2">
      <c r="A44" s="63">
        <v>14020</v>
      </c>
      <c r="B44" s="50" t="s">
        <v>1853</v>
      </c>
      <c r="C44" s="50" t="s">
        <v>1624</v>
      </c>
      <c r="D44" s="50" t="s">
        <v>1624</v>
      </c>
      <c r="E44" s="50" t="s">
        <v>1850</v>
      </c>
      <c r="F44" s="50" t="s">
        <v>1851</v>
      </c>
      <c r="G44" s="50" t="s">
        <v>1852</v>
      </c>
      <c r="H44" s="50" t="s">
        <v>1851</v>
      </c>
    </row>
    <row r="45" spans="1:8" hidden="1" x14ac:dyDescent="0.2">
      <c r="A45" s="63">
        <v>14030</v>
      </c>
      <c r="B45" s="50" t="s">
        <v>1854</v>
      </c>
      <c r="C45" s="50" t="s">
        <v>1624</v>
      </c>
      <c r="D45" s="50" t="s">
        <v>1624</v>
      </c>
      <c r="E45" s="50" t="s">
        <v>1850</v>
      </c>
      <c r="F45" s="50" t="s">
        <v>1851</v>
      </c>
      <c r="G45" s="50" t="s">
        <v>1852</v>
      </c>
      <c r="H45" s="50" t="s">
        <v>1851</v>
      </c>
    </row>
    <row r="46" spans="1:8" hidden="1" x14ac:dyDescent="0.2">
      <c r="A46" s="63">
        <v>14040</v>
      </c>
      <c r="B46" s="50" t="s">
        <v>1855</v>
      </c>
      <c r="C46" s="50" t="s">
        <v>1624</v>
      </c>
      <c r="D46" s="50" t="s">
        <v>1624</v>
      </c>
      <c r="E46" s="50" t="s">
        <v>1850</v>
      </c>
      <c r="F46" s="50" t="s">
        <v>1851</v>
      </c>
      <c r="G46" s="50" t="s">
        <v>1852</v>
      </c>
      <c r="H46" s="50" t="s">
        <v>1851</v>
      </c>
    </row>
    <row r="47" spans="1:8" hidden="1" x14ac:dyDescent="0.2">
      <c r="A47" s="63">
        <v>14050</v>
      </c>
      <c r="B47" s="50" t="s">
        <v>1856</v>
      </c>
      <c r="C47" s="50" t="s">
        <v>1624</v>
      </c>
      <c r="D47" s="50" t="s">
        <v>1624</v>
      </c>
      <c r="E47" s="50" t="s">
        <v>1850</v>
      </c>
      <c r="F47" s="50" t="s">
        <v>1851</v>
      </c>
      <c r="G47" s="50" t="s">
        <v>1852</v>
      </c>
      <c r="H47" s="50" t="s">
        <v>1851</v>
      </c>
    </row>
    <row r="48" spans="1:8" hidden="1" x14ac:dyDescent="0.2">
      <c r="A48" s="63">
        <v>14060</v>
      </c>
      <c r="B48" s="50" t="s">
        <v>1857</v>
      </c>
      <c r="C48" s="50" t="s">
        <v>1624</v>
      </c>
      <c r="D48" s="50" t="s">
        <v>1624</v>
      </c>
      <c r="E48" s="50" t="s">
        <v>1850</v>
      </c>
      <c r="F48" s="50" t="s">
        <v>1851</v>
      </c>
      <c r="G48" s="50" t="s">
        <v>1852</v>
      </c>
      <c r="H48" s="50" t="s">
        <v>1851</v>
      </c>
    </row>
    <row r="49" spans="1:8" hidden="1" x14ac:dyDescent="0.2">
      <c r="A49" s="63">
        <v>14070</v>
      </c>
      <c r="B49" s="50" t="s">
        <v>1858</v>
      </c>
      <c r="C49" s="50" t="s">
        <v>1624</v>
      </c>
      <c r="D49" s="50" t="s">
        <v>1624</v>
      </c>
      <c r="E49" s="50" t="s">
        <v>1850</v>
      </c>
      <c r="F49" s="50" t="s">
        <v>1851</v>
      </c>
      <c r="G49" s="50" t="s">
        <v>1852</v>
      </c>
      <c r="H49" s="50" t="s">
        <v>1851</v>
      </c>
    </row>
    <row r="50" spans="1:8" hidden="1" x14ac:dyDescent="0.2">
      <c r="A50" s="63">
        <v>14080</v>
      </c>
      <c r="B50" s="50" t="s">
        <v>1859</v>
      </c>
      <c r="C50" s="50" t="s">
        <v>1624</v>
      </c>
      <c r="D50" s="50" t="s">
        <v>1624</v>
      </c>
      <c r="E50" s="50" t="s">
        <v>1850</v>
      </c>
      <c r="F50" s="50" t="s">
        <v>1851</v>
      </c>
      <c r="G50" s="50" t="s">
        <v>1852</v>
      </c>
      <c r="H50" s="50" t="s">
        <v>1851</v>
      </c>
    </row>
    <row r="51" spans="1:8" hidden="1" x14ac:dyDescent="0.2">
      <c r="A51" s="63">
        <v>14090</v>
      </c>
      <c r="B51" s="50" t="s">
        <v>1860</v>
      </c>
      <c r="C51" s="50" t="s">
        <v>1624</v>
      </c>
      <c r="D51" s="50" t="s">
        <v>1624</v>
      </c>
      <c r="E51" s="50" t="s">
        <v>1850</v>
      </c>
      <c r="F51" s="50" t="s">
        <v>1851</v>
      </c>
      <c r="G51" s="50" t="s">
        <v>1852</v>
      </c>
      <c r="H51" s="50" t="s">
        <v>1851</v>
      </c>
    </row>
    <row r="52" spans="1:8" hidden="1" x14ac:dyDescent="0.2">
      <c r="A52" s="63">
        <v>14100</v>
      </c>
      <c r="B52" s="50" t="s">
        <v>1861</v>
      </c>
      <c r="C52" s="50" t="s">
        <v>1624</v>
      </c>
      <c r="D52" s="50" t="s">
        <v>1624</v>
      </c>
      <c r="E52" s="50" t="s">
        <v>1850</v>
      </c>
      <c r="F52" s="50" t="s">
        <v>1851</v>
      </c>
      <c r="G52" s="50" t="s">
        <v>1852</v>
      </c>
      <c r="H52" s="50" t="s">
        <v>1851</v>
      </c>
    </row>
    <row r="53" spans="1:8" hidden="1" x14ac:dyDescent="0.2">
      <c r="A53" s="63">
        <v>14110</v>
      </c>
      <c r="B53" s="50" t="s">
        <v>1862</v>
      </c>
      <c r="C53" s="50" t="s">
        <v>1624</v>
      </c>
      <c r="D53" s="50" t="s">
        <v>1624</v>
      </c>
      <c r="E53" s="50" t="s">
        <v>1850</v>
      </c>
      <c r="F53" s="50" t="s">
        <v>1851</v>
      </c>
      <c r="G53" s="50" t="s">
        <v>1852</v>
      </c>
      <c r="H53" s="50" t="s">
        <v>1851</v>
      </c>
    </row>
    <row r="54" spans="1:8" hidden="1" x14ac:dyDescent="0.2">
      <c r="A54" s="63">
        <v>14120</v>
      </c>
      <c r="B54" s="50" t="s">
        <v>1863</v>
      </c>
      <c r="C54" s="50" t="s">
        <v>1624</v>
      </c>
      <c r="D54" s="50" t="s">
        <v>1624</v>
      </c>
      <c r="E54" s="50" t="s">
        <v>1850</v>
      </c>
      <c r="F54" s="50" t="s">
        <v>1851</v>
      </c>
      <c r="G54" s="50" t="s">
        <v>1852</v>
      </c>
      <c r="H54" s="50" t="s">
        <v>1851</v>
      </c>
    </row>
    <row r="55" spans="1:8" hidden="1" x14ac:dyDescent="0.2">
      <c r="A55" s="63">
        <v>14130</v>
      </c>
      <c r="B55" s="50" t="s">
        <v>1864</v>
      </c>
      <c r="C55" s="50" t="s">
        <v>1624</v>
      </c>
      <c r="D55" s="50" t="s">
        <v>1624</v>
      </c>
      <c r="E55" s="50" t="s">
        <v>1850</v>
      </c>
      <c r="F55" s="50" t="s">
        <v>1851</v>
      </c>
      <c r="G55" s="50" t="s">
        <v>1852</v>
      </c>
      <c r="H55" s="50" t="s">
        <v>1851</v>
      </c>
    </row>
    <row r="56" spans="1:8" hidden="1" x14ac:dyDescent="0.2">
      <c r="A56" s="63">
        <v>14140</v>
      </c>
      <c r="B56" s="50" t="s">
        <v>1865</v>
      </c>
      <c r="C56" s="50" t="s">
        <v>1624</v>
      </c>
      <c r="D56" s="50" t="s">
        <v>1624</v>
      </c>
      <c r="E56" s="50" t="s">
        <v>1850</v>
      </c>
      <c r="F56" s="50" t="s">
        <v>1851</v>
      </c>
      <c r="G56" s="50" t="s">
        <v>1852</v>
      </c>
      <c r="H56" s="50" t="s">
        <v>1851</v>
      </c>
    </row>
    <row r="57" spans="1:8" hidden="1" x14ac:dyDescent="0.2">
      <c r="A57" s="63">
        <v>14150</v>
      </c>
      <c r="B57" s="50" t="s">
        <v>1866</v>
      </c>
      <c r="C57" s="50" t="s">
        <v>1624</v>
      </c>
      <c r="D57" s="50" t="s">
        <v>1624</v>
      </c>
      <c r="E57" s="50" t="s">
        <v>1850</v>
      </c>
      <c r="F57" s="50" t="s">
        <v>1851</v>
      </c>
      <c r="G57" s="50" t="s">
        <v>1852</v>
      </c>
      <c r="H57" s="50" t="s">
        <v>1851</v>
      </c>
    </row>
    <row r="58" spans="1:8" hidden="1" x14ac:dyDescent="0.2">
      <c r="A58" s="63">
        <v>14160</v>
      </c>
      <c r="B58" s="50" t="s">
        <v>1867</v>
      </c>
      <c r="C58" s="50" t="s">
        <v>1624</v>
      </c>
      <c r="D58" s="50" t="s">
        <v>1624</v>
      </c>
      <c r="E58" s="50" t="s">
        <v>1850</v>
      </c>
      <c r="F58" s="50" t="s">
        <v>1851</v>
      </c>
      <c r="G58" s="50" t="s">
        <v>1852</v>
      </c>
      <c r="H58" s="50" t="s">
        <v>1851</v>
      </c>
    </row>
    <row r="59" spans="1:8" hidden="1" x14ac:dyDescent="0.2">
      <c r="A59" s="63">
        <v>14170</v>
      </c>
      <c r="B59" s="50" t="s">
        <v>1868</v>
      </c>
      <c r="C59" s="50" t="s">
        <v>1624</v>
      </c>
      <c r="D59" s="50" t="s">
        <v>1624</v>
      </c>
      <c r="E59" s="50" t="s">
        <v>1850</v>
      </c>
      <c r="F59" s="50" t="s">
        <v>1851</v>
      </c>
      <c r="G59" s="50" t="s">
        <v>1852</v>
      </c>
      <c r="H59" s="50" t="s">
        <v>1851</v>
      </c>
    </row>
    <row r="60" spans="1:8" hidden="1" x14ac:dyDescent="0.2">
      <c r="A60" s="63">
        <v>14180</v>
      </c>
      <c r="B60" s="50" t="s">
        <v>1869</v>
      </c>
      <c r="C60" s="50" t="s">
        <v>1624</v>
      </c>
      <c r="D60" s="50" t="s">
        <v>1624</v>
      </c>
      <c r="E60" s="50" t="s">
        <v>1850</v>
      </c>
      <c r="F60" s="50" t="s">
        <v>1851</v>
      </c>
      <c r="G60" s="50" t="s">
        <v>1852</v>
      </c>
      <c r="H60" s="50" t="s">
        <v>1851</v>
      </c>
    </row>
    <row r="61" spans="1:8" hidden="1" x14ac:dyDescent="0.2">
      <c r="A61" s="63">
        <v>14190</v>
      </c>
      <c r="B61" s="50" t="s">
        <v>1870</v>
      </c>
      <c r="C61" s="50" t="s">
        <v>1624</v>
      </c>
      <c r="D61" s="50" t="s">
        <v>1624</v>
      </c>
      <c r="E61" s="50" t="s">
        <v>1850</v>
      </c>
      <c r="F61" s="50" t="s">
        <v>1851</v>
      </c>
      <c r="G61" s="50" t="s">
        <v>1852</v>
      </c>
      <c r="H61" s="50" t="s">
        <v>1851</v>
      </c>
    </row>
    <row r="62" spans="1:8" hidden="1" x14ac:dyDescent="0.2">
      <c r="A62" s="63">
        <v>14200</v>
      </c>
      <c r="B62" s="50" t="s">
        <v>1871</v>
      </c>
      <c r="C62" s="50" t="s">
        <v>1624</v>
      </c>
      <c r="D62" s="50" t="s">
        <v>1624</v>
      </c>
      <c r="E62" s="50" t="s">
        <v>1850</v>
      </c>
      <c r="F62" s="50" t="s">
        <v>1851</v>
      </c>
      <c r="G62" s="50" t="s">
        <v>1852</v>
      </c>
      <c r="H62" s="50" t="s">
        <v>1851</v>
      </c>
    </row>
    <row r="63" spans="1:8" hidden="1" x14ac:dyDescent="0.2">
      <c r="A63" s="63">
        <v>14300</v>
      </c>
      <c r="B63" s="50" t="s">
        <v>1872</v>
      </c>
      <c r="C63" s="50" t="s">
        <v>1624</v>
      </c>
      <c r="D63" s="50" t="s">
        <v>1624</v>
      </c>
      <c r="E63" s="50" t="s">
        <v>1850</v>
      </c>
      <c r="F63" s="50" t="s">
        <v>1851</v>
      </c>
      <c r="G63" s="50" t="s">
        <v>1852</v>
      </c>
      <c r="H63" s="50" t="s">
        <v>1851</v>
      </c>
    </row>
    <row r="64" spans="1:8" hidden="1" x14ac:dyDescent="0.2">
      <c r="A64" s="63">
        <v>14310</v>
      </c>
      <c r="B64" s="50" t="s">
        <v>1873</v>
      </c>
      <c r="C64" s="50" t="s">
        <v>1624</v>
      </c>
      <c r="D64" s="50" t="s">
        <v>1624</v>
      </c>
      <c r="E64" s="50" t="s">
        <v>1850</v>
      </c>
      <c r="F64" s="50" t="s">
        <v>1851</v>
      </c>
      <c r="G64" s="50" t="s">
        <v>1852</v>
      </c>
      <c r="H64" s="50" t="s">
        <v>1851</v>
      </c>
    </row>
    <row r="65" spans="1:8" hidden="1" x14ac:dyDescent="0.2">
      <c r="A65" s="63">
        <v>14320</v>
      </c>
      <c r="B65" s="50" t="s">
        <v>1874</v>
      </c>
      <c r="C65" s="50" t="s">
        <v>1624</v>
      </c>
      <c r="D65" s="50" t="s">
        <v>1624</v>
      </c>
      <c r="E65" s="50" t="s">
        <v>1850</v>
      </c>
      <c r="F65" s="50" t="s">
        <v>1851</v>
      </c>
      <c r="G65" s="50" t="s">
        <v>1852</v>
      </c>
      <c r="H65" s="50" t="s">
        <v>1851</v>
      </c>
    </row>
    <row r="66" spans="1:8" hidden="1" x14ac:dyDescent="0.2">
      <c r="A66" s="63">
        <v>14330</v>
      </c>
      <c r="B66" s="50" t="s">
        <v>1875</v>
      </c>
      <c r="C66" s="50" t="s">
        <v>1624</v>
      </c>
      <c r="D66" s="50" t="s">
        <v>1624</v>
      </c>
      <c r="E66" s="50" t="s">
        <v>1850</v>
      </c>
      <c r="F66" s="50" t="s">
        <v>1851</v>
      </c>
      <c r="G66" s="50" t="s">
        <v>1852</v>
      </c>
      <c r="H66" s="50" t="s">
        <v>1851</v>
      </c>
    </row>
    <row r="67" spans="1:8" hidden="1" x14ac:dyDescent="0.2">
      <c r="A67" s="63">
        <v>14340</v>
      </c>
      <c r="B67" s="50" t="s">
        <v>1876</v>
      </c>
      <c r="C67" s="50" t="s">
        <v>1624</v>
      </c>
      <c r="D67" s="50" t="s">
        <v>1624</v>
      </c>
      <c r="E67" s="50" t="s">
        <v>1850</v>
      </c>
      <c r="F67" s="50" t="s">
        <v>1851</v>
      </c>
      <c r="G67" s="50" t="s">
        <v>1852</v>
      </c>
      <c r="H67" s="50" t="s">
        <v>1851</v>
      </c>
    </row>
    <row r="68" spans="1:8" hidden="1" x14ac:dyDescent="0.2">
      <c r="A68" s="63">
        <v>14350</v>
      </c>
      <c r="B68" s="50" t="s">
        <v>1877</v>
      </c>
      <c r="C68" s="50" t="s">
        <v>1624</v>
      </c>
      <c r="D68" s="50" t="s">
        <v>1624</v>
      </c>
      <c r="E68" s="50" t="s">
        <v>1850</v>
      </c>
      <c r="F68" s="50" t="s">
        <v>1851</v>
      </c>
      <c r="G68" s="50" t="s">
        <v>1852</v>
      </c>
      <c r="H68" s="50" t="s">
        <v>1851</v>
      </c>
    </row>
    <row r="69" spans="1:8" hidden="1" x14ac:dyDescent="0.2">
      <c r="A69" s="63">
        <v>14360</v>
      </c>
      <c r="B69" s="50" t="s">
        <v>1878</v>
      </c>
      <c r="C69" s="50" t="s">
        <v>1624</v>
      </c>
      <c r="D69" s="50" t="s">
        <v>1624</v>
      </c>
      <c r="E69" s="50" t="s">
        <v>1850</v>
      </c>
      <c r="F69" s="50" t="s">
        <v>1851</v>
      </c>
      <c r="G69" s="50" t="s">
        <v>1852</v>
      </c>
      <c r="H69" s="50" t="s">
        <v>1851</v>
      </c>
    </row>
    <row r="70" spans="1:8" hidden="1" x14ac:dyDescent="0.2">
      <c r="A70" s="63">
        <v>14370</v>
      </c>
      <c r="B70" s="50" t="s">
        <v>1879</v>
      </c>
      <c r="C70" s="50" t="s">
        <v>1624</v>
      </c>
      <c r="D70" s="50" t="s">
        <v>1624</v>
      </c>
      <c r="E70" s="50" t="s">
        <v>1850</v>
      </c>
      <c r="F70" s="50" t="s">
        <v>1851</v>
      </c>
      <c r="G70" s="50" t="s">
        <v>1852</v>
      </c>
      <c r="H70" s="50" t="s">
        <v>1851</v>
      </c>
    </row>
    <row r="71" spans="1:8" hidden="1" x14ac:dyDescent="0.2">
      <c r="A71" s="63">
        <v>14380</v>
      </c>
      <c r="B71" s="50" t="s">
        <v>1880</v>
      </c>
      <c r="C71" s="50" t="s">
        <v>1624</v>
      </c>
      <c r="D71" s="50" t="s">
        <v>1624</v>
      </c>
      <c r="E71" s="50" t="s">
        <v>1850</v>
      </c>
      <c r="F71" s="50" t="s">
        <v>1851</v>
      </c>
      <c r="G71" s="50" t="s">
        <v>1852</v>
      </c>
      <c r="H71" s="50" t="s">
        <v>1851</v>
      </c>
    </row>
    <row r="72" spans="1:8" hidden="1" x14ac:dyDescent="0.2">
      <c r="A72" s="63">
        <v>14500</v>
      </c>
      <c r="B72" s="50" t="s">
        <v>1881</v>
      </c>
      <c r="C72" s="50" t="s">
        <v>1624</v>
      </c>
      <c r="D72" s="50" t="s">
        <v>1624</v>
      </c>
      <c r="E72" s="50" t="s">
        <v>1850</v>
      </c>
      <c r="F72" s="50" t="s">
        <v>1851</v>
      </c>
      <c r="G72" s="50" t="s">
        <v>1852</v>
      </c>
      <c r="H72" s="50" t="s">
        <v>1851</v>
      </c>
    </row>
    <row r="73" spans="1:8" ht="25.5" hidden="1" x14ac:dyDescent="0.2">
      <c r="A73" s="63">
        <v>15010</v>
      </c>
      <c r="B73" s="62" t="s">
        <v>2327</v>
      </c>
      <c r="C73" s="50" t="s">
        <v>1624</v>
      </c>
      <c r="D73" s="50" t="s">
        <v>1624</v>
      </c>
      <c r="E73" s="50" t="s">
        <v>1882</v>
      </c>
      <c r="F73" s="50" t="s">
        <v>1883</v>
      </c>
      <c r="G73" s="50" t="s">
        <v>1884</v>
      </c>
      <c r="H73" s="50" t="s">
        <v>1883</v>
      </c>
    </row>
    <row r="74" spans="1:8" hidden="1" x14ac:dyDescent="0.2">
      <c r="A74" s="63">
        <v>15020</v>
      </c>
      <c r="B74" s="50" t="s">
        <v>1885</v>
      </c>
      <c r="C74" s="50" t="s">
        <v>1624</v>
      </c>
      <c r="D74" s="50" t="s">
        <v>1624</v>
      </c>
      <c r="E74" s="50" t="s">
        <v>1882</v>
      </c>
      <c r="F74" s="50" t="s">
        <v>1883</v>
      </c>
      <c r="G74" s="50" t="s">
        <v>1884</v>
      </c>
      <c r="H74" s="50" t="s">
        <v>1883</v>
      </c>
    </row>
    <row r="75" spans="1:8" hidden="1" x14ac:dyDescent="0.2">
      <c r="A75" s="63">
        <v>15030</v>
      </c>
      <c r="B75" s="50" t="s">
        <v>1886</v>
      </c>
      <c r="C75" s="50" t="s">
        <v>1624</v>
      </c>
      <c r="D75" s="50" t="s">
        <v>1624</v>
      </c>
      <c r="E75" s="50" t="s">
        <v>1882</v>
      </c>
      <c r="F75" s="50" t="s">
        <v>1883</v>
      </c>
      <c r="G75" s="50" t="s">
        <v>1884</v>
      </c>
      <c r="H75" s="50" t="s">
        <v>1883</v>
      </c>
    </row>
    <row r="76" spans="1:8" hidden="1" x14ac:dyDescent="0.2">
      <c r="A76" s="63">
        <v>15040</v>
      </c>
      <c r="B76" s="50" t="s">
        <v>1887</v>
      </c>
      <c r="C76" s="50" t="s">
        <v>1624</v>
      </c>
      <c r="D76" s="50" t="s">
        <v>1624</v>
      </c>
      <c r="E76" s="50" t="s">
        <v>1882</v>
      </c>
      <c r="F76" s="50" t="s">
        <v>1883</v>
      </c>
      <c r="G76" s="50" t="s">
        <v>1884</v>
      </c>
      <c r="H76" s="50" t="s">
        <v>1883</v>
      </c>
    </row>
    <row r="77" spans="1:8" hidden="1" x14ac:dyDescent="0.2">
      <c r="A77" s="63">
        <v>15050</v>
      </c>
      <c r="B77" s="50" t="s">
        <v>1888</v>
      </c>
      <c r="C77" s="50" t="s">
        <v>1624</v>
      </c>
      <c r="D77" s="50" t="s">
        <v>1624</v>
      </c>
      <c r="E77" s="50" t="s">
        <v>1882</v>
      </c>
      <c r="F77" s="50" t="s">
        <v>1883</v>
      </c>
      <c r="G77" s="50" t="s">
        <v>1884</v>
      </c>
      <c r="H77" s="50" t="s">
        <v>1883</v>
      </c>
    </row>
    <row r="78" spans="1:8" hidden="1" x14ac:dyDescent="0.2">
      <c r="A78" s="63">
        <v>15060</v>
      </c>
      <c r="B78" s="50" t="s">
        <v>1889</v>
      </c>
      <c r="C78" s="50" t="s">
        <v>1624</v>
      </c>
      <c r="D78" s="50" t="s">
        <v>1624</v>
      </c>
      <c r="E78" s="50" t="s">
        <v>1882</v>
      </c>
      <c r="F78" s="50" t="s">
        <v>1883</v>
      </c>
      <c r="G78" s="50" t="s">
        <v>1884</v>
      </c>
      <c r="H78" s="50" t="s">
        <v>1883</v>
      </c>
    </row>
    <row r="79" spans="1:8" hidden="1" x14ac:dyDescent="0.2">
      <c r="A79" s="63">
        <v>15080</v>
      </c>
      <c r="B79" s="50" t="s">
        <v>1890</v>
      </c>
      <c r="C79" s="50" t="s">
        <v>1624</v>
      </c>
      <c r="D79" s="50" t="s">
        <v>1624</v>
      </c>
      <c r="E79" s="50" t="s">
        <v>1882</v>
      </c>
      <c r="F79" s="50" t="s">
        <v>1883</v>
      </c>
      <c r="G79" s="50" t="s">
        <v>1884</v>
      </c>
      <c r="H79" s="50" t="s">
        <v>1883</v>
      </c>
    </row>
    <row r="80" spans="1:8" hidden="1" x14ac:dyDescent="0.2">
      <c r="A80" s="63">
        <v>15090</v>
      </c>
      <c r="B80" s="50" t="s">
        <v>1891</v>
      </c>
      <c r="C80" s="50" t="s">
        <v>1624</v>
      </c>
      <c r="D80" s="50" t="s">
        <v>1624</v>
      </c>
      <c r="E80" s="50" t="s">
        <v>1882</v>
      </c>
      <c r="F80" s="50" t="s">
        <v>1883</v>
      </c>
      <c r="G80" s="50" t="s">
        <v>1884</v>
      </c>
      <c r="H80" s="50" t="s">
        <v>1883</v>
      </c>
    </row>
    <row r="81" spans="1:8" hidden="1" x14ac:dyDescent="0.2">
      <c r="A81" s="63">
        <v>15100</v>
      </c>
      <c r="B81" s="50" t="s">
        <v>1892</v>
      </c>
      <c r="C81" s="50" t="s">
        <v>1624</v>
      </c>
      <c r="D81" s="50" t="s">
        <v>1624</v>
      </c>
      <c r="E81" s="50" t="s">
        <v>1882</v>
      </c>
      <c r="F81" s="50" t="s">
        <v>1883</v>
      </c>
      <c r="G81" s="50" t="s">
        <v>1884</v>
      </c>
      <c r="H81" s="50" t="s">
        <v>1883</v>
      </c>
    </row>
    <row r="82" spans="1:8" hidden="1" x14ac:dyDescent="0.2">
      <c r="A82" s="63">
        <v>15120</v>
      </c>
      <c r="B82" s="50" t="s">
        <v>1893</v>
      </c>
      <c r="C82" s="50" t="s">
        <v>1624</v>
      </c>
      <c r="D82" s="50" t="s">
        <v>1624</v>
      </c>
      <c r="E82" s="50" t="s">
        <v>1882</v>
      </c>
      <c r="F82" s="50" t="s">
        <v>1883</v>
      </c>
      <c r="G82" s="50" t="s">
        <v>1884</v>
      </c>
      <c r="H82" s="50" t="s">
        <v>1883</v>
      </c>
    </row>
    <row r="83" spans="1:8" hidden="1" x14ac:dyDescent="0.2">
      <c r="A83" s="63">
        <v>15130</v>
      </c>
      <c r="B83" s="50" t="s">
        <v>1894</v>
      </c>
      <c r="C83" s="50" t="s">
        <v>1624</v>
      </c>
      <c r="D83" s="50" t="s">
        <v>1624</v>
      </c>
      <c r="E83" s="50" t="s">
        <v>1882</v>
      </c>
      <c r="F83" s="50" t="s">
        <v>1883</v>
      </c>
      <c r="G83" s="50" t="s">
        <v>1884</v>
      </c>
      <c r="H83" s="50" t="s">
        <v>1883</v>
      </c>
    </row>
    <row r="84" spans="1:8" hidden="1" x14ac:dyDescent="0.2">
      <c r="A84" s="63">
        <v>15140</v>
      </c>
      <c r="B84" s="50" t="s">
        <v>1895</v>
      </c>
      <c r="C84" s="50" t="s">
        <v>1624</v>
      </c>
      <c r="D84" s="50" t="s">
        <v>1624</v>
      </c>
      <c r="E84" s="50" t="s">
        <v>1882</v>
      </c>
      <c r="F84" s="50" t="s">
        <v>1883</v>
      </c>
      <c r="G84" s="50" t="s">
        <v>1884</v>
      </c>
      <c r="H84" s="50" t="s">
        <v>1883</v>
      </c>
    </row>
    <row r="85" spans="1:8" hidden="1" x14ac:dyDescent="0.2">
      <c r="A85" s="63">
        <v>15150</v>
      </c>
      <c r="B85" s="50" t="s">
        <v>1896</v>
      </c>
      <c r="C85" s="50" t="s">
        <v>1624</v>
      </c>
      <c r="D85" s="50" t="s">
        <v>1624</v>
      </c>
      <c r="E85" s="50" t="s">
        <v>1882</v>
      </c>
      <c r="F85" s="50" t="s">
        <v>1883</v>
      </c>
      <c r="G85" s="50" t="s">
        <v>1884</v>
      </c>
      <c r="H85" s="50" t="s">
        <v>1883</v>
      </c>
    </row>
    <row r="86" spans="1:8" hidden="1" x14ac:dyDescent="0.2">
      <c r="A86" s="63">
        <v>15160</v>
      </c>
      <c r="B86" s="50" t="s">
        <v>1897</v>
      </c>
      <c r="C86" s="50" t="s">
        <v>1624</v>
      </c>
      <c r="D86" s="50" t="s">
        <v>1624</v>
      </c>
      <c r="E86" s="50" t="s">
        <v>1882</v>
      </c>
      <c r="F86" s="50" t="s">
        <v>1883</v>
      </c>
      <c r="G86" s="50" t="s">
        <v>1884</v>
      </c>
      <c r="H86" s="50" t="s">
        <v>1883</v>
      </c>
    </row>
    <row r="87" spans="1:8" hidden="1" x14ac:dyDescent="0.2">
      <c r="A87" s="63">
        <v>15170</v>
      </c>
      <c r="B87" s="50" t="s">
        <v>1898</v>
      </c>
      <c r="C87" s="50" t="s">
        <v>1624</v>
      </c>
      <c r="D87" s="50" t="s">
        <v>1624</v>
      </c>
      <c r="E87" s="50" t="s">
        <v>1882</v>
      </c>
      <c r="F87" s="50" t="s">
        <v>1883</v>
      </c>
      <c r="G87" s="50" t="s">
        <v>1884</v>
      </c>
      <c r="H87" s="50" t="s">
        <v>1883</v>
      </c>
    </row>
    <row r="88" spans="1:8" hidden="1" x14ac:dyDescent="0.2">
      <c r="A88" s="63">
        <v>15180</v>
      </c>
      <c r="B88" s="50" t="s">
        <v>1899</v>
      </c>
      <c r="C88" s="50" t="s">
        <v>1624</v>
      </c>
      <c r="D88" s="50" t="s">
        <v>1624</v>
      </c>
      <c r="E88" s="50" t="s">
        <v>1882</v>
      </c>
      <c r="F88" s="50" t="s">
        <v>1883</v>
      </c>
      <c r="G88" s="50" t="s">
        <v>1884</v>
      </c>
      <c r="H88" s="50" t="s">
        <v>1883</v>
      </c>
    </row>
    <row r="89" spans="1:8" hidden="1" x14ac:dyDescent="0.2">
      <c r="A89" s="63">
        <v>15190</v>
      </c>
      <c r="B89" s="50" t="s">
        <v>1900</v>
      </c>
      <c r="C89" s="50" t="s">
        <v>1624</v>
      </c>
      <c r="D89" s="50" t="s">
        <v>1624</v>
      </c>
      <c r="E89" s="50" t="s">
        <v>1882</v>
      </c>
      <c r="F89" s="50" t="s">
        <v>1883</v>
      </c>
      <c r="G89" s="50" t="s">
        <v>1884</v>
      </c>
      <c r="H89" s="50" t="s">
        <v>1883</v>
      </c>
    </row>
    <row r="90" spans="1:8" hidden="1" x14ac:dyDescent="0.2">
      <c r="A90" s="63">
        <v>15200</v>
      </c>
      <c r="B90" s="50" t="s">
        <v>1901</v>
      </c>
      <c r="C90" s="50" t="s">
        <v>1624</v>
      </c>
      <c r="D90" s="50" t="s">
        <v>1624</v>
      </c>
      <c r="E90" s="50" t="s">
        <v>1882</v>
      </c>
      <c r="F90" s="50" t="s">
        <v>1883</v>
      </c>
      <c r="G90" s="50" t="s">
        <v>1884</v>
      </c>
      <c r="H90" s="50" t="s">
        <v>1883</v>
      </c>
    </row>
    <row r="91" spans="1:8" hidden="1" x14ac:dyDescent="0.2">
      <c r="A91" s="63">
        <v>15210</v>
      </c>
      <c r="B91" s="50" t="s">
        <v>1902</v>
      </c>
      <c r="C91" s="50" t="s">
        <v>1624</v>
      </c>
      <c r="D91" s="50" t="s">
        <v>1624</v>
      </c>
      <c r="E91" s="50" t="s">
        <v>1882</v>
      </c>
      <c r="F91" s="50" t="s">
        <v>1883</v>
      </c>
      <c r="G91" s="50" t="s">
        <v>1884</v>
      </c>
      <c r="H91" s="50" t="s">
        <v>1883</v>
      </c>
    </row>
    <row r="92" spans="1:8" hidden="1" x14ac:dyDescent="0.2">
      <c r="A92" s="63">
        <v>15220</v>
      </c>
      <c r="B92" s="50" t="s">
        <v>1903</v>
      </c>
      <c r="C92" s="50" t="s">
        <v>1624</v>
      </c>
      <c r="D92" s="50" t="s">
        <v>1624</v>
      </c>
      <c r="E92" s="50" t="s">
        <v>1882</v>
      </c>
      <c r="F92" s="50" t="s">
        <v>1883</v>
      </c>
      <c r="G92" s="50" t="s">
        <v>1884</v>
      </c>
      <c r="H92" s="50" t="s">
        <v>1883</v>
      </c>
    </row>
    <row r="93" spans="1:8" hidden="1" x14ac:dyDescent="0.2">
      <c r="A93" s="63">
        <v>15230</v>
      </c>
      <c r="B93" s="50" t="s">
        <v>1904</v>
      </c>
      <c r="C93" s="50" t="s">
        <v>1624</v>
      </c>
      <c r="D93" s="50" t="s">
        <v>1624</v>
      </c>
      <c r="E93" s="50" t="s">
        <v>1882</v>
      </c>
      <c r="F93" s="50" t="s">
        <v>1883</v>
      </c>
      <c r="G93" s="50" t="s">
        <v>1884</v>
      </c>
      <c r="H93" s="50" t="s">
        <v>1883</v>
      </c>
    </row>
    <row r="94" spans="1:8" hidden="1" x14ac:dyDescent="0.2">
      <c r="A94" s="63">
        <v>15240</v>
      </c>
      <c r="B94" s="50" t="s">
        <v>1905</v>
      </c>
      <c r="C94" s="50" t="s">
        <v>1624</v>
      </c>
      <c r="D94" s="50" t="s">
        <v>1624</v>
      </c>
      <c r="E94" s="50" t="s">
        <v>1882</v>
      </c>
      <c r="F94" s="50" t="s">
        <v>1883</v>
      </c>
      <c r="G94" s="50" t="s">
        <v>1884</v>
      </c>
      <c r="H94" s="50" t="s">
        <v>1883</v>
      </c>
    </row>
    <row r="95" spans="1:8" hidden="1" x14ac:dyDescent="0.2">
      <c r="A95" s="63">
        <v>15250</v>
      </c>
      <c r="B95" s="50" t="s">
        <v>1906</v>
      </c>
      <c r="C95" s="50" t="s">
        <v>1624</v>
      </c>
      <c r="D95" s="50" t="s">
        <v>1624</v>
      </c>
      <c r="E95" s="50" t="s">
        <v>1882</v>
      </c>
      <c r="F95" s="50" t="s">
        <v>1883</v>
      </c>
      <c r="G95" s="50" t="s">
        <v>1884</v>
      </c>
      <c r="H95" s="50" t="s">
        <v>1883</v>
      </c>
    </row>
    <row r="96" spans="1:8" hidden="1" x14ac:dyDescent="0.2">
      <c r="A96" s="63">
        <v>15260</v>
      </c>
      <c r="B96" s="50" t="s">
        <v>1907</v>
      </c>
      <c r="C96" s="50" t="s">
        <v>1624</v>
      </c>
      <c r="D96" s="50" t="s">
        <v>1624</v>
      </c>
      <c r="E96" s="50" t="s">
        <v>1882</v>
      </c>
      <c r="F96" s="50" t="s">
        <v>1883</v>
      </c>
      <c r="G96" s="50" t="s">
        <v>1884</v>
      </c>
      <c r="H96" s="50" t="s">
        <v>1883</v>
      </c>
    </row>
    <row r="97" spans="1:8" hidden="1" x14ac:dyDescent="0.2">
      <c r="A97" s="63">
        <v>16000</v>
      </c>
      <c r="B97" s="50" t="s">
        <v>1908</v>
      </c>
      <c r="C97" s="50" t="s">
        <v>1624</v>
      </c>
      <c r="D97" s="50" t="s">
        <v>1624</v>
      </c>
      <c r="E97" s="50" t="s">
        <v>1909</v>
      </c>
      <c r="F97" s="50" t="s">
        <v>1910</v>
      </c>
      <c r="G97" s="50" t="s">
        <v>1911</v>
      </c>
      <c r="H97" s="50" t="s">
        <v>1910</v>
      </c>
    </row>
    <row r="98" spans="1:8" hidden="1" x14ac:dyDescent="0.2">
      <c r="A98" s="63">
        <v>16010</v>
      </c>
      <c r="B98" s="50" t="s">
        <v>1912</v>
      </c>
      <c r="C98" s="50" t="s">
        <v>1624</v>
      </c>
      <c r="D98" s="50" t="s">
        <v>1624</v>
      </c>
      <c r="E98" s="50" t="s">
        <v>1909</v>
      </c>
      <c r="F98" s="50" t="s">
        <v>1910</v>
      </c>
      <c r="G98" s="50" t="s">
        <v>1911</v>
      </c>
      <c r="H98" s="50" t="s">
        <v>1910</v>
      </c>
    </row>
    <row r="99" spans="1:8" hidden="1" x14ac:dyDescent="0.2">
      <c r="A99" s="63">
        <v>16020</v>
      </c>
      <c r="B99" s="50" t="s">
        <v>1913</v>
      </c>
      <c r="C99" s="50" t="s">
        <v>1624</v>
      </c>
      <c r="D99" s="50" t="s">
        <v>1624</v>
      </c>
      <c r="E99" s="50" t="s">
        <v>1909</v>
      </c>
      <c r="F99" s="50" t="s">
        <v>1910</v>
      </c>
      <c r="G99" s="50" t="s">
        <v>1911</v>
      </c>
      <c r="H99" s="50" t="s">
        <v>1910</v>
      </c>
    </row>
    <row r="100" spans="1:8" hidden="1" x14ac:dyDescent="0.2">
      <c r="A100" s="63">
        <v>17000</v>
      </c>
      <c r="B100" s="50" t="s">
        <v>1914</v>
      </c>
      <c r="C100" s="50" t="s">
        <v>1624</v>
      </c>
      <c r="D100" s="50" t="s">
        <v>1624</v>
      </c>
      <c r="E100" s="50" t="s">
        <v>1915</v>
      </c>
      <c r="F100" s="50" t="s">
        <v>1916</v>
      </c>
      <c r="G100" s="50" t="s">
        <v>1917</v>
      </c>
      <c r="H100" s="50" t="s">
        <v>1918</v>
      </c>
    </row>
    <row r="101" spans="1:8" hidden="1" x14ac:dyDescent="0.2">
      <c r="A101" s="63">
        <v>17010</v>
      </c>
      <c r="B101" s="50" t="s">
        <v>1919</v>
      </c>
      <c r="C101" s="50" t="s">
        <v>1624</v>
      </c>
      <c r="D101" s="50" t="s">
        <v>1624</v>
      </c>
      <c r="E101" s="50" t="s">
        <v>1915</v>
      </c>
      <c r="F101" s="50" t="s">
        <v>1916</v>
      </c>
      <c r="G101" s="50" t="s">
        <v>1917</v>
      </c>
      <c r="H101" s="50" t="s">
        <v>1918</v>
      </c>
    </row>
    <row r="102" spans="1:8" hidden="1" x14ac:dyDescent="0.2">
      <c r="A102" s="63">
        <v>17020</v>
      </c>
      <c r="B102" s="50" t="s">
        <v>1920</v>
      </c>
      <c r="C102" s="50" t="s">
        <v>1624</v>
      </c>
      <c r="D102" s="50" t="s">
        <v>1624</v>
      </c>
      <c r="E102" s="50" t="s">
        <v>1915</v>
      </c>
      <c r="F102" s="50" t="s">
        <v>1916</v>
      </c>
      <c r="G102" s="50" t="s">
        <v>1917</v>
      </c>
      <c r="H102" s="50" t="s">
        <v>1918</v>
      </c>
    </row>
    <row r="103" spans="1:8" hidden="1" x14ac:dyDescent="0.2">
      <c r="A103" s="63">
        <v>17030</v>
      </c>
      <c r="B103" s="50" t="s">
        <v>1921</v>
      </c>
      <c r="C103" s="50" t="s">
        <v>1624</v>
      </c>
      <c r="D103" s="50" t="s">
        <v>1624</v>
      </c>
      <c r="E103" s="50" t="s">
        <v>1915</v>
      </c>
      <c r="F103" s="50" t="s">
        <v>1916</v>
      </c>
      <c r="G103" s="50" t="s">
        <v>1917</v>
      </c>
      <c r="H103" s="50" t="s">
        <v>1918</v>
      </c>
    </row>
    <row r="104" spans="1:8" hidden="1" x14ac:dyDescent="0.2">
      <c r="A104" s="63">
        <v>17040</v>
      </c>
      <c r="B104" s="50" t="s">
        <v>1922</v>
      </c>
      <c r="C104" s="50" t="s">
        <v>1624</v>
      </c>
      <c r="D104" s="50" t="s">
        <v>1624</v>
      </c>
      <c r="E104" s="50" t="s">
        <v>1915</v>
      </c>
      <c r="F104" s="50" t="s">
        <v>1916</v>
      </c>
      <c r="G104" s="50" t="s">
        <v>1917</v>
      </c>
      <c r="H104" s="50" t="s">
        <v>1918</v>
      </c>
    </row>
    <row r="105" spans="1:8" hidden="1" x14ac:dyDescent="0.2">
      <c r="A105" s="63">
        <v>17050</v>
      </c>
      <c r="B105" s="50" t="s">
        <v>1923</v>
      </c>
      <c r="C105" s="50" t="s">
        <v>1624</v>
      </c>
      <c r="D105" s="50" t="s">
        <v>1624</v>
      </c>
      <c r="E105" s="50" t="s">
        <v>1915</v>
      </c>
      <c r="F105" s="50" t="s">
        <v>1916</v>
      </c>
      <c r="G105" s="50" t="s">
        <v>1917</v>
      </c>
      <c r="H105" s="50" t="s">
        <v>1918</v>
      </c>
    </row>
    <row r="106" spans="1:8" hidden="1" x14ac:dyDescent="0.2">
      <c r="A106" s="63">
        <v>17060</v>
      </c>
      <c r="B106" s="50" t="s">
        <v>1924</v>
      </c>
      <c r="C106" s="50" t="s">
        <v>1624</v>
      </c>
      <c r="D106" s="50" t="s">
        <v>1624</v>
      </c>
      <c r="E106" s="50" t="s">
        <v>1915</v>
      </c>
      <c r="F106" s="50" t="s">
        <v>1916</v>
      </c>
      <c r="G106" s="50" t="s">
        <v>1917</v>
      </c>
      <c r="H106" s="50" t="s">
        <v>1918</v>
      </c>
    </row>
    <row r="107" spans="1:8" hidden="1" x14ac:dyDescent="0.2">
      <c r="A107" s="63">
        <v>17070</v>
      </c>
      <c r="B107" s="50" t="s">
        <v>1925</v>
      </c>
      <c r="C107" s="50" t="s">
        <v>1624</v>
      </c>
      <c r="D107" s="50" t="s">
        <v>1624</v>
      </c>
      <c r="E107" s="50" t="s">
        <v>1915</v>
      </c>
      <c r="F107" s="50" t="s">
        <v>1916</v>
      </c>
      <c r="G107" s="50" t="s">
        <v>1917</v>
      </c>
      <c r="H107" s="50" t="s">
        <v>1918</v>
      </c>
    </row>
    <row r="108" spans="1:8" hidden="1" x14ac:dyDescent="0.2">
      <c r="A108" s="63">
        <v>17080</v>
      </c>
      <c r="B108" s="50" t="s">
        <v>1926</v>
      </c>
      <c r="C108" s="50" t="s">
        <v>1624</v>
      </c>
      <c r="D108" s="50" t="s">
        <v>1624</v>
      </c>
      <c r="E108" s="50" t="s">
        <v>1915</v>
      </c>
      <c r="F108" s="50" t="s">
        <v>1916</v>
      </c>
      <c r="G108" s="50" t="s">
        <v>1917</v>
      </c>
      <c r="H108" s="50" t="s">
        <v>1918</v>
      </c>
    </row>
    <row r="109" spans="1:8" hidden="1" x14ac:dyDescent="0.2">
      <c r="A109" s="63">
        <v>17090</v>
      </c>
      <c r="B109" s="50" t="s">
        <v>1927</v>
      </c>
      <c r="C109" s="50" t="s">
        <v>1624</v>
      </c>
      <c r="D109" s="50" t="s">
        <v>1624</v>
      </c>
      <c r="E109" s="50" t="s">
        <v>1915</v>
      </c>
      <c r="F109" s="50" t="s">
        <v>1916</v>
      </c>
      <c r="G109" s="50" t="s">
        <v>1917</v>
      </c>
      <c r="H109" s="50" t="s">
        <v>1918</v>
      </c>
    </row>
    <row r="110" spans="1:8" hidden="1" x14ac:dyDescent="0.2">
      <c r="A110" s="63">
        <v>17100</v>
      </c>
      <c r="B110" s="50" t="s">
        <v>1928</v>
      </c>
      <c r="C110" s="50" t="s">
        <v>1624</v>
      </c>
      <c r="D110" s="50" t="s">
        <v>1624</v>
      </c>
      <c r="E110" s="50" t="s">
        <v>1915</v>
      </c>
      <c r="F110" s="50" t="s">
        <v>1916</v>
      </c>
      <c r="G110" s="50" t="s">
        <v>1929</v>
      </c>
      <c r="H110" s="50" t="s">
        <v>1916</v>
      </c>
    </row>
    <row r="111" spans="1:8" hidden="1" x14ac:dyDescent="0.2">
      <c r="A111" s="63">
        <v>17101</v>
      </c>
      <c r="B111" s="50" t="s">
        <v>1930</v>
      </c>
      <c r="C111" s="50" t="s">
        <v>1624</v>
      </c>
      <c r="D111" s="50" t="s">
        <v>1624</v>
      </c>
      <c r="E111" s="50" t="s">
        <v>1915</v>
      </c>
      <c r="F111" s="50" t="s">
        <v>1916</v>
      </c>
      <c r="G111" s="50" t="s">
        <v>1929</v>
      </c>
      <c r="H111" s="50" t="s">
        <v>1916</v>
      </c>
    </row>
    <row r="112" spans="1:8" hidden="1" x14ac:dyDescent="0.2">
      <c r="A112" s="63">
        <v>17102</v>
      </c>
      <c r="B112" s="50" t="s">
        <v>1931</v>
      </c>
      <c r="C112" s="50" t="s">
        <v>1624</v>
      </c>
      <c r="D112" s="50" t="s">
        <v>1624</v>
      </c>
      <c r="E112" s="50" t="s">
        <v>1915</v>
      </c>
      <c r="F112" s="50" t="s">
        <v>1916</v>
      </c>
      <c r="G112" s="50" t="s">
        <v>1929</v>
      </c>
      <c r="H112" s="50" t="s">
        <v>1916</v>
      </c>
    </row>
    <row r="113" spans="1:8" hidden="1" x14ac:dyDescent="0.2">
      <c r="A113" s="63">
        <v>17110</v>
      </c>
      <c r="B113" s="50" t="s">
        <v>1225</v>
      </c>
      <c r="C113" s="50" t="s">
        <v>1624</v>
      </c>
      <c r="D113" s="50" t="s">
        <v>1624</v>
      </c>
      <c r="E113" s="50" t="s">
        <v>1915</v>
      </c>
      <c r="F113" s="50" t="s">
        <v>1916</v>
      </c>
      <c r="G113" s="50" t="s">
        <v>1929</v>
      </c>
      <c r="H113" s="50" t="s">
        <v>1916</v>
      </c>
    </row>
    <row r="114" spans="1:8" hidden="1" x14ac:dyDescent="0.2">
      <c r="A114" s="63">
        <v>17111</v>
      </c>
      <c r="B114" s="50" t="s">
        <v>1227</v>
      </c>
      <c r="C114" s="50" t="s">
        <v>1624</v>
      </c>
      <c r="D114" s="50" t="s">
        <v>1624</v>
      </c>
      <c r="E114" s="50" t="s">
        <v>1915</v>
      </c>
      <c r="F114" s="50" t="s">
        <v>1916</v>
      </c>
      <c r="G114" s="50" t="s">
        <v>1929</v>
      </c>
      <c r="H114" s="50" t="s">
        <v>1916</v>
      </c>
    </row>
    <row r="115" spans="1:8" hidden="1" x14ac:dyDescent="0.2">
      <c r="A115" s="63">
        <v>17112</v>
      </c>
      <c r="B115" s="50" t="s">
        <v>1229</v>
      </c>
      <c r="C115" s="50" t="s">
        <v>1624</v>
      </c>
      <c r="D115" s="50" t="s">
        <v>1624</v>
      </c>
      <c r="E115" s="50" t="s">
        <v>1915</v>
      </c>
      <c r="F115" s="50" t="s">
        <v>1916</v>
      </c>
      <c r="G115" s="50" t="s">
        <v>1929</v>
      </c>
      <c r="H115" s="50" t="s">
        <v>1916</v>
      </c>
    </row>
    <row r="116" spans="1:8" hidden="1" x14ac:dyDescent="0.2">
      <c r="A116" s="63">
        <v>17700</v>
      </c>
      <c r="B116" s="50" t="s">
        <v>1932</v>
      </c>
      <c r="C116" s="50" t="s">
        <v>1624</v>
      </c>
      <c r="D116" s="50" t="s">
        <v>1624</v>
      </c>
      <c r="E116" s="50" t="s">
        <v>1915</v>
      </c>
      <c r="F116" s="50" t="s">
        <v>1916</v>
      </c>
      <c r="G116" s="50" t="s">
        <v>1929</v>
      </c>
      <c r="H116" s="50" t="s">
        <v>1916</v>
      </c>
    </row>
    <row r="117" spans="1:8" hidden="1" x14ac:dyDescent="0.2">
      <c r="A117" s="63">
        <v>17710</v>
      </c>
      <c r="B117" s="50" t="s">
        <v>1933</v>
      </c>
      <c r="C117" s="50" t="s">
        <v>1624</v>
      </c>
      <c r="D117" s="50" t="s">
        <v>1624</v>
      </c>
      <c r="E117" s="50" t="s">
        <v>1915</v>
      </c>
      <c r="F117" s="50" t="s">
        <v>1916</v>
      </c>
      <c r="G117" s="50" t="s">
        <v>1929</v>
      </c>
      <c r="H117" s="50" t="s">
        <v>1916</v>
      </c>
    </row>
    <row r="118" spans="1:8" hidden="1" x14ac:dyDescent="0.2">
      <c r="A118" s="63">
        <v>17720</v>
      </c>
      <c r="B118" s="50" t="s">
        <v>1934</v>
      </c>
      <c r="C118" s="50" t="s">
        <v>1624</v>
      </c>
      <c r="D118" s="50" t="s">
        <v>1624</v>
      </c>
      <c r="E118" s="50" t="s">
        <v>1915</v>
      </c>
      <c r="F118" s="50" t="s">
        <v>1916</v>
      </c>
      <c r="G118" s="50" t="s">
        <v>1929</v>
      </c>
      <c r="H118" s="50" t="s">
        <v>1916</v>
      </c>
    </row>
    <row r="119" spans="1:8" hidden="1" x14ac:dyDescent="0.2">
      <c r="A119" s="63">
        <v>17730</v>
      </c>
      <c r="B119" s="50" t="s">
        <v>1935</v>
      </c>
      <c r="C119" s="50" t="s">
        <v>1624</v>
      </c>
      <c r="D119" s="50" t="s">
        <v>1624</v>
      </c>
      <c r="E119" s="50" t="s">
        <v>1915</v>
      </c>
      <c r="F119" s="50" t="s">
        <v>1916</v>
      </c>
      <c r="G119" s="50" t="s">
        <v>1929</v>
      </c>
      <c r="H119" s="50" t="s">
        <v>1916</v>
      </c>
    </row>
    <row r="120" spans="1:8" hidden="1" x14ac:dyDescent="0.2">
      <c r="A120" s="63">
        <v>17740</v>
      </c>
      <c r="B120" s="50" t="s">
        <v>1936</v>
      </c>
      <c r="C120" s="50" t="s">
        <v>1624</v>
      </c>
      <c r="D120" s="50" t="s">
        <v>1624</v>
      </c>
      <c r="E120" s="50" t="s">
        <v>1915</v>
      </c>
      <c r="F120" s="50" t="s">
        <v>1916</v>
      </c>
      <c r="G120" s="50" t="s">
        <v>1929</v>
      </c>
      <c r="H120" s="50" t="s">
        <v>1916</v>
      </c>
    </row>
    <row r="121" spans="1:8" hidden="1" x14ac:dyDescent="0.2">
      <c r="A121" s="63">
        <v>17750</v>
      </c>
      <c r="B121" s="50" t="s">
        <v>1937</v>
      </c>
      <c r="C121" s="50" t="s">
        <v>1624</v>
      </c>
      <c r="D121" s="50" t="s">
        <v>1624</v>
      </c>
      <c r="E121" s="50" t="s">
        <v>1915</v>
      </c>
      <c r="F121" s="50" t="s">
        <v>1916</v>
      </c>
      <c r="G121" s="50" t="s">
        <v>1929</v>
      </c>
      <c r="H121" s="50" t="s">
        <v>1916</v>
      </c>
    </row>
    <row r="122" spans="1:8" hidden="1" x14ac:dyDescent="0.2">
      <c r="A122" s="63">
        <v>17760</v>
      </c>
      <c r="B122" s="50" t="s">
        <v>1938</v>
      </c>
      <c r="C122" s="50" t="s">
        <v>1624</v>
      </c>
      <c r="D122" s="50" t="s">
        <v>1624</v>
      </c>
      <c r="E122" s="50" t="s">
        <v>1915</v>
      </c>
      <c r="F122" s="50" t="s">
        <v>1916</v>
      </c>
      <c r="G122" s="50" t="s">
        <v>1929</v>
      </c>
      <c r="H122" s="50" t="s">
        <v>1916</v>
      </c>
    </row>
    <row r="123" spans="1:8" hidden="1" x14ac:dyDescent="0.2">
      <c r="A123" s="63">
        <v>17770</v>
      </c>
      <c r="B123" s="50" t="s">
        <v>1939</v>
      </c>
      <c r="C123" s="50" t="s">
        <v>1624</v>
      </c>
      <c r="D123" s="50" t="s">
        <v>1624</v>
      </c>
      <c r="E123" s="50" t="s">
        <v>1915</v>
      </c>
      <c r="F123" s="50" t="s">
        <v>1916</v>
      </c>
      <c r="G123" s="50" t="s">
        <v>1929</v>
      </c>
      <c r="H123" s="50" t="s">
        <v>1916</v>
      </c>
    </row>
    <row r="124" spans="1:8" hidden="1" x14ac:dyDescent="0.2">
      <c r="A124" s="63">
        <v>18100</v>
      </c>
      <c r="B124" s="50" t="s">
        <v>1231</v>
      </c>
      <c r="C124" s="50" t="s">
        <v>1624</v>
      </c>
      <c r="D124" s="50" t="s">
        <v>1624</v>
      </c>
      <c r="E124" s="50" t="s">
        <v>1940</v>
      </c>
      <c r="F124" s="50" t="s">
        <v>1941</v>
      </c>
      <c r="G124" s="50" t="s">
        <v>1942</v>
      </c>
      <c r="H124" s="50" t="s">
        <v>1943</v>
      </c>
    </row>
    <row r="125" spans="1:8" hidden="1" x14ac:dyDescent="0.2">
      <c r="A125" s="63">
        <v>18101</v>
      </c>
      <c r="B125" s="50" t="s">
        <v>1233</v>
      </c>
      <c r="C125" s="50" t="s">
        <v>1624</v>
      </c>
      <c r="D125" s="50" t="s">
        <v>1624</v>
      </c>
      <c r="E125" s="50" t="s">
        <v>1940</v>
      </c>
      <c r="F125" s="50" t="s">
        <v>1941</v>
      </c>
      <c r="G125" s="50" t="s">
        <v>1942</v>
      </c>
      <c r="H125" s="50" t="s">
        <v>1943</v>
      </c>
    </row>
    <row r="126" spans="1:8" hidden="1" x14ac:dyDescent="0.2">
      <c r="A126" s="63">
        <v>18102</v>
      </c>
      <c r="B126" s="50" t="s">
        <v>1235</v>
      </c>
      <c r="C126" s="50" t="s">
        <v>1624</v>
      </c>
      <c r="D126" s="50" t="s">
        <v>1624</v>
      </c>
      <c r="E126" s="50" t="s">
        <v>1940</v>
      </c>
      <c r="F126" s="50" t="s">
        <v>1941</v>
      </c>
      <c r="G126" s="50" t="s">
        <v>1942</v>
      </c>
      <c r="H126" s="50" t="s">
        <v>1943</v>
      </c>
    </row>
    <row r="127" spans="1:8" hidden="1" x14ac:dyDescent="0.2">
      <c r="A127" s="63">
        <v>18103</v>
      </c>
      <c r="B127" s="50" t="s">
        <v>1237</v>
      </c>
      <c r="C127" s="50" t="s">
        <v>1624</v>
      </c>
      <c r="D127" s="50" t="s">
        <v>1624</v>
      </c>
      <c r="E127" s="50" t="s">
        <v>1940</v>
      </c>
      <c r="F127" s="50" t="s">
        <v>1941</v>
      </c>
      <c r="G127" s="50" t="s">
        <v>1942</v>
      </c>
      <c r="H127" s="50" t="s">
        <v>1943</v>
      </c>
    </row>
    <row r="128" spans="1:8" hidden="1" x14ac:dyDescent="0.2">
      <c r="A128" s="63">
        <v>18104</v>
      </c>
      <c r="B128" s="50" t="s">
        <v>1239</v>
      </c>
      <c r="C128" s="50" t="s">
        <v>1624</v>
      </c>
      <c r="D128" s="50" t="s">
        <v>1624</v>
      </c>
      <c r="E128" s="50" t="s">
        <v>1940</v>
      </c>
      <c r="F128" s="50" t="s">
        <v>1941</v>
      </c>
      <c r="G128" s="50" t="s">
        <v>1942</v>
      </c>
      <c r="H128" s="50" t="s">
        <v>1943</v>
      </c>
    </row>
    <row r="129" spans="1:8" hidden="1" x14ac:dyDescent="0.2">
      <c r="A129" s="63">
        <v>18105</v>
      </c>
      <c r="B129" s="50" t="s">
        <v>294</v>
      </c>
      <c r="C129" s="50" t="s">
        <v>1624</v>
      </c>
      <c r="D129" s="50" t="s">
        <v>1624</v>
      </c>
      <c r="E129" s="50" t="s">
        <v>1940</v>
      </c>
      <c r="F129" s="50" t="s">
        <v>1941</v>
      </c>
      <c r="G129" s="50" t="s">
        <v>1942</v>
      </c>
      <c r="H129" s="50" t="s">
        <v>1943</v>
      </c>
    </row>
    <row r="130" spans="1:8" hidden="1" x14ac:dyDescent="0.2">
      <c r="A130" s="63">
        <v>18106</v>
      </c>
      <c r="B130" s="50" t="s">
        <v>1242</v>
      </c>
      <c r="C130" s="50" t="s">
        <v>1624</v>
      </c>
      <c r="D130" s="50" t="s">
        <v>1624</v>
      </c>
      <c r="E130" s="50" t="s">
        <v>1940</v>
      </c>
      <c r="F130" s="50" t="s">
        <v>1941</v>
      </c>
      <c r="G130" s="50" t="s">
        <v>1942</v>
      </c>
      <c r="H130" s="50" t="s">
        <v>1943</v>
      </c>
    </row>
    <row r="131" spans="1:8" hidden="1" x14ac:dyDescent="0.2">
      <c r="A131" s="63">
        <v>18107</v>
      </c>
      <c r="B131" s="50" t="s">
        <v>1244</v>
      </c>
      <c r="C131" s="50" t="s">
        <v>1624</v>
      </c>
      <c r="D131" s="50" t="s">
        <v>1624</v>
      </c>
      <c r="E131" s="50" t="s">
        <v>1940</v>
      </c>
      <c r="F131" s="50" t="s">
        <v>1941</v>
      </c>
      <c r="G131" s="50" t="s">
        <v>1942</v>
      </c>
      <c r="H131" s="50" t="s">
        <v>1943</v>
      </c>
    </row>
    <row r="132" spans="1:8" hidden="1" x14ac:dyDescent="0.2">
      <c r="A132" s="63">
        <v>18201</v>
      </c>
      <c r="B132" s="50" t="s">
        <v>1246</v>
      </c>
      <c r="C132" s="50" t="s">
        <v>1624</v>
      </c>
      <c r="D132" s="50" t="s">
        <v>1624</v>
      </c>
      <c r="E132" s="50" t="s">
        <v>1940</v>
      </c>
      <c r="F132" s="50" t="s">
        <v>1941</v>
      </c>
      <c r="G132" s="50" t="s">
        <v>1944</v>
      </c>
      <c r="H132" s="50" t="s">
        <v>1945</v>
      </c>
    </row>
    <row r="133" spans="1:8" hidden="1" x14ac:dyDescent="0.2">
      <c r="A133" s="63">
        <v>18202</v>
      </c>
      <c r="B133" s="50" t="s">
        <v>1248</v>
      </c>
      <c r="C133" s="50" t="s">
        <v>1624</v>
      </c>
      <c r="D133" s="50" t="s">
        <v>1624</v>
      </c>
      <c r="E133" s="50" t="s">
        <v>1940</v>
      </c>
      <c r="F133" s="50" t="s">
        <v>1941</v>
      </c>
      <c r="G133" s="50" t="s">
        <v>1944</v>
      </c>
      <c r="H133" s="50" t="s">
        <v>1945</v>
      </c>
    </row>
    <row r="134" spans="1:8" hidden="1" x14ac:dyDescent="0.2">
      <c r="A134" s="63">
        <v>18203</v>
      </c>
      <c r="B134" s="50" t="s">
        <v>1250</v>
      </c>
      <c r="C134" s="50" t="s">
        <v>1624</v>
      </c>
      <c r="D134" s="50" t="s">
        <v>1624</v>
      </c>
      <c r="E134" s="50" t="s">
        <v>1940</v>
      </c>
      <c r="F134" s="50" t="s">
        <v>1941</v>
      </c>
      <c r="G134" s="50" t="s">
        <v>1944</v>
      </c>
      <c r="H134" s="50" t="s">
        <v>1945</v>
      </c>
    </row>
    <row r="135" spans="1:8" hidden="1" x14ac:dyDescent="0.2">
      <c r="A135" s="63">
        <v>18204</v>
      </c>
      <c r="B135" s="50" t="s">
        <v>1252</v>
      </c>
      <c r="C135" s="50" t="s">
        <v>1624</v>
      </c>
      <c r="D135" s="50" t="s">
        <v>1624</v>
      </c>
      <c r="E135" s="50" t="s">
        <v>1940</v>
      </c>
      <c r="F135" s="50" t="s">
        <v>1941</v>
      </c>
      <c r="G135" s="50" t="s">
        <v>1944</v>
      </c>
      <c r="H135" s="50" t="s">
        <v>1945</v>
      </c>
    </row>
    <row r="136" spans="1:8" hidden="1" x14ac:dyDescent="0.2">
      <c r="A136" s="63">
        <v>18205</v>
      </c>
      <c r="B136" s="50" t="s">
        <v>1254</v>
      </c>
      <c r="C136" s="50" t="s">
        <v>1624</v>
      </c>
      <c r="D136" s="50" t="s">
        <v>1624</v>
      </c>
      <c r="E136" s="50" t="s">
        <v>1940</v>
      </c>
      <c r="F136" s="50" t="s">
        <v>1941</v>
      </c>
      <c r="G136" s="50" t="s">
        <v>1944</v>
      </c>
      <c r="H136" s="50" t="s">
        <v>1945</v>
      </c>
    </row>
    <row r="137" spans="1:8" hidden="1" x14ac:dyDescent="0.2">
      <c r="A137" s="63">
        <v>18206</v>
      </c>
      <c r="B137" s="50" t="s">
        <v>1256</v>
      </c>
      <c r="C137" s="50" t="s">
        <v>1624</v>
      </c>
      <c r="D137" s="50" t="s">
        <v>1624</v>
      </c>
      <c r="E137" s="50" t="s">
        <v>1940</v>
      </c>
      <c r="F137" s="50" t="s">
        <v>1941</v>
      </c>
      <c r="G137" s="50" t="s">
        <v>1944</v>
      </c>
      <c r="H137" s="50" t="s">
        <v>1945</v>
      </c>
    </row>
    <row r="138" spans="1:8" hidden="1" x14ac:dyDescent="0.2">
      <c r="A138" s="63">
        <v>18207</v>
      </c>
      <c r="B138" s="50" t="s">
        <v>1258</v>
      </c>
      <c r="C138" s="50" t="s">
        <v>1624</v>
      </c>
      <c r="D138" s="50" t="s">
        <v>1624</v>
      </c>
      <c r="E138" s="50" t="s">
        <v>1940</v>
      </c>
      <c r="F138" s="50" t="s">
        <v>1941</v>
      </c>
      <c r="G138" s="50" t="s">
        <v>1944</v>
      </c>
      <c r="H138" s="50" t="s">
        <v>1945</v>
      </c>
    </row>
    <row r="139" spans="1:8" hidden="1" x14ac:dyDescent="0.2">
      <c r="A139" s="63">
        <v>18301</v>
      </c>
      <c r="B139" s="50" t="s">
        <v>1260</v>
      </c>
      <c r="C139" s="50" t="s">
        <v>1624</v>
      </c>
      <c r="D139" s="50" t="s">
        <v>1624</v>
      </c>
      <c r="E139" s="50" t="s">
        <v>1940</v>
      </c>
      <c r="F139" s="50" t="s">
        <v>1941</v>
      </c>
      <c r="G139" s="50" t="s">
        <v>1946</v>
      </c>
      <c r="H139" s="50" t="s">
        <v>1941</v>
      </c>
    </row>
    <row r="140" spans="1:8" hidden="1" x14ac:dyDescent="0.2">
      <c r="A140" s="63">
        <v>18302</v>
      </c>
      <c r="B140" s="50" t="s">
        <v>1262</v>
      </c>
      <c r="C140" s="50" t="s">
        <v>1624</v>
      </c>
      <c r="D140" s="50" t="s">
        <v>1624</v>
      </c>
      <c r="E140" s="50" t="s">
        <v>1940</v>
      </c>
      <c r="F140" s="50" t="s">
        <v>1941</v>
      </c>
      <c r="G140" s="50" t="s">
        <v>1946</v>
      </c>
      <c r="H140" s="50" t="s">
        <v>1941</v>
      </c>
    </row>
    <row r="141" spans="1:8" hidden="1" x14ac:dyDescent="0.2">
      <c r="A141" s="63">
        <v>18303</v>
      </c>
      <c r="B141" s="50" t="s">
        <v>640</v>
      </c>
      <c r="C141" s="50" t="s">
        <v>1624</v>
      </c>
      <c r="D141" s="50" t="s">
        <v>1624</v>
      </c>
      <c r="E141" s="50" t="s">
        <v>1940</v>
      </c>
      <c r="F141" s="50" t="s">
        <v>1941</v>
      </c>
      <c r="G141" s="50" t="s">
        <v>1946</v>
      </c>
      <c r="H141" s="50" t="s">
        <v>1941</v>
      </c>
    </row>
    <row r="142" spans="1:8" hidden="1" x14ac:dyDescent="0.2">
      <c r="A142" s="63">
        <v>18304</v>
      </c>
      <c r="B142" s="50" t="s">
        <v>34</v>
      </c>
      <c r="C142" s="50" t="s">
        <v>1624</v>
      </c>
      <c r="D142" s="50" t="s">
        <v>1624</v>
      </c>
      <c r="E142" s="50" t="s">
        <v>1940</v>
      </c>
      <c r="F142" s="50" t="s">
        <v>1941</v>
      </c>
      <c r="G142" s="50" t="s">
        <v>1946</v>
      </c>
      <c r="H142" s="50" t="s">
        <v>1941</v>
      </c>
    </row>
    <row r="143" spans="1:8" hidden="1" x14ac:dyDescent="0.2">
      <c r="A143" s="63">
        <v>18305</v>
      </c>
      <c r="B143" s="50" t="s">
        <v>1266</v>
      </c>
      <c r="C143" s="50" t="s">
        <v>1624</v>
      </c>
      <c r="D143" s="50" t="s">
        <v>1624</v>
      </c>
      <c r="E143" s="50" t="s">
        <v>1940</v>
      </c>
      <c r="F143" s="50" t="s">
        <v>1941</v>
      </c>
      <c r="G143" s="50" t="s">
        <v>1946</v>
      </c>
      <c r="H143" s="50" t="s">
        <v>1941</v>
      </c>
    </row>
    <row r="144" spans="1:8" hidden="1" x14ac:dyDescent="0.2">
      <c r="A144" s="63">
        <v>18306</v>
      </c>
      <c r="B144" s="50" t="s">
        <v>1268</v>
      </c>
      <c r="C144" s="50" t="s">
        <v>1624</v>
      </c>
      <c r="D144" s="50" t="s">
        <v>1624</v>
      </c>
      <c r="E144" s="50" t="s">
        <v>1940</v>
      </c>
      <c r="F144" s="50" t="s">
        <v>1941</v>
      </c>
      <c r="G144" s="50" t="s">
        <v>1946</v>
      </c>
      <c r="H144" s="50" t="s">
        <v>1941</v>
      </c>
    </row>
    <row r="145" spans="1:8" hidden="1" x14ac:dyDescent="0.2">
      <c r="A145" s="63">
        <v>18307</v>
      </c>
      <c r="B145" s="50" t="s">
        <v>1068</v>
      </c>
      <c r="C145" s="50" t="s">
        <v>1624</v>
      </c>
      <c r="D145" s="50" t="s">
        <v>1624</v>
      </c>
      <c r="E145" s="50" t="s">
        <v>1940</v>
      </c>
      <c r="F145" s="50" t="s">
        <v>1941</v>
      </c>
      <c r="G145" s="50" t="s">
        <v>1946</v>
      </c>
      <c r="H145" s="50" t="s">
        <v>1941</v>
      </c>
    </row>
    <row r="146" spans="1:8" hidden="1" x14ac:dyDescent="0.2">
      <c r="A146" s="63">
        <v>18308</v>
      </c>
      <c r="B146" s="50" t="s">
        <v>1272</v>
      </c>
      <c r="C146" s="50" t="s">
        <v>1624</v>
      </c>
      <c r="D146" s="50" t="s">
        <v>1624</v>
      </c>
      <c r="E146" s="50" t="s">
        <v>1940</v>
      </c>
      <c r="F146" s="50" t="s">
        <v>1941</v>
      </c>
      <c r="G146" s="50" t="s">
        <v>1946</v>
      </c>
      <c r="H146" s="50" t="s">
        <v>1941</v>
      </c>
    </row>
    <row r="147" spans="1:8" hidden="1" x14ac:dyDescent="0.2">
      <c r="A147" s="63">
        <v>18309</v>
      </c>
      <c r="B147" s="50" t="s">
        <v>1274</v>
      </c>
      <c r="C147" s="50" t="s">
        <v>1624</v>
      </c>
      <c r="D147" s="50" t="s">
        <v>1624</v>
      </c>
      <c r="E147" s="50" t="s">
        <v>1940</v>
      </c>
      <c r="F147" s="50" t="s">
        <v>1941</v>
      </c>
      <c r="G147" s="50" t="s">
        <v>1946</v>
      </c>
      <c r="H147" s="50" t="s">
        <v>1941</v>
      </c>
    </row>
    <row r="148" spans="1:8" hidden="1" x14ac:dyDescent="0.2">
      <c r="A148" s="63">
        <v>18310</v>
      </c>
      <c r="B148" s="50" t="s">
        <v>1276</v>
      </c>
      <c r="C148" s="50" t="s">
        <v>1624</v>
      </c>
      <c r="D148" s="50" t="s">
        <v>1624</v>
      </c>
      <c r="E148" s="50" t="s">
        <v>1940</v>
      </c>
      <c r="F148" s="50" t="s">
        <v>1941</v>
      </c>
      <c r="G148" s="50" t="s">
        <v>1946</v>
      </c>
      <c r="H148" s="50" t="s">
        <v>1941</v>
      </c>
    </row>
    <row r="149" spans="1:8" hidden="1" x14ac:dyDescent="0.2">
      <c r="A149" s="63">
        <v>18311</v>
      </c>
      <c r="B149" s="50" t="s">
        <v>1278</v>
      </c>
      <c r="C149" s="50" t="s">
        <v>1624</v>
      </c>
      <c r="D149" s="50" t="s">
        <v>1624</v>
      </c>
      <c r="E149" s="50" t="s">
        <v>1940</v>
      </c>
      <c r="F149" s="50" t="s">
        <v>1941</v>
      </c>
      <c r="G149" s="50" t="s">
        <v>1946</v>
      </c>
      <c r="H149" s="50" t="s">
        <v>1941</v>
      </c>
    </row>
    <row r="150" spans="1:8" hidden="1" x14ac:dyDescent="0.2">
      <c r="A150" s="63">
        <v>18312</v>
      </c>
      <c r="B150" s="50" t="s">
        <v>1280</v>
      </c>
      <c r="C150" s="50" t="s">
        <v>1624</v>
      </c>
      <c r="D150" s="50" t="s">
        <v>1624</v>
      </c>
      <c r="E150" s="50" t="s">
        <v>1940</v>
      </c>
      <c r="F150" s="50" t="s">
        <v>1941</v>
      </c>
      <c r="G150" s="50" t="s">
        <v>1946</v>
      </c>
      <c r="H150" s="50" t="s">
        <v>1941</v>
      </c>
    </row>
    <row r="151" spans="1:8" hidden="1" x14ac:dyDescent="0.2">
      <c r="A151" s="63">
        <v>18313</v>
      </c>
      <c r="B151" s="50" t="s">
        <v>1282</v>
      </c>
      <c r="C151" s="50" t="s">
        <v>1624</v>
      </c>
      <c r="D151" s="50" t="s">
        <v>1624</v>
      </c>
      <c r="E151" s="50" t="s">
        <v>1940</v>
      </c>
      <c r="F151" s="50" t="s">
        <v>1941</v>
      </c>
      <c r="G151" s="50" t="s">
        <v>1946</v>
      </c>
      <c r="H151" s="50" t="s">
        <v>1941</v>
      </c>
    </row>
    <row r="152" spans="1:8" hidden="1" x14ac:dyDescent="0.2">
      <c r="A152" s="63">
        <v>18314</v>
      </c>
      <c r="B152" s="50" t="s">
        <v>1284</v>
      </c>
      <c r="C152" s="50" t="s">
        <v>1624</v>
      </c>
      <c r="D152" s="50" t="s">
        <v>1624</v>
      </c>
      <c r="E152" s="50" t="s">
        <v>1940</v>
      </c>
      <c r="F152" s="50" t="s">
        <v>1941</v>
      </c>
      <c r="G152" s="50" t="s">
        <v>1946</v>
      </c>
      <c r="H152" s="50" t="s">
        <v>1941</v>
      </c>
    </row>
    <row r="153" spans="1:8" hidden="1" x14ac:dyDescent="0.2">
      <c r="A153" s="63">
        <v>18315</v>
      </c>
      <c r="B153" s="50" t="s">
        <v>1286</v>
      </c>
      <c r="C153" s="50" t="s">
        <v>1624</v>
      </c>
      <c r="D153" s="50" t="s">
        <v>1624</v>
      </c>
      <c r="E153" s="50" t="s">
        <v>1940</v>
      </c>
      <c r="F153" s="50" t="s">
        <v>1941</v>
      </c>
      <c r="G153" s="50" t="s">
        <v>1946</v>
      </c>
      <c r="H153" s="50" t="s">
        <v>1941</v>
      </c>
    </row>
    <row r="154" spans="1:8" hidden="1" x14ac:dyDescent="0.2">
      <c r="A154" s="63">
        <v>18316</v>
      </c>
      <c r="B154" s="50" t="s">
        <v>1288</v>
      </c>
      <c r="C154" s="50" t="s">
        <v>1624</v>
      </c>
      <c r="D154" s="50" t="s">
        <v>1624</v>
      </c>
      <c r="E154" s="50" t="s">
        <v>1940</v>
      </c>
      <c r="F154" s="50" t="s">
        <v>1941</v>
      </c>
      <c r="G154" s="50" t="s">
        <v>1946</v>
      </c>
      <c r="H154" s="50" t="s">
        <v>1941</v>
      </c>
    </row>
    <row r="155" spans="1:8" hidden="1" x14ac:dyDescent="0.2">
      <c r="A155" s="63">
        <v>18500</v>
      </c>
      <c r="B155" s="50" t="s">
        <v>1947</v>
      </c>
      <c r="C155" s="50" t="s">
        <v>1624</v>
      </c>
      <c r="D155" s="50" t="s">
        <v>1624</v>
      </c>
      <c r="E155" s="50" t="s">
        <v>1940</v>
      </c>
      <c r="F155" s="50" t="s">
        <v>1941</v>
      </c>
      <c r="G155" s="50" t="s">
        <v>1946</v>
      </c>
      <c r="H155" s="50" t="s">
        <v>1941</v>
      </c>
    </row>
    <row r="156" spans="1:8" hidden="1" x14ac:dyDescent="0.2">
      <c r="A156" s="63">
        <v>19000</v>
      </c>
      <c r="B156" s="50" t="s">
        <v>1948</v>
      </c>
      <c r="C156" s="50" t="s">
        <v>1624</v>
      </c>
      <c r="D156" s="50" t="s">
        <v>1624</v>
      </c>
      <c r="E156" s="50" t="s">
        <v>1949</v>
      </c>
      <c r="F156" s="50" t="s">
        <v>1950</v>
      </c>
      <c r="G156" s="50" t="s">
        <v>1951</v>
      </c>
      <c r="H156" s="50" t="s">
        <v>1950</v>
      </c>
    </row>
    <row r="157" spans="1:8" hidden="1" x14ac:dyDescent="0.2">
      <c r="A157" s="63">
        <v>19100</v>
      </c>
      <c r="B157" s="50" t="s">
        <v>1952</v>
      </c>
      <c r="C157" s="50" t="s">
        <v>1624</v>
      </c>
      <c r="D157" s="50" t="s">
        <v>1624</v>
      </c>
      <c r="E157" s="50" t="s">
        <v>1949</v>
      </c>
      <c r="F157" s="50" t="s">
        <v>1950</v>
      </c>
      <c r="G157" s="50" t="s">
        <v>1951</v>
      </c>
      <c r="H157" s="50" t="s">
        <v>1950</v>
      </c>
    </row>
    <row r="158" spans="1:8" hidden="1" x14ac:dyDescent="0.2">
      <c r="A158" s="63">
        <v>19200</v>
      </c>
      <c r="B158" s="50" t="s">
        <v>1953</v>
      </c>
      <c r="C158" s="50" t="s">
        <v>1624</v>
      </c>
      <c r="D158" s="50" t="s">
        <v>1624</v>
      </c>
      <c r="E158" s="50" t="s">
        <v>1949</v>
      </c>
      <c r="F158" s="50" t="s">
        <v>1950</v>
      </c>
      <c r="G158" s="50" t="s">
        <v>1951</v>
      </c>
      <c r="H158" s="50" t="s">
        <v>1950</v>
      </c>
    </row>
    <row r="159" spans="1:8" hidden="1" x14ac:dyDescent="0.2">
      <c r="A159" s="63">
        <v>19300</v>
      </c>
      <c r="B159" s="50" t="s">
        <v>1954</v>
      </c>
      <c r="C159" s="50" t="s">
        <v>1624</v>
      </c>
      <c r="D159" s="50" t="s">
        <v>1624</v>
      </c>
      <c r="E159" s="50" t="s">
        <v>1949</v>
      </c>
      <c r="F159" s="50" t="s">
        <v>1950</v>
      </c>
      <c r="G159" s="50" t="s">
        <v>1951</v>
      </c>
      <c r="H159" s="50" t="s">
        <v>1950</v>
      </c>
    </row>
    <row r="160" spans="1:8" hidden="1" x14ac:dyDescent="0.2">
      <c r="A160" s="63">
        <v>19400</v>
      </c>
      <c r="B160" s="50" t="s">
        <v>1955</v>
      </c>
      <c r="C160" s="50" t="s">
        <v>1624</v>
      </c>
      <c r="D160" s="50" t="s">
        <v>1624</v>
      </c>
      <c r="E160" s="50" t="s">
        <v>1949</v>
      </c>
      <c r="F160" s="50" t="s">
        <v>1950</v>
      </c>
      <c r="G160" s="50" t="s">
        <v>1951</v>
      </c>
      <c r="H160" s="50" t="s">
        <v>1950</v>
      </c>
    </row>
    <row r="161" spans="1:8" hidden="1" x14ac:dyDescent="0.2">
      <c r="A161" s="63">
        <v>19500</v>
      </c>
      <c r="B161" s="50" t="s">
        <v>1956</v>
      </c>
      <c r="C161" s="50" t="s">
        <v>1624</v>
      </c>
      <c r="D161" s="50" t="s">
        <v>1624</v>
      </c>
      <c r="E161" s="50" t="s">
        <v>1949</v>
      </c>
      <c r="F161" s="50" t="s">
        <v>1950</v>
      </c>
      <c r="G161" s="50" t="s">
        <v>1951</v>
      </c>
      <c r="H161" s="50" t="s">
        <v>1950</v>
      </c>
    </row>
    <row r="162" spans="1:8" hidden="1" x14ac:dyDescent="0.2">
      <c r="A162" s="63">
        <v>20010</v>
      </c>
      <c r="B162" s="50" t="s">
        <v>1290</v>
      </c>
      <c r="C162" s="50" t="s">
        <v>1624</v>
      </c>
      <c r="D162" s="50" t="s">
        <v>1624</v>
      </c>
      <c r="E162" s="50" t="s">
        <v>1957</v>
      </c>
      <c r="F162" s="50" t="s">
        <v>1628</v>
      </c>
      <c r="G162" s="50" t="s">
        <v>1627</v>
      </c>
      <c r="H162" s="50" t="s">
        <v>1628</v>
      </c>
    </row>
    <row r="163" spans="1:8" x14ac:dyDescent="0.2">
      <c r="A163" s="63">
        <v>21010</v>
      </c>
      <c r="B163" s="50" t="s">
        <v>1292</v>
      </c>
      <c r="C163" s="50" t="s">
        <v>1624</v>
      </c>
      <c r="D163" s="50" t="s">
        <v>1624</v>
      </c>
      <c r="E163" s="50" t="s">
        <v>1625</v>
      </c>
      <c r="F163" s="50" t="s">
        <v>1626</v>
      </c>
      <c r="G163" s="50" t="s">
        <v>1958</v>
      </c>
      <c r="H163" s="50" t="s">
        <v>1626</v>
      </c>
    </row>
    <row r="164" spans="1:8" x14ac:dyDescent="0.2">
      <c r="A164" s="63">
        <v>21020</v>
      </c>
      <c r="B164" s="50" t="s">
        <v>1294</v>
      </c>
      <c r="C164" s="50" t="s">
        <v>1624</v>
      </c>
      <c r="D164" s="50" t="s">
        <v>1624</v>
      </c>
      <c r="E164" s="50" t="s">
        <v>1625</v>
      </c>
      <c r="F164" s="50" t="s">
        <v>1626</v>
      </c>
      <c r="G164" s="50" t="s">
        <v>1958</v>
      </c>
      <c r="H164" s="50" t="s">
        <v>1626</v>
      </c>
    </row>
    <row r="165" spans="1:8" x14ac:dyDescent="0.2">
      <c r="A165" s="63">
        <v>21030</v>
      </c>
      <c r="B165" s="50" t="s">
        <v>1296</v>
      </c>
      <c r="C165" s="50" t="s">
        <v>1624</v>
      </c>
      <c r="D165" s="50" t="s">
        <v>1624</v>
      </c>
      <c r="E165" s="50" t="s">
        <v>1625</v>
      </c>
      <c r="F165" s="50" t="s">
        <v>1626</v>
      </c>
      <c r="G165" s="50" t="s">
        <v>1958</v>
      </c>
      <c r="H165" s="50" t="s">
        <v>1626</v>
      </c>
    </row>
    <row r="166" spans="1:8" x14ac:dyDescent="0.2">
      <c r="A166" s="63">
        <v>21040</v>
      </c>
      <c r="B166" s="50" t="s">
        <v>1298</v>
      </c>
      <c r="C166" s="50" t="s">
        <v>1624</v>
      </c>
      <c r="D166" s="50" t="s">
        <v>1624</v>
      </c>
      <c r="E166" s="50" t="s">
        <v>1625</v>
      </c>
      <c r="F166" s="50" t="s">
        <v>1626</v>
      </c>
      <c r="G166" s="50" t="s">
        <v>1958</v>
      </c>
      <c r="H166" s="50" t="s">
        <v>1626</v>
      </c>
    </row>
    <row r="167" spans="1:8" x14ac:dyDescent="0.2">
      <c r="A167" s="63">
        <v>21050</v>
      </c>
      <c r="B167" s="50" t="s">
        <v>1300</v>
      </c>
      <c r="C167" s="50" t="s">
        <v>1624</v>
      </c>
      <c r="D167" s="50" t="s">
        <v>1624</v>
      </c>
      <c r="E167" s="50" t="s">
        <v>1625</v>
      </c>
      <c r="F167" s="50" t="s">
        <v>1626</v>
      </c>
      <c r="G167" s="50" t="s">
        <v>1958</v>
      </c>
      <c r="H167" s="50" t="s">
        <v>1626</v>
      </c>
    </row>
    <row r="168" spans="1:8" x14ac:dyDescent="0.2">
      <c r="A168" s="63">
        <v>21060</v>
      </c>
      <c r="B168" s="50" t="s">
        <v>1302</v>
      </c>
      <c r="C168" s="50" t="s">
        <v>1624</v>
      </c>
      <c r="D168" s="50" t="s">
        <v>1624</v>
      </c>
      <c r="E168" s="50" t="s">
        <v>1625</v>
      </c>
      <c r="F168" s="50" t="s">
        <v>1626</v>
      </c>
      <c r="G168" s="50" t="s">
        <v>1958</v>
      </c>
      <c r="H168" s="50" t="s">
        <v>1626</v>
      </c>
    </row>
    <row r="169" spans="1:8" x14ac:dyDescent="0.2">
      <c r="A169" s="63">
        <v>21070</v>
      </c>
      <c r="B169" s="50" t="s">
        <v>1304</v>
      </c>
      <c r="C169" s="50" t="s">
        <v>1624</v>
      </c>
      <c r="D169" s="50" t="s">
        <v>1624</v>
      </c>
      <c r="E169" s="50" t="s">
        <v>1625</v>
      </c>
      <c r="F169" s="50" t="s">
        <v>1626</v>
      </c>
      <c r="G169" s="50" t="s">
        <v>1958</v>
      </c>
      <c r="H169" s="50" t="s">
        <v>1626</v>
      </c>
    </row>
    <row r="170" spans="1:8" x14ac:dyDescent="0.2">
      <c r="A170" s="63">
        <v>21080</v>
      </c>
      <c r="B170" s="50" t="s">
        <v>1306</v>
      </c>
      <c r="C170" s="50" t="s">
        <v>1624</v>
      </c>
      <c r="D170" s="50" t="s">
        <v>1624</v>
      </c>
      <c r="E170" s="50" t="s">
        <v>1625</v>
      </c>
      <c r="F170" s="50" t="s">
        <v>1626</v>
      </c>
      <c r="G170" s="50" t="s">
        <v>1958</v>
      </c>
      <c r="H170" s="50" t="s">
        <v>1626</v>
      </c>
    </row>
    <row r="171" spans="1:8" x14ac:dyDescent="0.2">
      <c r="A171" s="63">
        <v>21090</v>
      </c>
      <c r="B171" s="50" t="s">
        <v>1308</v>
      </c>
      <c r="C171" s="50" t="s">
        <v>1624</v>
      </c>
      <c r="D171" s="50" t="s">
        <v>1624</v>
      </c>
      <c r="E171" s="50" t="s">
        <v>1625</v>
      </c>
      <c r="F171" s="50" t="s">
        <v>1626</v>
      </c>
      <c r="G171" s="50" t="s">
        <v>1958</v>
      </c>
      <c r="H171" s="50" t="s">
        <v>1626</v>
      </c>
    </row>
    <row r="172" spans="1:8" x14ac:dyDescent="0.2">
      <c r="A172" s="63">
        <v>21100</v>
      </c>
      <c r="B172" s="50" t="s">
        <v>1310</v>
      </c>
      <c r="C172" s="50" t="s">
        <v>1624</v>
      </c>
      <c r="D172" s="50" t="s">
        <v>1624</v>
      </c>
      <c r="E172" s="50" t="s">
        <v>1625</v>
      </c>
      <c r="F172" s="50" t="s">
        <v>1626</v>
      </c>
      <c r="G172" s="50" t="s">
        <v>1958</v>
      </c>
      <c r="H172" s="50" t="s">
        <v>1626</v>
      </c>
    </row>
    <row r="173" spans="1:8" x14ac:dyDescent="0.2">
      <c r="A173" s="63">
        <v>21110</v>
      </c>
      <c r="B173" s="50" t="s">
        <v>1312</v>
      </c>
      <c r="C173" s="50" t="s">
        <v>1624</v>
      </c>
      <c r="D173" s="50" t="s">
        <v>1624</v>
      </c>
      <c r="E173" s="50" t="s">
        <v>1625</v>
      </c>
      <c r="F173" s="50" t="s">
        <v>1626</v>
      </c>
      <c r="G173" s="50" t="s">
        <v>1958</v>
      </c>
      <c r="H173" s="50" t="s">
        <v>1626</v>
      </c>
    </row>
    <row r="174" spans="1:8" x14ac:dyDescent="0.2">
      <c r="A174" s="63">
        <v>21130</v>
      </c>
      <c r="B174" s="50" t="s">
        <v>1314</v>
      </c>
      <c r="C174" s="50" t="s">
        <v>1624</v>
      </c>
      <c r="D174" s="50" t="s">
        <v>1624</v>
      </c>
      <c r="E174" s="50" t="s">
        <v>1625</v>
      </c>
      <c r="F174" s="50" t="s">
        <v>1626</v>
      </c>
      <c r="G174" s="50" t="s">
        <v>1958</v>
      </c>
      <c r="H174" s="50" t="s">
        <v>1626</v>
      </c>
    </row>
    <row r="175" spans="1:8" x14ac:dyDescent="0.2">
      <c r="A175" s="63">
        <v>21140</v>
      </c>
      <c r="B175" s="50" t="s">
        <v>1316</v>
      </c>
      <c r="C175" s="50" t="s">
        <v>1624</v>
      </c>
      <c r="D175" s="50" t="s">
        <v>1624</v>
      </c>
      <c r="E175" s="50" t="s">
        <v>1625</v>
      </c>
      <c r="F175" s="50" t="s">
        <v>1626</v>
      </c>
      <c r="G175" s="50" t="s">
        <v>1958</v>
      </c>
      <c r="H175" s="50" t="s">
        <v>1626</v>
      </c>
    </row>
    <row r="176" spans="1:8" x14ac:dyDescent="0.2">
      <c r="A176" s="63">
        <v>21150</v>
      </c>
      <c r="B176" s="50" t="s">
        <v>1318</v>
      </c>
      <c r="C176" s="50" t="s">
        <v>1624</v>
      </c>
      <c r="D176" s="50" t="s">
        <v>1624</v>
      </c>
      <c r="E176" s="50" t="s">
        <v>1625</v>
      </c>
      <c r="F176" s="50" t="s">
        <v>1626</v>
      </c>
      <c r="G176" s="50" t="s">
        <v>1958</v>
      </c>
      <c r="H176" s="50" t="s">
        <v>1626</v>
      </c>
    </row>
    <row r="177" spans="1:8" x14ac:dyDescent="0.2">
      <c r="A177" s="63">
        <v>21160</v>
      </c>
      <c r="B177" s="50" t="s">
        <v>1320</v>
      </c>
      <c r="C177" s="50" t="s">
        <v>1624</v>
      </c>
      <c r="D177" s="50" t="s">
        <v>1624</v>
      </c>
      <c r="E177" s="50" t="s">
        <v>1625</v>
      </c>
      <c r="F177" s="50" t="s">
        <v>1626</v>
      </c>
      <c r="G177" s="50" t="s">
        <v>1958</v>
      </c>
      <c r="H177" s="50" t="s">
        <v>1626</v>
      </c>
    </row>
    <row r="178" spans="1:8" x14ac:dyDescent="0.2">
      <c r="A178" s="63">
        <v>21180</v>
      </c>
      <c r="B178" s="50" t="s">
        <v>1322</v>
      </c>
      <c r="C178" s="50" t="s">
        <v>1624</v>
      </c>
      <c r="D178" s="50" t="s">
        <v>1624</v>
      </c>
      <c r="E178" s="50" t="s">
        <v>1625</v>
      </c>
      <c r="F178" s="50" t="s">
        <v>1626</v>
      </c>
      <c r="G178" s="50" t="s">
        <v>1958</v>
      </c>
      <c r="H178" s="50" t="s">
        <v>1626</v>
      </c>
    </row>
    <row r="179" spans="1:8" x14ac:dyDescent="0.2">
      <c r="A179" s="63">
        <v>21190</v>
      </c>
      <c r="B179" s="50" t="s">
        <v>1959</v>
      </c>
      <c r="C179" s="50" t="s">
        <v>1624</v>
      </c>
      <c r="D179" s="50" t="s">
        <v>1624</v>
      </c>
      <c r="E179" s="50" t="s">
        <v>1625</v>
      </c>
      <c r="F179" s="50" t="s">
        <v>1626</v>
      </c>
      <c r="G179" s="50" t="s">
        <v>1958</v>
      </c>
      <c r="H179" s="50" t="s">
        <v>1626</v>
      </c>
    </row>
    <row r="180" spans="1:8" x14ac:dyDescent="0.2">
      <c r="A180" s="63">
        <v>21200</v>
      </c>
      <c r="B180" s="50" t="s">
        <v>1324</v>
      </c>
      <c r="C180" s="50" t="s">
        <v>1624</v>
      </c>
      <c r="D180" s="50" t="s">
        <v>1624</v>
      </c>
      <c r="E180" s="50" t="s">
        <v>1625</v>
      </c>
      <c r="F180" s="50" t="s">
        <v>1626</v>
      </c>
      <c r="G180" s="50" t="s">
        <v>1958</v>
      </c>
      <c r="H180" s="50" t="s">
        <v>1626</v>
      </c>
    </row>
    <row r="181" spans="1:8" x14ac:dyDescent="0.2">
      <c r="A181" s="63">
        <v>21390</v>
      </c>
      <c r="B181" s="50" t="s">
        <v>1326</v>
      </c>
      <c r="C181" s="50" t="s">
        <v>1624</v>
      </c>
      <c r="D181" s="50" t="s">
        <v>1624</v>
      </c>
      <c r="E181" s="50" t="s">
        <v>1625</v>
      </c>
      <c r="F181" s="50" t="s">
        <v>1626</v>
      </c>
      <c r="G181" s="50" t="s">
        <v>1958</v>
      </c>
      <c r="H181" s="50" t="s">
        <v>1626</v>
      </c>
    </row>
    <row r="182" spans="1:8" x14ac:dyDescent="0.2">
      <c r="A182" s="63">
        <v>22010</v>
      </c>
      <c r="B182" s="50" t="s">
        <v>1328</v>
      </c>
      <c r="C182" s="50" t="s">
        <v>1624</v>
      </c>
      <c r="D182" s="50" t="s">
        <v>1624</v>
      </c>
      <c r="E182" s="50" t="s">
        <v>1960</v>
      </c>
      <c r="F182" s="50" t="s">
        <v>1961</v>
      </c>
      <c r="G182" s="50" t="s">
        <v>1962</v>
      </c>
      <c r="H182" s="50" t="s">
        <v>1963</v>
      </c>
    </row>
    <row r="183" spans="1:8" x14ac:dyDescent="0.2">
      <c r="A183" s="63">
        <v>22020</v>
      </c>
      <c r="B183" s="50" t="s">
        <v>1330</v>
      </c>
      <c r="C183" s="50" t="s">
        <v>1624</v>
      </c>
      <c r="D183" s="50" t="s">
        <v>1624</v>
      </c>
      <c r="E183" s="50" t="s">
        <v>1960</v>
      </c>
      <c r="F183" s="50" t="s">
        <v>1961</v>
      </c>
      <c r="G183" s="50" t="s">
        <v>1962</v>
      </c>
      <c r="H183" s="50" t="s">
        <v>1963</v>
      </c>
    </row>
    <row r="184" spans="1:8" x14ac:dyDescent="0.2">
      <c r="A184" s="63">
        <v>22030</v>
      </c>
      <c r="B184" s="50" t="s">
        <v>1332</v>
      </c>
      <c r="C184" s="50" t="s">
        <v>1624</v>
      </c>
      <c r="D184" s="50" t="s">
        <v>1624</v>
      </c>
      <c r="E184" s="50" t="s">
        <v>1960</v>
      </c>
      <c r="F184" s="50" t="s">
        <v>1961</v>
      </c>
      <c r="G184" s="50" t="s">
        <v>1962</v>
      </c>
      <c r="H184" s="50" t="s">
        <v>1963</v>
      </c>
    </row>
    <row r="185" spans="1:8" x14ac:dyDescent="0.2">
      <c r="A185" s="63">
        <v>22040</v>
      </c>
      <c r="B185" s="50" t="s">
        <v>1334</v>
      </c>
      <c r="C185" s="50" t="s">
        <v>1624</v>
      </c>
      <c r="D185" s="50" t="s">
        <v>1624</v>
      </c>
      <c r="E185" s="50" t="s">
        <v>1960</v>
      </c>
      <c r="F185" s="50" t="s">
        <v>1961</v>
      </c>
      <c r="G185" s="50" t="s">
        <v>1962</v>
      </c>
      <c r="H185" s="50" t="s">
        <v>1963</v>
      </c>
    </row>
    <row r="186" spans="1:8" x14ac:dyDescent="0.2">
      <c r="A186" s="63">
        <v>22050</v>
      </c>
      <c r="B186" s="50" t="s">
        <v>1336</v>
      </c>
      <c r="C186" s="50" t="s">
        <v>1624</v>
      </c>
      <c r="D186" s="50" t="s">
        <v>1624</v>
      </c>
      <c r="E186" s="50" t="s">
        <v>1960</v>
      </c>
      <c r="F186" s="50" t="s">
        <v>1961</v>
      </c>
      <c r="G186" s="50" t="s">
        <v>1962</v>
      </c>
      <c r="H186" s="50" t="s">
        <v>1963</v>
      </c>
    </row>
    <row r="187" spans="1:8" x14ac:dyDescent="0.2">
      <c r="A187" s="63">
        <v>22060</v>
      </c>
      <c r="B187" s="50" t="s">
        <v>1338</v>
      </c>
      <c r="C187" s="50" t="s">
        <v>1624</v>
      </c>
      <c r="D187" s="50" t="s">
        <v>1624</v>
      </c>
      <c r="E187" s="50" t="s">
        <v>1960</v>
      </c>
      <c r="F187" s="50" t="s">
        <v>1961</v>
      </c>
      <c r="G187" s="50" t="s">
        <v>1962</v>
      </c>
      <c r="H187" s="50" t="s">
        <v>1963</v>
      </c>
    </row>
    <row r="188" spans="1:8" x14ac:dyDescent="0.2">
      <c r="A188" s="63">
        <v>22070</v>
      </c>
      <c r="B188" s="50" t="s">
        <v>1340</v>
      </c>
      <c r="C188" s="50" t="s">
        <v>1624</v>
      </c>
      <c r="D188" s="50" t="s">
        <v>1624</v>
      </c>
      <c r="E188" s="50" t="s">
        <v>1960</v>
      </c>
      <c r="F188" s="50" t="s">
        <v>1961</v>
      </c>
      <c r="G188" s="50" t="s">
        <v>1962</v>
      </c>
      <c r="H188" s="50" t="s">
        <v>1963</v>
      </c>
    </row>
    <row r="189" spans="1:8" x14ac:dyDescent="0.2">
      <c r="A189" s="63">
        <v>22080</v>
      </c>
      <c r="B189" s="50" t="s">
        <v>1964</v>
      </c>
      <c r="C189" s="50" t="s">
        <v>1624</v>
      </c>
      <c r="D189" s="50" t="s">
        <v>1624</v>
      </c>
      <c r="E189" s="50" t="s">
        <v>1960</v>
      </c>
      <c r="F189" s="50" t="s">
        <v>1961</v>
      </c>
      <c r="G189" s="50" t="s">
        <v>1962</v>
      </c>
      <c r="H189" s="50" t="s">
        <v>1963</v>
      </c>
    </row>
    <row r="190" spans="1:8" x14ac:dyDescent="0.2">
      <c r="A190" s="63">
        <v>22090</v>
      </c>
      <c r="B190" s="50" t="s">
        <v>1965</v>
      </c>
      <c r="C190" s="50" t="s">
        <v>1624</v>
      </c>
      <c r="D190" s="50" t="s">
        <v>1624</v>
      </c>
      <c r="E190" s="50" t="s">
        <v>1960</v>
      </c>
      <c r="F190" s="50" t="s">
        <v>1961</v>
      </c>
      <c r="G190" s="50" t="s">
        <v>1962</v>
      </c>
      <c r="H190" s="50" t="s">
        <v>1963</v>
      </c>
    </row>
    <row r="191" spans="1:8" x14ac:dyDescent="0.2">
      <c r="A191" s="63">
        <v>22110</v>
      </c>
      <c r="B191" s="50" t="s">
        <v>2328</v>
      </c>
      <c r="C191" s="50" t="s">
        <v>1624</v>
      </c>
      <c r="D191" s="50" t="s">
        <v>1624</v>
      </c>
      <c r="E191" s="50" t="s">
        <v>1960</v>
      </c>
      <c r="F191" s="50" t="s">
        <v>1961</v>
      </c>
      <c r="G191" s="50" t="s">
        <v>1962</v>
      </c>
      <c r="H191" s="50" t="s">
        <v>1963</v>
      </c>
    </row>
    <row r="192" spans="1:8" x14ac:dyDescent="0.2">
      <c r="A192" s="63">
        <v>22120</v>
      </c>
      <c r="B192" s="50" t="s">
        <v>1966</v>
      </c>
      <c r="C192" s="50" t="s">
        <v>1624</v>
      </c>
      <c r="D192" s="50" t="s">
        <v>1624</v>
      </c>
      <c r="E192" s="50" t="s">
        <v>1960</v>
      </c>
      <c r="F192" s="50" t="s">
        <v>1961</v>
      </c>
      <c r="G192" s="50" t="s">
        <v>1962</v>
      </c>
      <c r="H192" s="50" t="s">
        <v>1963</v>
      </c>
    </row>
    <row r="193" spans="1:8" x14ac:dyDescent="0.2">
      <c r="A193" s="63">
        <v>22130</v>
      </c>
      <c r="B193" s="50" t="s">
        <v>1967</v>
      </c>
      <c r="C193" s="50" t="s">
        <v>1624</v>
      </c>
      <c r="D193" s="50" t="s">
        <v>1624</v>
      </c>
      <c r="E193" s="50" t="s">
        <v>1960</v>
      </c>
      <c r="F193" s="50" t="s">
        <v>1961</v>
      </c>
      <c r="G193" s="50" t="s">
        <v>1962</v>
      </c>
      <c r="H193" s="50" t="s">
        <v>1963</v>
      </c>
    </row>
    <row r="194" spans="1:8" x14ac:dyDescent="0.2">
      <c r="A194" s="63">
        <v>22140</v>
      </c>
      <c r="B194" s="50" t="s">
        <v>1354</v>
      </c>
      <c r="C194" s="50" t="s">
        <v>1624</v>
      </c>
      <c r="D194" s="50" t="s">
        <v>1624</v>
      </c>
      <c r="E194" s="50" t="s">
        <v>1960</v>
      </c>
      <c r="F194" s="50" t="s">
        <v>1961</v>
      </c>
      <c r="G194" s="50" t="s">
        <v>1962</v>
      </c>
      <c r="H194" s="50" t="s">
        <v>1963</v>
      </c>
    </row>
    <row r="195" spans="1:8" x14ac:dyDescent="0.2">
      <c r="A195" s="63">
        <v>22150</v>
      </c>
      <c r="B195" s="50" t="s">
        <v>1356</v>
      </c>
      <c r="C195" s="50" t="s">
        <v>1624</v>
      </c>
      <c r="D195" s="50" t="s">
        <v>1624</v>
      </c>
      <c r="E195" s="50" t="s">
        <v>1960</v>
      </c>
      <c r="F195" s="50" t="s">
        <v>1961</v>
      </c>
      <c r="G195" s="50" t="s">
        <v>1962</v>
      </c>
      <c r="H195" s="50" t="s">
        <v>1963</v>
      </c>
    </row>
    <row r="196" spans="1:8" x14ac:dyDescent="0.2">
      <c r="A196" s="63">
        <v>22160</v>
      </c>
      <c r="B196" s="50" t="s">
        <v>1358</v>
      </c>
      <c r="C196" s="50" t="s">
        <v>1624</v>
      </c>
      <c r="D196" s="50" t="s">
        <v>1624</v>
      </c>
      <c r="E196" s="50" t="s">
        <v>1960</v>
      </c>
      <c r="F196" s="50" t="s">
        <v>1961</v>
      </c>
      <c r="G196" s="50" t="s">
        <v>1962</v>
      </c>
      <c r="H196" s="50" t="s">
        <v>1963</v>
      </c>
    </row>
    <row r="197" spans="1:8" x14ac:dyDescent="0.2">
      <c r="A197" s="63">
        <v>22170</v>
      </c>
      <c r="B197" s="50" t="s">
        <v>1360</v>
      </c>
      <c r="C197" s="50" t="s">
        <v>1624</v>
      </c>
      <c r="D197" s="50" t="s">
        <v>1624</v>
      </c>
      <c r="E197" s="50" t="s">
        <v>1960</v>
      </c>
      <c r="F197" s="50" t="s">
        <v>1961</v>
      </c>
      <c r="G197" s="50" t="s">
        <v>1962</v>
      </c>
      <c r="H197" s="50" t="s">
        <v>1963</v>
      </c>
    </row>
    <row r="198" spans="1:8" x14ac:dyDescent="0.2">
      <c r="A198" s="63">
        <v>22180</v>
      </c>
      <c r="B198" s="50" t="s">
        <v>1362</v>
      </c>
      <c r="C198" s="50" t="s">
        <v>1624</v>
      </c>
      <c r="D198" s="50" t="s">
        <v>1624</v>
      </c>
      <c r="E198" s="50" t="s">
        <v>1960</v>
      </c>
      <c r="F198" s="50" t="s">
        <v>1961</v>
      </c>
      <c r="G198" s="50" t="s">
        <v>1962</v>
      </c>
      <c r="H198" s="50" t="s">
        <v>1963</v>
      </c>
    </row>
    <row r="199" spans="1:8" x14ac:dyDescent="0.2">
      <c r="A199" s="63">
        <v>22190</v>
      </c>
      <c r="B199" s="50" t="s">
        <v>1364</v>
      </c>
      <c r="C199" s="50" t="s">
        <v>1624</v>
      </c>
      <c r="D199" s="50" t="s">
        <v>1624</v>
      </c>
      <c r="E199" s="50" t="s">
        <v>1960</v>
      </c>
      <c r="F199" s="50" t="s">
        <v>1961</v>
      </c>
      <c r="G199" s="50" t="s">
        <v>1962</v>
      </c>
      <c r="H199" s="50" t="s">
        <v>1963</v>
      </c>
    </row>
    <row r="200" spans="1:8" x14ac:dyDescent="0.2">
      <c r="A200" s="63">
        <v>22200</v>
      </c>
      <c r="B200" s="50" t="s">
        <v>1366</v>
      </c>
      <c r="C200" s="50" t="s">
        <v>1624</v>
      </c>
      <c r="D200" s="50" t="s">
        <v>1624</v>
      </c>
      <c r="E200" s="50" t="s">
        <v>1960</v>
      </c>
      <c r="F200" s="50" t="s">
        <v>1961</v>
      </c>
      <c r="G200" s="50" t="s">
        <v>1962</v>
      </c>
      <c r="H200" s="50" t="s">
        <v>1963</v>
      </c>
    </row>
    <row r="201" spans="1:8" x14ac:dyDescent="0.2">
      <c r="A201" s="63">
        <v>22210</v>
      </c>
      <c r="B201" s="50" t="s">
        <v>1368</v>
      </c>
      <c r="C201" s="50" t="s">
        <v>1624</v>
      </c>
      <c r="D201" s="50" t="s">
        <v>1624</v>
      </c>
      <c r="E201" s="50" t="s">
        <v>1960</v>
      </c>
      <c r="F201" s="50" t="s">
        <v>1961</v>
      </c>
      <c r="G201" s="50" t="s">
        <v>1962</v>
      </c>
      <c r="H201" s="50" t="s">
        <v>1963</v>
      </c>
    </row>
    <row r="202" spans="1:8" x14ac:dyDescent="0.2">
      <c r="A202" s="63">
        <v>22220</v>
      </c>
      <c r="B202" s="50" t="s">
        <v>1370</v>
      </c>
      <c r="C202" s="50" t="s">
        <v>1624</v>
      </c>
      <c r="D202" s="50" t="s">
        <v>1624</v>
      </c>
      <c r="E202" s="50" t="s">
        <v>1960</v>
      </c>
      <c r="F202" s="50" t="s">
        <v>1961</v>
      </c>
      <c r="G202" s="50" t="s">
        <v>1962</v>
      </c>
      <c r="H202" s="50" t="s">
        <v>1963</v>
      </c>
    </row>
    <row r="203" spans="1:8" x14ac:dyDescent="0.2">
      <c r="A203" s="63">
        <v>22230</v>
      </c>
      <c r="B203" s="50" t="s">
        <v>1968</v>
      </c>
      <c r="C203" s="50" t="s">
        <v>1624</v>
      </c>
      <c r="D203" s="50" t="s">
        <v>1624</v>
      </c>
      <c r="E203" s="50" t="s">
        <v>1960</v>
      </c>
      <c r="F203" s="50" t="s">
        <v>1961</v>
      </c>
      <c r="G203" s="50" t="s">
        <v>1962</v>
      </c>
      <c r="H203" s="50" t="s">
        <v>1963</v>
      </c>
    </row>
    <row r="204" spans="1:8" x14ac:dyDescent="0.2">
      <c r="A204" s="63">
        <v>22240</v>
      </c>
      <c r="B204" s="50" t="s">
        <v>1374</v>
      </c>
      <c r="C204" s="50" t="s">
        <v>1624</v>
      </c>
      <c r="D204" s="50" t="s">
        <v>1624</v>
      </c>
      <c r="E204" s="50" t="s">
        <v>1960</v>
      </c>
      <c r="F204" s="50" t="s">
        <v>1961</v>
      </c>
      <c r="G204" s="50" t="s">
        <v>1962</v>
      </c>
      <c r="H204" s="50" t="s">
        <v>1963</v>
      </c>
    </row>
    <row r="205" spans="1:8" x14ac:dyDescent="0.2">
      <c r="A205" s="63">
        <v>22250</v>
      </c>
      <c r="B205" s="50" t="s">
        <v>1376</v>
      </c>
      <c r="C205" s="50" t="s">
        <v>1624</v>
      </c>
      <c r="D205" s="50" t="s">
        <v>1624</v>
      </c>
      <c r="E205" s="50" t="s">
        <v>1960</v>
      </c>
      <c r="F205" s="50" t="s">
        <v>1961</v>
      </c>
      <c r="G205" s="50" t="s">
        <v>1962</v>
      </c>
      <c r="H205" s="50" t="s">
        <v>1963</v>
      </c>
    </row>
    <row r="206" spans="1:8" x14ac:dyDescent="0.2">
      <c r="A206" s="63">
        <v>22260</v>
      </c>
      <c r="B206" s="50" t="s">
        <v>1378</v>
      </c>
      <c r="C206" s="50" t="s">
        <v>1624</v>
      </c>
      <c r="D206" s="50" t="s">
        <v>1624</v>
      </c>
      <c r="E206" s="50" t="s">
        <v>1960</v>
      </c>
      <c r="F206" s="50" t="s">
        <v>1961</v>
      </c>
      <c r="G206" s="50" t="s">
        <v>1962</v>
      </c>
      <c r="H206" s="50" t="s">
        <v>1963</v>
      </c>
    </row>
    <row r="207" spans="1:8" x14ac:dyDescent="0.2">
      <c r="A207" s="63">
        <v>22270</v>
      </c>
      <c r="B207" s="50" t="s">
        <v>1380</v>
      </c>
      <c r="C207" s="50" t="s">
        <v>1624</v>
      </c>
      <c r="D207" s="50" t="s">
        <v>1624</v>
      </c>
      <c r="E207" s="50" t="s">
        <v>1960</v>
      </c>
      <c r="F207" s="50" t="s">
        <v>1961</v>
      </c>
      <c r="G207" s="50" t="s">
        <v>1962</v>
      </c>
      <c r="H207" s="50" t="s">
        <v>1963</v>
      </c>
    </row>
    <row r="208" spans="1:8" x14ac:dyDescent="0.2">
      <c r="A208" s="63">
        <v>22280</v>
      </c>
      <c r="B208" s="50" t="s">
        <v>1382</v>
      </c>
      <c r="C208" s="50" t="s">
        <v>1624</v>
      </c>
      <c r="D208" s="50" t="s">
        <v>1624</v>
      </c>
      <c r="E208" s="50" t="s">
        <v>1960</v>
      </c>
      <c r="F208" s="50" t="s">
        <v>1961</v>
      </c>
      <c r="G208" s="50" t="s">
        <v>1962</v>
      </c>
      <c r="H208" s="50" t="s">
        <v>1963</v>
      </c>
    </row>
    <row r="209" spans="1:8" x14ac:dyDescent="0.2">
      <c r="A209" s="63">
        <v>22290</v>
      </c>
      <c r="B209" s="50" t="s">
        <v>1384</v>
      </c>
      <c r="C209" s="50" t="s">
        <v>1624</v>
      </c>
      <c r="D209" s="50" t="s">
        <v>1624</v>
      </c>
      <c r="E209" s="50" t="s">
        <v>1960</v>
      </c>
      <c r="F209" s="50" t="s">
        <v>1961</v>
      </c>
      <c r="G209" s="50" t="s">
        <v>1962</v>
      </c>
      <c r="H209" s="50" t="s">
        <v>1963</v>
      </c>
    </row>
    <row r="210" spans="1:8" x14ac:dyDescent="0.2">
      <c r="A210" s="63">
        <v>22300</v>
      </c>
      <c r="B210" s="50" t="s">
        <v>1386</v>
      </c>
      <c r="C210" s="50" t="s">
        <v>1624</v>
      </c>
      <c r="D210" s="50" t="s">
        <v>1624</v>
      </c>
      <c r="E210" s="50" t="s">
        <v>1960</v>
      </c>
      <c r="F210" s="50" t="s">
        <v>1961</v>
      </c>
      <c r="G210" s="50" t="s">
        <v>1962</v>
      </c>
      <c r="H210" s="50" t="s">
        <v>1963</v>
      </c>
    </row>
    <row r="211" spans="1:8" x14ac:dyDescent="0.2">
      <c r="A211" s="63">
        <v>22310</v>
      </c>
      <c r="B211" s="50" t="s">
        <v>1969</v>
      </c>
      <c r="C211" s="50" t="s">
        <v>1624</v>
      </c>
      <c r="D211" s="50" t="s">
        <v>1624</v>
      </c>
      <c r="E211" s="50" t="s">
        <v>1960</v>
      </c>
      <c r="F211" s="50" t="s">
        <v>1961</v>
      </c>
      <c r="G211" s="50" t="s">
        <v>1962</v>
      </c>
      <c r="H211" s="50" t="s">
        <v>1963</v>
      </c>
    </row>
    <row r="212" spans="1:8" x14ac:dyDescent="0.2">
      <c r="A212" s="63">
        <v>22320</v>
      </c>
      <c r="B212" s="50" t="s">
        <v>1970</v>
      </c>
      <c r="C212" s="50" t="s">
        <v>1624</v>
      </c>
      <c r="D212" s="50" t="s">
        <v>1624</v>
      </c>
      <c r="E212" s="50" t="s">
        <v>1960</v>
      </c>
      <c r="F212" s="50" t="s">
        <v>1961</v>
      </c>
      <c r="G212" s="50" t="s">
        <v>1962</v>
      </c>
      <c r="H212" s="50" t="s">
        <v>1963</v>
      </c>
    </row>
    <row r="213" spans="1:8" x14ac:dyDescent="0.2">
      <c r="A213" s="63">
        <v>22330</v>
      </c>
      <c r="B213" s="50" t="s">
        <v>1971</v>
      </c>
      <c r="C213" s="50" t="s">
        <v>1624</v>
      </c>
      <c r="D213" s="50" t="s">
        <v>1624</v>
      </c>
      <c r="E213" s="50" t="s">
        <v>1960</v>
      </c>
      <c r="F213" s="50" t="s">
        <v>1961</v>
      </c>
      <c r="G213" s="50" t="s">
        <v>1962</v>
      </c>
      <c r="H213" s="50" t="s">
        <v>1963</v>
      </c>
    </row>
    <row r="214" spans="1:8" x14ac:dyDescent="0.2">
      <c r="A214" s="63">
        <v>22340</v>
      </c>
      <c r="B214" s="50" t="s">
        <v>1972</v>
      </c>
      <c r="C214" s="50" t="s">
        <v>1624</v>
      </c>
      <c r="D214" s="50" t="s">
        <v>1624</v>
      </c>
      <c r="E214" s="50" t="s">
        <v>1960</v>
      </c>
      <c r="F214" s="50" t="s">
        <v>1961</v>
      </c>
      <c r="G214" s="50" t="s">
        <v>1962</v>
      </c>
      <c r="H214" s="50" t="s">
        <v>1963</v>
      </c>
    </row>
    <row r="215" spans="1:8" x14ac:dyDescent="0.2">
      <c r="A215" s="63">
        <v>22350</v>
      </c>
      <c r="B215" s="50" t="s">
        <v>1390</v>
      </c>
      <c r="C215" s="50" t="s">
        <v>1624</v>
      </c>
      <c r="D215" s="50" t="s">
        <v>1624</v>
      </c>
      <c r="E215" s="50" t="s">
        <v>1960</v>
      </c>
      <c r="F215" s="50" t="s">
        <v>1961</v>
      </c>
      <c r="G215" s="50" t="s">
        <v>1962</v>
      </c>
      <c r="H215" s="50" t="s">
        <v>1963</v>
      </c>
    </row>
    <row r="216" spans="1:8" x14ac:dyDescent="0.2">
      <c r="A216" s="63">
        <v>22360</v>
      </c>
      <c r="B216" s="50" t="s">
        <v>1973</v>
      </c>
      <c r="C216" s="50" t="s">
        <v>1624</v>
      </c>
      <c r="D216" s="50" t="s">
        <v>1624</v>
      </c>
      <c r="E216" s="50" t="s">
        <v>1960</v>
      </c>
      <c r="F216" s="50" t="s">
        <v>1961</v>
      </c>
      <c r="G216" s="50" t="s">
        <v>1962</v>
      </c>
      <c r="H216" s="50" t="s">
        <v>1963</v>
      </c>
    </row>
    <row r="217" spans="1:8" x14ac:dyDescent="0.2">
      <c r="A217" s="63">
        <v>22370</v>
      </c>
      <c r="B217" s="50" t="s">
        <v>1392</v>
      </c>
      <c r="C217" s="50" t="s">
        <v>1624</v>
      </c>
      <c r="D217" s="50" t="s">
        <v>1624</v>
      </c>
      <c r="E217" s="50" t="s">
        <v>1960</v>
      </c>
      <c r="F217" s="50" t="s">
        <v>1961</v>
      </c>
      <c r="G217" s="50" t="s">
        <v>1962</v>
      </c>
      <c r="H217" s="50" t="s">
        <v>1963</v>
      </c>
    </row>
    <row r="218" spans="1:8" hidden="1" x14ac:dyDescent="0.2">
      <c r="A218" s="63">
        <v>22500</v>
      </c>
      <c r="B218" s="50" t="s">
        <v>1394</v>
      </c>
      <c r="C218" s="50" t="s">
        <v>1624</v>
      </c>
      <c r="D218" s="50" t="s">
        <v>1624</v>
      </c>
      <c r="E218" s="50" t="s">
        <v>1960</v>
      </c>
      <c r="F218" s="50" t="s">
        <v>1961</v>
      </c>
      <c r="G218" s="50" t="s">
        <v>1974</v>
      </c>
      <c r="H218" s="50" t="s">
        <v>1961</v>
      </c>
    </row>
    <row r="219" spans="1:8" hidden="1" x14ac:dyDescent="0.2">
      <c r="A219" s="63">
        <v>22510</v>
      </c>
      <c r="B219" s="50" t="s">
        <v>1396</v>
      </c>
      <c r="C219" s="50" t="s">
        <v>1624</v>
      </c>
      <c r="D219" s="50" t="s">
        <v>1624</v>
      </c>
      <c r="E219" s="50" t="s">
        <v>1960</v>
      </c>
      <c r="F219" s="50" t="s">
        <v>1961</v>
      </c>
      <c r="G219" s="50" t="s">
        <v>1974</v>
      </c>
      <c r="H219" s="50" t="s">
        <v>1961</v>
      </c>
    </row>
    <row r="220" spans="1:8" hidden="1" x14ac:dyDescent="0.2">
      <c r="A220" s="63">
        <v>22520</v>
      </c>
      <c r="B220" s="50" t="s">
        <v>1398</v>
      </c>
      <c r="C220" s="50" t="s">
        <v>1624</v>
      </c>
      <c r="D220" s="50" t="s">
        <v>1624</v>
      </c>
      <c r="E220" s="50" t="s">
        <v>1960</v>
      </c>
      <c r="F220" s="50" t="s">
        <v>1961</v>
      </c>
      <c r="G220" s="50" t="s">
        <v>1974</v>
      </c>
      <c r="H220" s="50" t="s">
        <v>1961</v>
      </c>
    </row>
    <row r="221" spans="1:8" hidden="1" x14ac:dyDescent="0.2">
      <c r="A221" s="63">
        <v>22530</v>
      </c>
      <c r="B221" s="50" t="s">
        <v>1400</v>
      </c>
      <c r="C221" s="50" t="s">
        <v>1624</v>
      </c>
      <c r="D221" s="50" t="s">
        <v>1624</v>
      </c>
      <c r="E221" s="50" t="s">
        <v>1960</v>
      </c>
      <c r="F221" s="50" t="s">
        <v>1961</v>
      </c>
      <c r="G221" s="50" t="s">
        <v>1974</v>
      </c>
      <c r="H221" s="50" t="s">
        <v>1961</v>
      </c>
    </row>
    <row r="222" spans="1:8" hidden="1" x14ac:dyDescent="0.2">
      <c r="A222" s="63">
        <v>22540</v>
      </c>
      <c r="B222" s="50" t="s">
        <v>1402</v>
      </c>
      <c r="C222" s="50" t="s">
        <v>1624</v>
      </c>
      <c r="D222" s="50" t="s">
        <v>1624</v>
      </c>
      <c r="E222" s="50" t="s">
        <v>1960</v>
      </c>
      <c r="F222" s="50" t="s">
        <v>1961</v>
      </c>
      <c r="G222" s="50" t="s">
        <v>1974</v>
      </c>
      <c r="H222" s="50" t="s">
        <v>1961</v>
      </c>
    </row>
    <row r="223" spans="1:8" hidden="1" x14ac:dyDescent="0.2">
      <c r="A223" s="63">
        <v>22550</v>
      </c>
      <c r="B223" s="50" t="s">
        <v>1404</v>
      </c>
      <c r="C223" s="50" t="s">
        <v>1624</v>
      </c>
      <c r="D223" s="50" t="s">
        <v>1624</v>
      </c>
      <c r="E223" s="50" t="s">
        <v>1960</v>
      </c>
      <c r="F223" s="50" t="s">
        <v>1961</v>
      </c>
      <c r="G223" s="50" t="s">
        <v>1974</v>
      </c>
      <c r="H223" s="50" t="s">
        <v>1961</v>
      </c>
    </row>
    <row r="224" spans="1:8" hidden="1" x14ac:dyDescent="0.2">
      <c r="A224" s="63">
        <v>22560</v>
      </c>
      <c r="B224" s="50" t="s">
        <v>1406</v>
      </c>
      <c r="C224" s="50" t="s">
        <v>1624</v>
      </c>
      <c r="D224" s="50" t="s">
        <v>1624</v>
      </c>
      <c r="E224" s="50" t="s">
        <v>1960</v>
      </c>
      <c r="F224" s="50" t="s">
        <v>1961</v>
      </c>
      <c r="G224" s="50" t="s">
        <v>1974</v>
      </c>
      <c r="H224" s="50" t="s">
        <v>1961</v>
      </c>
    </row>
    <row r="225" spans="1:8" hidden="1" x14ac:dyDescent="0.2">
      <c r="A225" s="63">
        <v>22570</v>
      </c>
      <c r="B225" s="50" t="s">
        <v>1408</v>
      </c>
      <c r="C225" s="50" t="s">
        <v>1624</v>
      </c>
      <c r="D225" s="50" t="s">
        <v>1624</v>
      </c>
      <c r="E225" s="50" t="s">
        <v>1960</v>
      </c>
      <c r="F225" s="50" t="s">
        <v>1961</v>
      </c>
      <c r="G225" s="50" t="s">
        <v>1974</v>
      </c>
      <c r="H225" s="50" t="s">
        <v>1961</v>
      </c>
    </row>
    <row r="226" spans="1:8" hidden="1" x14ac:dyDescent="0.2">
      <c r="A226" s="63">
        <v>22580</v>
      </c>
      <c r="B226" s="50" t="s">
        <v>1410</v>
      </c>
      <c r="C226" s="50" t="s">
        <v>1624</v>
      </c>
      <c r="D226" s="50" t="s">
        <v>1624</v>
      </c>
      <c r="E226" s="50" t="s">
        <v>1960</v>
      </c>
      <c r="F226" s="50" t="s">
        <v>1961</v>
      </c>
      <c r="G226" s="50" t="s">
        <v>1974</v>
      </c>
      <c r="H226" s="50" t="s">
        <v>1961</v>
      </c>
    </row>
    <row r="227" spans="1:8" hidden="1" x14ac:dyDescent="0.2">
      <c r="A227" s="63">
        <v>22590</v>
      </c>
      <c r="B227" s="50" t="s">
        <v>1412</v>
      </c>
      <c r="C227" s="50" t="s">
        <v>1624</v>
      </c>
      <c r="D227" s="50" t="s">
        <v>1624</v>
      </c>
      <c r="E227" s="50" t="s">
        <v>1960</v>
      </c>
      <c r="F227" s="50" t="s">
        <v>1961</v>
      </c>
      <c r="G227" s="50" t="s">
        <v>1974</v>
      </c>
      <c r="H227" s="50" t="s">
        <v>1961</v>
      </c>
    </row>
    <row r="228" spans="1:8" hidden="1" x14ac:dyDescent="0.2">
      <c r="A228" s="63">
        <v>22600</v>
      </c>
      <c r="B228" s="50" t="s">
        <v>1414</v>
      </c>
      <c r="C228" s="50" t="s">
        <v>1624</v>
      </c>
      <c r="D228" s="50" t="s">
        <v>1624</v>
      </c>
      <c r="E228" s="50" t="s">
        <v>1960</v>
      </c>
      <c r="F228" s="50" t="s">
        <v>1961</v>
      </c>
      <c r="G228" s="50" t="s">
        <v>1974</v>
      </c>
      <c r="H228" s="50" t="s">
        <v>1961</v>
      </c>
    </row>
    <row r="229" spans="1:8" hidden="1" x14ac:dyDescent="0.2">
      <c r="A229" s="63">
        <v>22610</v>
      </c>
      <c r="B229" s="50" t="s">
        <v>1416</v>
      </c>
      <c r="C229" s="50" t="s">
        <v>1624</v>
      </c>
      <c r="D229" s="50" t="s">
        <v>1624</v>
      </c>
      <c r="E229" s="50" t="s">
        <v>1960</v>
      </c>
      <c r="F229" s="50" t="s">
        <v>1961</v>
      </c>
      <c r="G229" s="50" t="s">
        <v>1974</v>
      </c>
      <c r="H229" s="50" t="s">
        <v>1961</v>
      </c>
    </row>
    <row r="230" spans="1:8" hidden="1" x14ac:dyDescent="0.2">
      <c r="A230" s="63">
        <v>22620</v>
      </c>
      <c r="B230" s="50" t="s">
        <v>1418</v>
      </c>
      <c r="C230" s="50" t="s">
        <v>1624</v>
      </c>
      <c r="D230" s="50" t="s">
        <v>1624</v>
      </c>
      <c r="E230" s="50" t="s">
        <v>1960</v>
      </c>
      <c r="F230" s="50" t="s">
        <v>1961</v>
      </c>
      <c r="G230" s="50" t="s">
        <v>1974</v>
      </c>
      <c r="H230" s="50" t="s">
        <v>1961</v>
      </c>
    </row>
    <row r="231" spans="1:8" hidden="1" x14ac:dyDescent="0.2">
      <c r="A231" s="63">
        <v>22630</v>
      </c>
      <c r="B231" s="50" t="s">
        <v>1420</v>
      </c>
      <c r="C231" s="50" t="s">
        <v>1624</v>
      </c>
      <c r="D231" s="50" t="s">
        <v>1624</v>
      </c>
      <c r="E231" s="50" t="s">
        <v>1960</v>
      </c>
      <c r="F231" s="50" t="s">
        <v>1961</v>
      </c>
      <c r="G231" s="50" t="s">
        <v>1974</v>
      </c>
      <c r="H231" s="50" t="s">
        <v>1961</v>
      </c>
    </row>
    <row r="232" spans="1:8" hidden="1" x14ac:dyDescent="0.2">
      <c r="A232" s="63">
        <v>22640</v>
      </c>
      <c r="B232" s="50" t="s">
        <v>1422</v>
      </c>
      <c r="C232" s="50" t="s">
        <v>1624</v>
      </c>
      <c r="D232" s="50" t="s">
        <v>1624</v>
      </c>
      <c r="E232" s="50" t="s">
        <v>1960</v>
      </c>
      <c r="F232" s="50" t="s">
        <v>1961</v>
      </c>
      <c r="G232" s="50" t="s">
        <v>1974</v>
      </c>
      <c r="H232" s="50" t="s">
        <v>1961</v>
      </c>
    </row>
    <row r="233" spans="1:8" hidden="1" x14ac:dyDescent="0.2">
      <c r="A233" s="63">
        <v>22650</v>
      </c>
      <c r="B233" s="50" t="s">
        <v>1424</v>
      </c>
      <c r="C233" s="50" t="s">
        <v>1624</v>
      </c>
      <c r="D233" s="50" t="s">
        <v>1624</v>
      </c>
      <c r="E233" s="50" t="s">
        <v>1960</v>
      </c>
      <c r="F233" s="50" t="s">
        <v>1961</v>
      </c>
      <c r="G233" s="50" t="s">
        <v>1974</v>
      </c>
      <c r="H233" s="50" t="s">
        <v>1961</v>
      </c>
    </row>
    <row r="234" spans="1:8" hidden="1" x14ac:dyDescent="0.2">
      <c r="A234" s="63">
        <v>22660</v>
      </c>
      <c r="B234" s="50" t="s">
        <v>1975</v>
      </c>
      <c r="C234" s="50" t="s">
        <v>1624</v>
      </c>
      <c r="D234" s="50" t="s">
        <v>1624</v>
      </c>
      <c r="E234" s="50" t="s">
        <v>1960</v>
      </c>
      <c r="F234" s="50" t="s">
        <v>1961</v>
      </c>
      <c r="G234" s="50" t="s">
        <v>1974</v>
      </c>
      <c r="H234" s="50" t="s">
        <v>1961</v>
      </c>
    </row>
    <row r="235" spans="1:8" hidden="1" x14ac:dyDescent="0.2">
      <c r="A235" s="63">
        <v>22670</v>
      </c>
      <c r="B235" s="50" t="s">
        <v>1976</v>
      </c>
      <c r="C235" s="50" t="s">
        <v>1624</v>
      </c>
      <c r="D235" s="50" t="s">
        <v>1624</v>
      </c>
      <c r="E235" s="50" t="s">
        <v>1960</v>
      </c>
      <c r="F235" s="50" t="s">
        <v>1961</v>
      </c>
      <c r="G235" s="50" t="s">
        <v>1974</v>
      </c>
      <c r="H235" s="50" t="s">
        <v>1961</v>
      </c>
    </row>
    <row r="236" spans="1:8" hidden="1" x14ac:dyDescent="0.2">
      <c r="A236" s="63">
        <v>22680</v>
      </c>
      <c r="B236" s="50" t="s">
        <v>1977</v>
      </c>
      <c r="C236" s="50" t="s">
        <v>1624</v>
      </c>
      <c r="D236" s="50" t="s">
        <v>1624</v>
      </c>
      <c r="E236" s="50" t="s">
        <v>1960</v>
      </c>
      <c r="F236" s="50" t="s">
        <v>1961</v>
      </c>
      <c r="G236" s="50" t="s">
        <v>1974</v>
      </c>
      <c r="H236" s="50" t="s">
        <v>1961</v>
      </c>
    </row>
    <row r="237" spans="1:8" x14ac:dyDescent="0.2">
      <c r="A237" s="63">
        <v>23100</v>
      </c>
      <c r="B237" s="50" t="s">
        <v>1428</v>
      </c>
      <c r="C237" s="50" t="s">
        <v>1624</v>
      </c>
      <c r="D237" s="50" t="s">
        <v>1624</v>
      </c>
      <c r="E237" s="50" t="s">
        <v>1978</v>
      </c>
      <c r="F237" s="50" t="s">
        <v>1979</v>
      </c>
      <c r="G237" s="50" t="s">
        <v>1980</v>
      </c>
      <c r="H237" s="50" t="s">
        <v>1979</v>
      </c>
    </row>
    <row r="238" spans="1:8" hidden="1" x14ac:dyDescent="0.2">
      <c r="A238" s="63">
        <v>25010</v>
      </c>
      <c r="B238" s="50" t="s">
        <v>1430</v>
      </c>
      <c r="C238" s="50" t="s">
        <v>1624</v>
      </c>
      <c r="D238" s="50" t="s">
        <v>1624</v>
      </c>
      <c r="E238" s="50" t="s">
        <v>1981</v>
      </c>
      <c r="F238" s="50" t="s">
        <v>1982</v>
      </c>
      <c r="G238" s="50" t="s">
        <v>1983</v>
      </c>
      <c r="H238" s="50" t="s">
        <v>1984</v>
      </c>
    </row>
    <row r="239" spans="1:8" hidden="1" x14ac:dyDescent="0.2">
      <c r="A239" s="63">
        <v>25020</v>
      </c>
      <c r="B239" s="50" t="s">
        <v>1432</v>
      </c>
      <c r="C239" s="50" t="s">
        <v>1624</v>
      </c>
      <c r="D239" s="50" t="s">
        <v>1624</v>
      </c>
      <c r="E239" s="50" t="s">
        <v>1981</v>
      </c>
      <c r="F239" s="50" t="s">
        <v>1982</v>
      </c>
      <c r="G239" s="50" t="s">
        <v>1983</v>
      </c>
      <c r="H239" s="50" t="s">
        <v>1984</v>
      </c>
    </row>
    <row r="240" spans="1:8" hidden="1" x14ac:dyDescent="0.2">
      <c r="A240" s="63">
        <v>25030</v>
      </c>
      <c r="B240" s="50" t="s">
        <v>1434</v>
      </c>
      <c r="C240" s="50" t="s">
        <v>1624</v>
      </c>
      <c r="D240" s="50" t="s">
        <v>1624</v>
      </c>
      <c r="E240" s="50" t="s">
        <v>1981</v>
      </c>
      <c r="F240" s="50" t="s">
        <v>1982</v>
      </c>
      <c r="G240" s="50" t="s">
        <v>1983</v>
      </c>
      <c r="H240" s="50" t="s">
        <v>1984</v>
      </c>
    </row>
    <row r="241" spans="1:8" hidden="1" x14ac:dyDescent="0.2">
      <c r="A241" s="63">
        <v>25040</v>
      </c>
      <c r="B241" s="50" t="s">
        <v>1436</v>
      </c>
      <c r="C241" s="50" t="s">
        <v>1624</v>
      </c>
      <c r="D241" s="50" t="s">
        <v>1624</v>
      </c>
      <c r="E241" s="50" t="s">
        <v>1981</v>
      </c>
      <c r="F241" s="50" t="s">
        <v>1982</v>
      </c>
      <c r="G241" s="50" t="s">
        <v>1983</v>
      </c>
      <c r="H241" s="50" t="s">
        <v>1984</v>
      </c>
    </row>
    <row r="242" spans="1:8" hidden="1" x14ac:dyDescent="0.2">
      <c r="A242" s="63">
        <v>25100</v>
      </c>
      <c r="B242" s="50" t="s">
        <v>1985</v>
      </c>
      <c r="C242" s="50" t="s">
        <v>1624</v>
      </c>
      <c r="D242" s="50" t="s">
        <v>1624</v>
      </c>
      <c r="E242" s="50" t="s">
        <v>1981</v>
      </c>
      <c r="F242" s="50" t="s">
        <v>1982</v>
      </c>
      <c r="G242" s="50" t="s">
        <v>1986</v>
      </c>
      <c r="H242" s="50" t="s">
        <v>1982</v>
      </c>
    </row>
    <row r="243" spans="1:8" hidden="1" x14ac:dyDescent="0.2">
      <c r="A243" s="63">
        <v>25110</v>
      </c>
      <c r="B243" s="50" t="s">
        <v>1440</v>
      </c>
      <c r="C243" s="50" t="s">
        <v>1624</v>
      </c>
      <c r="D243" s="50" t="s">
        <v>1624</v>
      </c>
      <c r="E243" s="50" t="s">
        <v>1981</v>
      </c>
      <c r="F243" s="50" t="s">
        <v>1982</v>
      </c>
      <c r="G243" s="50" t="s">
        <v>1986</v>
      </c>
      <c r="H243" s="50" t="s">
        <v>1982</v>
      </c>
    </row>
    <row r="244" spans="1:8" hidden="1" x14ac:dyDescent="0.2">
      <c r="A244" s="63">
        <v>25120</v>
      </c>
      <c r="B244" s="50" t="s">
        <v>1442</v>
      </c>
      <c r="C244" s="50" t="s">
        <v>1624</v>
      </c>
      <c r="D244" s="50" t="s">
        <v>1624</v>
      </c>
      <c r="E244" s="50" t="s">
        <v>1981</v>
      </c>
      <c r="F244" s="50" t="s">
        <v>1982</v>
      </c>
      <c r="G244" s="50" t="s">
        <v>1986</v>
      </c>
      <c r="H244" s="50" t="s">
        <v>1982</v>
      </c>
    </row>
    <row r="245" spans="1:8" hidden="1" x14ac:dyDescent="0.2">
      <c r="A245" s="63">
        <v>25130</v>
      </c>
      <c r="B245" s="50" t="s">
        <v>1444</v>
      </c>
      <c r="C245" s="50" t="s">
        <v>1624</v>
      </c>
      <c r="D245" s="50" t="s">
        <v>1624</v>
      </c>
      <c r="E245" s="50" t="s">
        <v>1981</v>
      </c>
      <c r="F245" s="50" t="s">
        <v>1982</v>
      </c>
      <c r="G245" s="50" t="s">
        <v>1986</v>
      </c>
      <c r="H245" s="50" t="s">
        <v>1982</v>
      </c>
    </row>
    <row r="246" spans="1:8" hidden="1" x14ac:dyDescent="0.2">
      <c r="A246" s="63">
        <v>25140</v>
      </c>
      <c r="B246" s="50" t="s">
        <v>1987</v>
      </c>
      <c r="C246" s="50" t="s">
        <v>1624</v>
      </c>
      <c r="D246" s="50" t="s">
        <v>1624</v>
      </c>
      <c r="E246" s="50" t="s">
        <v>1981</v>
      </c>
      <c r="F246" s="50" t="s">
        <v>1982</v>
      </c>
      <c r="G246" s="50" t="s">
        <v>1986</v>
      </c>
      <c r="H246" s="50" t="s">
        <v>1982</v>
      </c>
    </row>
    <row r="247" spans="1:8" hidden="1" x14ac:dyDescent="0.2">
      <c r="A247" s="63">
        <v>25200</v>
      </c>
      <c r="B247" s="50" t="s">
        <v>1988</v>
      </c>
      <c r="C247" s="50" t="s">
        <v>1624</v>
      </c>
      <c r="D247" s="50" t="s">
        <v>1624</v>
      </c>
      <c r="E247" s="50" t="s">
        <v>1981</v>
      </c>
      <c r="F247" s="50" t="s">
        <v>1982</v>
      </c>
      <c r="G247" s="50" t="s">
        <v>1986</v>
      </c>
      <c r="H247" s="50" t="s">
        <v>1982</v>
      </c>
    </row>
    <row r="248" spans="1:8" hidden="1" x14ac:dyDescent="0.2">
      <c r="A248" s="63">
        <v>25210</v>
      </c>
      <c r="B248" s="50" t="s">
        <v>1989</v>
      </c>
      <c r="C248" s="50" t="s">
        <v>1624</v>
      </c>
      <c r="D248" s="50" t="s">
        <v>1624</v>
      </c>
      <c r="E248" s="50" t="s">
        <v>1981</v>
      </c>
      <c r="F248" s="50" t="s">
        <v>1982</v>
      </c>
      <c r="G248" s="50" t="s">
        <v>1986</v>
      </c>
      <c r="H248" s="50" t="s">
        <v>1982</v>
      </c>
    </row>
    <row r="249" spans="1:8" hidden="1" x14ac:dyDescent="0.2">
      <c r="A249" s="63">
        <v>25220</v>
      </c>
      <c r="B249" s="50" t="s">
        <v>1990</v>
      </c>
      <c r="C249" s="50" t="s">
        <v>1624</v>
      </c>
      <c r="D249" s="50" t="s">
        <v>1624</v>
      </c>
      <c r="E249" s="50" t="s">
        <v>1981</v>
      </c>
      <c r="F249" s="50" t="s">
        <v>1982</v>
      </c>
      <c r="G249" s="50" t="s">
        <v>1986</v>
      </c>
      <c r="H249" s="50" t="s">
        <v>1982</v>
      </c>
    </row>
    <row r="250" spans="1:8" hidden="1" x14ac:dyDescent="0.2">
      <c r="A250" s="63">
        <v>25400</v>
      </c>
      <c r="B250" s="50" t="s">
        <v>1991</v>
      </c>
      <c r="C250" s="50" t="s">
        <v>1624</v>
      </c>
      <c r="D250" s="50" t="s">
        <v>1624</v>
      </c>
      <c r="E250" s="50" t="s">
        <v>1981</v>
      </c>
      <c r="F250" s="50" t="s">
        <v>1982</v>
      </c>
      <c r="G250" s="50" t="s">
        <v>1986</v>
      </c>
      <c r="H250" s="50" t="s">
        <v>1982</v>
      </c>
    </row>
    <row r="251" spans="1:8" hidden="1" x14ac:dyDescent="0.2">
      <c r="A251" s="63">
        <v>25500</v>
      </c>
      <c r="B251" s="50" t="s">
        <v>1992</v>
      </c>
      <c r="C251" s="50" t="s">
        <v>1624</v>
      </c>
      <c r="D251" s="50" t="s">
        <v>1624</v>
      </c>
      <c r="E251" s="50" t="s">
        <v>1981</v>
      </c>
      <c r="F251" s="50" t="s">
        <v>1982</v>
      </c>
      <c r="G251" s="50" t="s">
        <v>1986</v>
      </c>
      <c r="H251" s="50" t="s">
        <v>1982</v>
      </c>
    </row>
    <row r="252" spans="1:8" hidden="1" x14ac:dyDescent="0.2">
      <c r="A252" s="63">
        <v>26000</v>
      </c>
      <c r="B252" s="50" t="s">
        <v>1452</v>
      </c>
      <c r="C252" s="50" t="s">
        <v>1624</v>
      </c>
      <c r="D252" s="50" t="s">
        <v>1624</v>
      </c>
      <c r="E252" s="50" t="s">
        <v>1993</v>
      </c>
      <c r="F252" s="50" t="s">
        <v>1994</v>
      </c>
      <c r="G252" s="50" t="s">
        <v>1995</v>
      </c>
      <c r="H252" s="50" t="s">
        <v>1994</v>
      </c>
    </row>
    <row r="253" spans="1:8" hidden="1" x14ac:dyDescent="0.2">
      <c r="A253" s="63">
        <v>26100</v>
      </c>
      <c r="B253" s="50" t="s">
        <v>1454</v>
      </c>
      <c r="C253" s="50" t="s">
        <v>1624</v>
      </c>
      <c r="D253" s="50" t="s">
        <v>1624</v>
      </c>
      <c r="E253" s="50" t="s">
        <v>1993</v>
      </c>
      <c r="F253" s="50" t="s">
        <v>1994</v>
      </c>
      <c r="G253" s="50" t="s">
        <v>1995</v>
      </c>
      <c r="H253" s="50" t="s">
        <v>1994</v>
      </c>
    </row>
    <row r="254" spans="1:8" hidden="1" x14ac:dyDescent="0.2">
      <c r="A254" s="63">
        <v>29101</v>
      </c>
      <c r="B254" s="50" t="s">
        <v>1456</v>
      </c>
      <c r="C254" s="50" t="s">
        <v>1624</v>
      </c>
      <c r="D254" s="50" t="s">
        <v>1624</v>
      </c>
      <c r="E254" s="50" t="s">
        <v>1996</v>
      </c>
      <c r="F254" s="50" t="s">
        <v>1997</v>
      </c>
      <c r="G254" s="50" t="s">
        <v>1998</v>
      </c>
      <c r="H254" s="50" t="s">
        <v>1997</v>
      </c>
    </row>
    <row r="255" spans="1:8" hidden="1" x14ac:dyDescent="0.2">
      <c r="A255" s="63">
        <v>29102</v>
      </c>
      <c r="B255" s="50" t="s">
        <v>1999</v>
      </c>
      <c r="C255" s="50" t="s">
        <v>1624</v>
      </c>
      <c r="D255" s="50" t="s">
        <v>1624</v>
      </c>
      <c r="E255" s="50" t="s">
        <v>1996</v>
      </c>
      <c r="F255" s="50" t="s">
        <v>1997</v>
      </c>
      <c r="G255" s="50" t="s">
        <v>1998</v>
      </c>
      <c r="H255" s="50" t="s">
        <v>1997</v>
      </c>
    </row>
    <row r="256" spans="1:8" hidden="1" x14ac:dyDescent="0.2">
      <c r="A256" s="63">
        <v>29103</v>
      </c>
      <c r="B256" s="50" t="s">
        <v>2000</v>
      </c>
      <c r="C256" s="50" t="s">
        <v>1624</v>
      </c>
      <c r="D256" s="50" t="s">
        <v>1624</v>
      </c>
      <c r="E256" s="50" t="s">
        <v>1996</v>
      </c>
      <c r="F256" s="50" t="s">
        <v>1997</v>
      </c>
      <c r="G256" s="50" t="s">
        <v>1998</v>
      </c>
      <c r="H256" s="50" t="s">
        <v>1997</v>
      </c>
    </row>
    <row r="257" spans="1:8" hidden="1" x14ac:dyDescent="0.2">
      <c r="A257" s="63">
        <v>29104</v>
      </c>
      <c r="B257" s="50" t="s">
        <v>2001</v>
      </c>
      <c r="C257" s="50" t="s">
        <v>1624</v>
      </c>
      <c r="D257" s="50" t="s">
        <v>1624</v>
      </c>
      <c r="E257" s="50" t="s">
        <v>1996</v>
      </c>
      <c r="F257" s="50" t="s">
        <v>1997</v>
      </c>
      <c r="G257" s="50" t="s">
        <v>1998</v>
      </c>
      <c r="H257" s="50" t="s">
        <v>1997</v>
      </c>
    </row>
    <row r="258" spans="1:8" hidden="1" x14ac:dyDescent="0.2">
      <c r="A258" s="63">
        <v>29105</v>
      </c>
      <c r="B258" s="50" t="s">
        <v>2002</v>
      </c>
      <c r="C258" s="50" t="s">
        <v>1624</v>
      </c>
      <c r="D258" s="50" t="s">
        <v>1624</v>
      </c>
      <c r="E258" s="50" t="s">
        <v>1996</v>
      </c>
      <c r="F258" s="50" t="s">
        <v>1997</v>
      </c>
      <c r="G258" s="50" t="s">
        <v>1998</v>
      </c>
      <c r="H258" s="50" t="s">
        <v>1997</v>
      </c>
    </row>
    <row r="259" spans="1:8" hidden="1" x14ac:dyDescent="0.2">
      <c r="A259" s="63">
        <v>29106</v>
      </c>
      <c r="B259" s="50" t="s">
        <v>2003</v>
      </c>
      <c r="C259" s="50" t="s">
        <v>1624</v>
      </c>
      <c r="D259" s="50" t="s">
        <v>1624</v>
      </c>
      <c r="E259" s="50" t="s">
        <v>1996</v>
      </c>
      <c r="F259" s="50" t="s">
        <v>1997</v>
      </c>
      <c r="G259" s="50" t="s">
        <v>1998</v>
      </c>
      <c r="H259" s="50" t="s">
        <v>1997</v>
      </c>
    </row>
    <row r="260" spans="1:8" hidden="1" x14ac:dyDescent="0.2">
      <c r="A260" s="63">
        <v>29107</v>
      </c>
      <c r="B260" s="50" t="s">
        <v>2004</v>
      </c>
      <c r="C260" s="50" t="s">
        <v>1624</v>
      </c>
      <c r="D260" s="50" t="s">
        <v>1624</v>
      </c>
      <c r="E260" s="50" t="s">
        <v>1996</v>
      </c>
      <c r="F260" s="50" t="s">
        <v>1997</v>
      </c>
      <c r="G260" s="50" t="s">
        <v>1998</v>
      </c>
      <c r="H260" s="50" t="s">
        <v>1997</v>
      </c>
    </row>
    <row r="261" spans="1:8" hidden="1" x14ac:dyDescent="0.2">
      <c r="A261" s="63">
        <v>30000</v>
      </c>
      <c r="B261" s="50" t="s">
        <v>78</v>
      </c>
      <c r="C261" s="50" t="s">
        <v>1624</v>
      </c>
      <c r="D261" s="50" t="s">
        <v>1624</v>
      </c>
      <c r="E261" s="50" t="s">
        <v>2005</v>
      </c>
      <c r="F261" s="50" t="s">
        <v>2005</v>
      </c>
      <c r="G261" s="50" t="s">
        <v>2006</v>
      </c>
      <c r="H261" s="50" t="s">
        <v>2007</v>
      </c>
    </row>
    <row r="262" spans="1:8" hidden="1" x14ac:dyDescent="0.2">
      <c r="A262" s="63">
        <v>30010</v>
      </c>
      <c r="B262" s="50" t="s">
        <v>302</v>
      </c>
      <c r="C262" s="50" t="s">
        <v>1624</v>
      </c>
      <c r="D262" s="50" t="s">
        <v>1624</v>
      </c>
      <c r="E262" s="50" t="s">
        <v>2005</v>
      </c>
      <c r="F262" s="50" t="s">
        <v>2005</v>
      </c>
      <c r="G262" s="50" t="s">
        <v>2006</v>
      </c>
      <c r="H262" s="50" t="s">
        <v>2007</v>
      </c>
    </row>
    <row r="263" spans="1:8" hidden="1" x14ac:dyDescent="0.2">
      <c r="A263" s="63">
        <v>30020</v>
      </c>
      <c r="B263" s="50" t="s">
        <v>304</v>
      </c>
      <c r="C263" s="50" t="s">
        <v>1624</v>
      </c>
      <c r="D263" s="50" t="s">
        <v>1624</v>
      </c>
      <c r="E263" s="50" t="s">
        <v>2008</v>
      </c>
      <c r="F263" s="50" t="s">
        <v>2008</v>
      </c>
      <c r="G263" s="50" t="s">
        <v>2009</v>
      </c>
      <c r="H263" s="50" t="s">
        <v>2007</v>
      </c>
    </row>
    <row r="264" spans="1:8" hidden="1" x14ac:dyDescent="0.2">
      <c r="A264" s="63">
        <v>30030</v>
      </c>
      <c r="B264" s="50" t="s">
        <v>306</v>
      </c>
      <c r="C264" s="50" t="s">
        <v>1624</v>
      </c>
      <c r="D264" s="50" t="s">
        <v>1624</v>
      </c>
      <c r="E264" s="50" t="s">
        <v>2008</v>
      </c>
      <c r="F264" s="50" t="s">
        <v>2008</v>
      </c>
      <c r="G264" s="50" t="s">
        <v>2009</v>
      </c>
      <c r="H264" s="50" t="s">
        <v>2007</v>
      </c>
    </row>
    <row r="265" spans="1:8" hidden="1" x14ac:dyDescent="0.2">
      <c r="A265" s="63">
        <v>30040</v>
      </c>
      <c r="B265" s="50" t="s">
        <v>310</v>
      </c>
      <c r="C265" s="50" t="s">
        <v>1624</v>
      </c>
      <c r="D265" s="50" t="s">
        <v>1624</v>
      </c>
      <c r="E265" s="50" t="s">
        <v>2008</v>
      </c>
      <c r="F265" s="50" t="s">
        <v>2008</v>
      </c>
      <c r="G265" s="50" t="s">
        <v>2009</v>
      </c>
      <c r="H265" s="50" t="s">
        <v>2007</v>
      </c>
    </row>
    <row r="266" spans="1:8" hidden="1" x14ac:dyDescent="0.2">
      <c r="A266" s="63">
        <v>30050</v>
      </c>
      <c r="B266" s="50" t="s">
        <v>1459</v>
      </c>
      <c r="C266" s="50" t="s">
        <v>1624</v>
      </c>
      <c r="D266" s="50" t="s">
        <v>1624</v>
      </c>
      <c r="E266" s="50" t="s">
        <v>2008</v>
      </c>
      <c r="F266" s="50" t="s">
        <v>2008</v>
      </c>
      <c r="G266" s="50" t="s">
        <v>2009</v>
      </c>
      <c r="H266" s="50" t="s">
        <v>2007</v>
      </c>
    </row>
    <row r="267" spans="1:8" hidden="1" x14ac:dyDescent="0.2">
      <c r="A267" s="63">
        <v>30060</v>
      </c>
      <c r="B267" s="50" t="s">
        <v>312</v>
      </c>
      <c r="C267" s="50" t="s">
        <v>1624</v>
      </c>
      <c r="D267" s="50" t="s">
        <v>1624</v>
      </c>
      <c r="E267" s="50" t="s">
        <v>2008</v>
      </c>
      <c r="F267" s="50" t="s">
        <v>2008</v>
      </c>
      <c r="G267" s="50" t="s">
        <v>2009</v>
      </c>
      <c r="H267" s="50" t="s">
        <v>2007</v>
      </c>
    </row>
    <row r="268" spans="1:8" hidden="1" x14ac:dyDescent="0.2">
      <c r="A268" s="63">
        <v>30099</v>
      </c>
      <c r="B268" s="50" t="s">
        <v>242</v>
      </c>
      <c r="C268" s="50" t="s">
        <v>1624</v>
      </c>
      <c r="D268" s="50" t="s">
        <v>1624</v>
      </c>
      <c r="E268" s="50" t="s">
        <v>2008</v>
      </c>
      <c r="F268" s="50" t="s">
        <v>2008</v>
      </c>
      <c r="G268" s="50" t="s">
        <v>2009</v>
      </c>
      <c r="H268" s="50" t="s">
        <v>2007</v>
      </c>
    </row>
    <row r="269" spans="1:8" hidden="1" x14ac:dyDescent="0.2">
      <c r="A269" s="63">
        <v>30100</v>
      </c>
      <c r="B269" s="50" t="s">
        <v>79</v>
      </c>
      <c r="C269" s="50" t="s">
        <v>1624</v>
      </c>
      <c r="D269" s="50" t="s">
        <v>1624</v>
      </c>
      <c r="E269" s="50" t="s">
        <v>2005</v>
      </c>
      <c r="F269" s="50" t="s">
        <v>2005</v>
      </c>
      <c r="G269" s="50" t="s">
        <v>2010</v>
      </c>
      <c r="H269" s="50" t="s">
        <v>2007</v>
      </c>
    </row>
    <row r="270" spans="1:8" hidden="1" x14ac:dyDescent="0.2">
      <c r="A270" s="63">
        <v>30199</v>
      </c>
      <c r="B270" s="50" t="s">
        <v>1460</v>
      </c>
      <c r="C270" s="50" t="s">
        <v>1624</v>
      </c>
      <c r="D270" s="50" t="s">
        <v>1624</v>
      </c>
      <c r="E270" s="50" t="s">
        <v>2011</v>
      </c>
      <c r="F270" s="50" t="s">
        <v>2011</v>
      </c>
      <c r="G270" s="50" t="s">
        <v>2012</v>
      </c>
      <c r="H270" s="50" t="s">
        <v>2007</v>
      </c>
    </row>
    <row r="271" spans="1:8" hidden="1" x14ac:dyDescent="0.2">
      <c r="A271" s="63">
        <v>30200</v>
      </c>
      <c r="B271" s="50" t="s">
        <v>1461</v>
      </c>
      <c r="C271" s="50" t="s">
        <v>1624</v>
      </c>
      <c r="D271" s="50" t="s">
        <v>1624</v>
      </c>
      <c r="E271" s="50" t="s">
        <v>2005</v>
      </c>
      <c r="F271" s="50" t="s">
        <v>2005</v>
      </c>
      <c r="G271" s="50" t="s">
        <v>2013</v>
      </c>
      <c r="H271" s="50" t="s">
        <v>2007</v>
      </c>
    </row>
    <row r="272" spans="1:8" hidden="1" x14ac:dyDescent="0.2">
      <c r="A272" s="63">
        <v>30299</v>
      </c>
      <c r="B272" s="50" t="s">
        <v>1462</v>
      </c>
      <c r="C272" s="50" t="s">
        <v>1624</v>
      </c>
      <c r="D272" s="50" t="s">
        <v>1624</v>
      </c>
      <c r="E272" s="50" t="s">
        <v>2011</v>
      </c>
      <c r="F272" s="50" t="s">
        <v>2011</v>
      </c>
      <c r="G272" s="50" t="s">
        <v>2014</v>
      </c>
      <c r="H272" s="50" t="s">
        <v>2007</v>
      </c>
    </row>
    <row r="273" spans="1:8" hidden="1" x14ac:dyDescent="0.2">
      <c r="A273" s="63">
        <v>30400</v>
      </c>
      <c r="B273" s="50" t="s">
        <v>323</v>
      </c>
      <c r="C273" s="50" t="s">
        <v>1624</v>
      </c>
      <c r="D273" s="50" t="s">
        <v>1624</v>
      </c>
      <c r="E273" s="50" t="s">
        <v>2015</v>
      </c>
      <c r="F273" s="50" t="s">
        <v>2015</v>
      </c>
      <c r="G273" s="50" t="s">
        <v>2016</v>
      </c>
      <c r="H273" s="50" t="s">
        <v>2007</v>
      </c>
    </row>
    <row r="274" spans="1:8" hidden="1" x14ac:dyDescent="0.2">
      <c r="A274" s="63">
        <v>30410</v>
      </c>
      <c r="B274" s="50" t="s">
        <v>325</v>
      </c>
      <c r="C274" s="50" t="s">
        <v>1624</v>
      </c>
      <c r="D274" s="50" t="s">
        <v>1624</v>
      </c>
      <c r="E274" s="50" t="s">
        <v>2015</v>
      </c>
      <c r="F274" s="50" t="s">
        <v>2015</v>
      </c>
      <c r="G274" s="50" t="s">
        <v>2016</v>
      </c>
      <c r="H274" s="50" t="s">
        <v>2007</v>
      </c>
    </row>
    <row r="275" spans="1:8" hidden="1" x14ac:dyDescent="0.2">
      <c r="A275" s="63">
        <v>30420</v>
      </c>
      <c r="B275" s="50" t="s">
        <v>327</v>
      </c>
      <c r="C275" s="50" t="s">
        <v>1624</v>
      </c>
      <c r="D275" s="50" t="s">
        <v>1624</v>
      </c>
      <c r="E275" s="50" t="s">
        <v>2015</v>
      </c>
      <c r="F275" s="50" t="s">
        <v>2015</v>
      </c>
      <c r="G275" s="50" t="s">
        <v>2016</v>
      </c>
      <c r="H275" s="50" t="s">
        <v>2007</v>
      </c>
    </row>
    <row r="276" spans="1:8" hidden="1" x14ac:dyDescent="0.2">
      <c r="A276" s="63">
        <v>30430</v>
      </c>
      <c r="B276" s="50" t="s">
        <v>329</v>
      </c>
      <c r="C276" s="50" t="s">
        <v>1624</v>
      </c>
      <c r="D276" s="50" t="s">
        <v>1624</v>
      </c>
      <c r="E276" s="50" t="s">
        <v>2015</v>
      </c>
      <c r="F276" s="50" t="s">
        <v>2015</v>
      </c>
      <c r="G276" s="50" t="s">
        <v>2016</v>
      </c>
      <c r="H276" s="50" t="s">
        <v>2007</v>
      </c>
    </row>
    <row r="277" spans="1:8" hidden="1" x14ac:dyDescent="0.2">
      <c r="A277" s="63">
        <v>30440</v>
      </c>
      <c r="B277" s="50" t="s">
        <v>80</v>
      </c>
      <c r="C277" s="50" t="s">
        <v>1624</v>
      </c>
      <c r="D277" s="50" t="s">
        <v>1624</v>
      </c>
      <c r="E277" s="50" t="s">
        <v>2015</v>
      </c>
      <c r="F277" s="50" t="s">
        <v>2015</v>
      </c>
      <c r="G277" s="50" t="s">
        <v>2016</v>
      </c>
      <c r="H277" s="50" t="s">
        <v>2007</v>
      </c>
    </row>
    <row r="278" spans="1:8" hidden="1" x14ac:dyDescent="0.2">
      <c r="A278" s="63">
        <v>30499</v>
      </c>
      <c r="B278" s="50" t="s">
        <v>1463</v>
      </c>
      <c r="C278" s="50" t="s">
        <v>1624</v>
      </c>
      <c r="D278" s="50" t="s">
        <v>1624</v>
      </c>
      <c r="E278" s="50" t="s">
        <v>2015</v>
      </c>
      <c r="F278" s="50" t="s">
        <v>2015</v>
      </c>
      <c r="G278" s="50" t="s">
        <v>2016</v>
      </c>
      <c r="H278" s="50" t="s">
        <v>2007</v>
      </c>
    </row>
    <row r="279" spans="1:8" hidden="1" x14ac:dyDescent="0.2">
      <c r="A279" s="63">
        <v>30500</v>
      </c>
      <c r="B279" s="50" t="s">
        <v>2317</v>
      </c>
      <c r="C279" s="50" t="s">
        <v>1624</v>
      </c>
      <c r="D279" s="50" t="s">
        <v>1624</v>
      </c>
      <c r="E279" s="50" t="s">
        <v>2017</v>
      </c>
      <c r="F279" s="50" t="s">
        <v>2017</v>
      </c>
      <c r="G279" s="50" t="s">
        <v>2018</v>
      </c>
      <c r="H279" s="50" t="s">
        <v>2007</v>
      </c>
    </row>
    <row r="280" spans="1:8" hidden="1" x14ac:dyDescent="0.2">
      <c r="A280" s="63">
        <v>30501</v>
      </c>
      <c r="B280" s="50" t="s">
        <v>335</v>
      </c>
      <c r="C280" s="50" t="s">
        <v>1624</v>
      </c>
      <c r="D280" s="50" t="s">
        <v>1624</v>
      </c>
      <c r="E280" s="50" t="s">
        <v>2017</v>
      </c>
      <c r="F280" s="50" t="s">
        <v>2017</v>
      </c>
      <c r="G280" s="50" t="s">
        <v>2018</v>
      </c>
      <c r="H280" s="50" t="s">
        <v>2007</v>
      </c>
    </row>
    <row r="281" spans="1:8" hidden="1" x14ac:dyDescent="0.2">
      <c r="A281" s="63">
        <v>30502</v>
      </c>
      <c r="B281" s="50" t="s">
        <v>337</v>
      </c>
      <c r="C281" s="50" t="s">
        <v>1624</v>
      </c>
      <c r="D281" s="50" t="s">
        <v>1624</v>
      </c>
      <c r="E281" s="50" t="s">
        <v>2017</v>
      </c>
      <c r="F281" s="50" t="s">
        <v>2017</v>
      </c>
      <c r="G281" s="50" t="s">
        <v>2018</v>
      </c>
      <c r="H281" s="50" t="s">
        <v>2007</v>
      </c>
    </row>
    <row r="282" spans="1:8" hidden="1" x14ac:dyDescent="0.2">
      <c r="A282" s="63">
        <v>30503</v>
      </c>
      <c r="B282" s="50" t="s">
        <v>339</v>
      </c>
      <c r="C282" s="50" t="s">
        <v>1624</v>
      </c>
      <c r="D282" s="50" t="s">
        <v>1624</v>
      </c>
      <c r="E282" s="50" t="s">
        <v>2017</v>
      </c>
      <c r="F282" s="50" t="s">
        <v>2017</v>
      </c>
      <c r="G282" s="50" t="s">
        <v>2018</v>
      </c>
      <c r="H282" s="50" t="s">
        <v>2007</v>
      </c>
    </row>
    <row r="283" spans="1:8" hidden="1" x14ac:dyDescent="0.2">
      <c r="A283" s="63">
        <v>30520</v>
      </c>
      <c r="B283" s="50" t="s">
        <v>341</v>
      </c>
      <c r="C283" s="50" t="s">
        <v>1624</v>
      </c>
      <c r="D283" s="50" t="s">
        <v>1624</v>
      </c>
      <c r="E283" s="50" t="s">
        <v>2017</v>
      </c>
      <c r="F283" s="50" t="s">
        <v>2017</v>
      </c>
      <c r="G283" s="50" t="s">
        <v>2018</v>
      </c>
      <c r="H283" s="50" t="s">
        <v>2007</v>
      </c>
    </row>
    <row r="284" spans="1:8" hidden="1" x14ac:dyDescent="0.2">
      <c r="A284" s="63">
        <v>30521</v>
      </c>
      <c r="B284" s="50" t="s">
        <v>2305</v>
      </c>
      <c r="C284" s="50" t="s">
        <v>1624</v>
      </c>
      <c r="D284" s="50" t="s">
        <v>1624</v>
      </c>
      <c r="E284" s="50" t="s">
        <v>2017</v>
      </c>
      <c r="F284" s="50" t="s">
        <v>2017</v>
      </c>
      <c r="G284" s="50" t="s">
        <v>2018</v>
      </c>
      <c r="H284" s="50" t="s">
        <v>2007</v>
      </c>
    </row>
    <row r="285" spans="1:8" hidden="1" x14ac:dyDescent="0.2">
      <c r="A285" s="63">
        <v>30522</v>
      </c>
      <c r="B285" s="50" t="s">
        <v>1464</v>
      </c>
      <c r="C285" s="50" t="s">
        <v>1624</v>
      </c>
      <c r="D285" s="50" t="s">
        <v>1624</v>
      </c>
      <c r="E285" s="50" t="s">
        <v>2017</v>
      </c>
      <c r="F285" s="50" t="s">
        <v>2017</v>
      </c>
      <c r="G285" s="50" t="s">
        <v>2018</v>
      </c>
      <c r="H285" s="50" t="s">
        <v>2007</v>
      </c>
    </row>
    <row r="286" spans="1:8" hidden="1" x14ac:dyDescent="0.2">
      <c r="A286" s="63">
        <v>30523</v>
      </c>
      <c r="B286" s="50" t="s">
        <v>2306</v>
      </c>
      <c r="C286" s="50" t="s">
        <v>1624</v>
      </c>
      <c r="D286" s="50" t="s">
        <v>1624</v>
      </c>
      <c r="E286" s="50" t="s">
        <v>2017</v>
      </c>
      <c r="F286" s="50" t="s">
        <v>2017</v>
      </c>
      <c r="G286" s="50" t="s">
        <v>2018</v>
      </c>
      <c r="H286" s="50" t="s">
        <v>2007</v>
      </c>
    </row>
    <row r="287" spans="1:8" hidden="1" x14ac:dyDescent="0.2">
      <c r="A287" s="63">
        <v>30524</v>
      </c>
      <c r="B287" s="50" t="s">
        <v>349</v>
      </c>
      <c r="C287" s="50" t="s">
        <v>1624</v>
      </c>
      <c r="D287" s="50" t="s">
        <v>1624</v>
      </c>
      <c r="E287" s="50" t="s">
        <v>2017</v>
      </c>
      <c r="F287" s="50" t="s">
        <v>2017</v>
      </c>
      <c r="G287" s="50" t="s">
        <v>2018</v>
      </c>
      <c r="H287" s="50" t="s">
        <v>2007</v>
      </c>
    </row>
    <row r="288" spans="1:8" hidden="1" x14ac:dyDescent="0.2">
      <c r="A288" s="63">
        <v>30550</v>
      </c>
      <c r="B288" s="50" t="s">
        <v>2307</v>
      </c>
      <c r="C288" s="50" t="s">
        <v>1624</v>
      </c>
      <c r="D288" s="50" t="s">
        <v>1624</v>
      </c>
      <c r="E288" s="50" t="s">
        <v>2017</v>
      </c>
      <c r="F288" s="50" t="s">
        <v>2017</v>
      </c>
      <c r="G288" s="50" t="s">
        <v>2018</v>
      </c>
      <c r="H288" s="50" t="s">
        <v>2007</v>
      </c>
    </row>
    <row r="289" spans="1:8" hidden="1" x14ac:dyDescent="0.2">
      <c r="A289" s="63">
        <v>30551</v>
      </c>
      <c r="B289" s="50" t="s">
        <v>2308</v>
      </c>
      <c r="C289" s="50" t="s">
        <v>1624</v>
      </c>
      <c r="D289" s="50" t="s">
        <v>1624</v>
      </c>
      <c r="E289" s="50" t="s">
        <v>2017</v>
      </c>
      <c r="F289" s="50" t="s">
        <v>2017</v>
      </c>
      <c r="G289" s="50" t="s">
        <v>2018</v>
      </c>
      <c r="H289" s="50" t="s">
        <v>2007</v>
      </c>
    </row>
    <row r="290" spans="1:8" hidden="1" x14ac:dyDescent="0.2">
      <c r="A290" s="63">
        <v>30552</v>
      </c>
      <c r="B290" s="50" t="s">
        <v>2309</v>
      </c>
      <c r="C290" s="50" t="s">
        <v>1624</v>
      </c>
      <c r="D290" s="50" t="s">
        <v>1624</v>
      </c>
      <c r="E290" s="50" t="s">
        <v>2017</v>
      </c>
      <c r="F290" s="50" t="s">
        <v>2017</v>
      </c>
      <c r="G290" s="50" t="s">
        <v>2018</v>
      </c>
      <c r="H290" s="50" t="s">
        <v>2007</v>
      </c>
    </row>
    <row r="291" spans="1:8" hidden="1" x14ac:dyDescent="0.2">
      <c r="A291" s="63">
        <v>30553</v>
      </c>
      <c r="B291" s="50" t="s">
        <v>2310</v>
      </c>
      <c r="C291" s="50" t="s">
        <v>1624</v>
      </c>
      <c r="D291" s="50" t="s">
        <v>1624</v>
      </c>
      <c r="E291" s="50" t="s">
        <v>2017</v>
      </c>
      <c r="F291" s="50" t="s">
        <v>2017</v>
      </c>
      <c r="G291" s="50" t="s">
        <v>2018</v>
      </c>
      <c r="H291" s="50" t="s">
        <v>2007</v>
      </c>
    </row>
    <row r="292" spans="1:8" hidden="1" x14ac:dyDescent="0.2">
      <c r="A292" s="63">
        <v>30554</v>
      </c>
      <c r="B292" s="50" t="s">
        <v>85</v>
      </c>
      <c r="C292" s="50" t="s">
        <v>1624</v>
      </c>
      <c r="D292" s="50" t="s">
        <v>1624</v>
      </c>
      <c r="E292" s="50" t="s">
        <v>2017</v>
      </c>
      <c r="F292" s="50" t="s">
        <v>2017</v>
      </c>
      <c r="G292" s="50" t="s">
        <v>2018</v>
      </c>
      <c r="H292" s="50" t="s">
        <v>2007</v>
      </c>
    </row>
    <row r="293" spans="1:8" hidden="1" x14ac:dyDescent="0.2">
      <c r="A293" s="63">
        <v>30599</v>
      </c>
      <c r="B293" s="50" t="s">
        <v>1465</v>
      </c>
      <c r="C293" s="50" t="s">
        <v>1624</v>
      </c>
      <c r="D293" s="50" t="s">
        <v>1624</v>
      </c>
      <c r="E293" s="50" t="s">
        <v>2017</v>
      </c>
      <c r="F293" s="50" t="s">
        <v>2017</v>
      </c>
      <c r="G293" s="50" t="s">
        <v>2018</v>
      </c>
      <c r="H293" s="50" t="s">
        <v>2007</v>
      </c>
    </row>
    <row r="294" spans="1:8" hidden="1" x14ac:dyDescent="0.2">
      <c r="A294" s="63">
        <v>31000</v>
      </c>
      <c r="B294" s="50" t="s">
        <v>86</v>
      </c>
      <c r="C294" s="50" t="s">
        <v>1624</v>
      </c>
      <c r="D294" s="50" t="s">
        <v>1624</v>
      </c>
      <c r="E294" s="50" t="s">
        <v>2008</v>
      </c>
      <c r="F294" s="50" t="s">
        <v>2008</v>
      </c>
      <c r="G294" s="50" t="s">
        <v>2019</v>
      </c>
      <c r="H294" s="50" t="s">
        <v>2007</v>
      </c>
    </row>
    <row r="295" spans="1:8" hidden="1" x14ac:dyDescent="0.2">
      <c r="A295" s="63">
        <v>31001</v>
      </c>
      <c r="B295" s="50" t="s">
        <v>87</v>
      </c>
      <c r="C295" s="50" t="s">
        <v>1624</v>
      </c>
      <c r="D295" s="50" t="s">
        <v>1624</v>
      </c>
      <c r="E295" s="50" t="s">
        <v>2008</v>
      </c>
      <c r="F295" s="50" t="s">
        <v>2008</v>
      </c>
      <c r="G295" s="50" t="s">
        <v>2019</v>
      </c>
      <c r="H295" s="50" t="s">
        <v>2007</v>
      </c>
    </row>
    <row r="296" spans="1:8" hidden="1" x14ac:dyDescent="0.2">
      <c r="A296" s="63">
        <v>31002</v>
      </c>
      <c r="B296" s="50" t="s">
        <v>88</v>
      </c>
      <c r="C296" s="50" t="s">
        <v>1624</v>
      </c>
      <c r="D296" s="50" t="s">
        <v>1624</v>
      </c>
      <c r="E296" s="50" t="s">
        <v>2008</v>
      </c>
      <c r="F296" s="50" t="s">
        <v>2008</v>
      </c>
      <c r="G296" s="50" t="s">
        <v>2019</v>
      </c>
      <c r="H296" s="50" t="s">
        <v>2007</v>
      </c>
    </row>
    <row r="297" spans="1:8" hidden="1" x14ac:dyDescent="0.2">
      <c r="A297" s="63">
        <v>31003</v>
      </c>
      <c r="B297" s="50" t="s">
        <v>89</v>
      </c>
      <c r="C297" s="50" t="s">
        <v>1624</v>
      </c>
      <c r="D297" s="50" t="s">
        <v>1624</v>
      </c>
      <c r="E297" s="50" t="s">
        <v>2008</v>
      </c>
      <c r="F297" s="50" t="s">
        <v>2008</v>
      </c>
      <c r="G297" s="50" t="s">
        <v>2019</v>
      </c>
      <c r="H297" s="50" t="s">
        <v>2007</v>
      </c>
    </row>
    <row r="298" spans="1:8" hidden="1" x14ac:dyDescent="0.2">
      <c r="A298" s="63">
        <v>31004</v>
      </c>
      <c r="B298" s="50" t="s">
        <v>90</v>
      </c>
      <c r="C298" s="50" t="s">
        <v>1624</v>
      </c>
      <c r="D298" s="50" t="s">
        <v>1624</v>
      </c>
      <c r="E298" s="50" t="s">
        <v>2008</v>
      </c>
      <c r="F298" s="50" t="s">
        <v>2008</v>
      </c>
      <c r="G298" s="50" t="s">
        <v>2019</v>
      </c>
      <c r="H298" s="50" t="s">
        <v>2007</v>
      </c>
    </row>
    <row r="299" spans="1:8" hidden="1" x14ac:dyDescent="0.2">
      <c r="A299" s="63">
        <v>31005</v>
      </c>
      <c r="B299" s="50" t="s">
        <v>91</v>
      </c>
      <c r="C299" s="50" t="s">
        <v>1624</v>
      </c>
      <c r="D299" s="50" t="s">
        <v>1624</v>
      </c>
      <c r="E299" s="50" t="s">
        <v>2008</v>
      </c>
      <c r="F299" s="50" t="s">
        <v>2008</v>
      </c>
      <c r="G299" s="50" t="s">
        <v>2019</v>
      </c>
      <c r="H299" s="50" t="s">
        <v>2007</v>
      </c>
    </row>
    <row r="300" spans="1:8" hidden="1" x14ac:dyDescent="0.2">
      <c r="A300" s="63">
        <v>31006</v>
      </c>
      <c r="B300" s="50" t="s">
        <v>364</v>
      </c>
      <c r="C300" s="50" t="s">
        <v>1624</v>
      </c>
      <c r="D300" s="50" t="s">
        <v>1624</v>
      </c>
      <c r="E300" s="50" t="s">
        <v>2008</v>
      </c>
      <c r="F300" s="50" t="s">
        <v>2008</v>
      </c>
      <c r="G300" s="50" t="s">
        <v>2019</v>
      </c>
      <c r="H300" s="50" t="s">
        <v>2007</v>
      </c>
    </row>
    <row r="301" spans="1:8" hidden="1" x14ac:dyDescent="0.2">
      <c r="A301" s="63">
        <v>31100</v>
      </c>
      <c r="B301" s="50" t="s">
        <v>1467</v>
      </c>
      <c r="C301" s="50" t="s">
        <v>1624</v>
      </c>
      <c r="D301" s="50" t="s">
        <v>1624</v>
      </c>
      <c r="E301" s="50" t="s">
        <v>2008</v>
      </c>
      <c r="F301" s="50" t="s">
        <v>2008</v>
      </c>
      <c r="G301" s="50" t="s">
        <v>2020</v>
      </c>
      <c r="H301" s="50" t="s">
        <v>2007</v>
      </c>
    </row>
    <row r="302" spans="1:8" hidden="1" x14ac:dyDescent="0.2">
      <c r="A302" s="63">
        <v>31150</v>
      </c>
      <c r="B302" s="50" t="s">
        <v>1468</v>
      </c>
      <c r="C302" s="50" t="s">
        <v>1624</v>
      </c>
      <c r="D302" s="50" t="s">
        <v>1624</v>
      </c>
      <c r="E302" s="50" t="s">
        <v>2008</v>
      </c>
      <c r="F302" s="50" t="s">
        <v>2008</v>
      </c>
      <c r="G302" s="50" t="s">
        <v>2020</v>
      </c>
      <c r="H302" s="50" t="s">
        <v>2007</v>
      </c>
    </row>
    <row r="303" spans="1:8" hidden="1" x14ac:dyDescent="0.2">
      <c r="A303" s="63">
        <v>31200</v>
      </c>
      <c r="B303" s="50" t="s">
        <v>93</v>
      </c>
      <c r="C303" s="50" t="s">
        <v>1624</v>
      </c>
      <c r="D303" s="50" t="s">
        <v>1624</v>
      </c>
      <c r="E303" s="50" t="s">
        <v>2008</v>
      </c>
      <c r="F303" s="50" t="s">
        <v>2008</v>
      </c>
      <c r="G303" s="50" t="s">
        <v>2020</v>
      </c>
      <c r="H303" s="50" t="s">
        <v>2007</v>
      </c>
    </row>
    <row r="304" spans="1:8" hidden="1" x14ac:dyDescent="0.2">
      <c r="A304" s="63">
        <v>31201</v>
      </c>
      <c r="B304" s="50" t="s">
        <v>94</v>
      </c>
      <c r="C304" s="50" t="s">
        <v>1624</v>
      </c>
      <c r="D304" s="50" t="s">
        <v>1624</v>
      </c>
      <c r="E304" s="50" t="s">
        <v>2008</v>
      </c>
      <c r="F304" s="50" t="s">
        <v>2008</v>
      </c>
      <c r="G304" s="50" t="s">
        <v>2020</v>
      </c>
      <c r="H304" s="50" t="s">
        <v>2007</v>
      </c>
    </row>
    <row r="305" spans="1:8" hidden="1" x14ac:dyDescent="0.2">
      <c r="A305" s="63">
        <v>31202</v>
      </c>
      <c r="B305" s="50" t="s">
        <v>95</v>
      </c>
      <c r="C305" s="50" t="s">
        <v>1624</v>
      </c>
      <c r="D305" s="50" t="s">
        <v>1624</v>
      </c>
      <c r="E305" s="50" t="s">
        <v>2008</v>
      </c>
      <c r="F305" s="50" t="s">
        <v>2008</v>
      </c>
      <c r="G305" s="50" t="s">
        <v>2020</v>
      </c>
      <c r="H305" s="50" t="s">
        <v>2007</v>
      </c>
    </row>
    <row r="306" spans="1:8" hidden="1" x14ac:dyDescent="0.2">
      <c r="A306" s="63">
        <v>31203</v>
      </c>
      <c r="B306" s="50" t="s">
        <v>96</v>
      </c>
      <c r="C306" s="50" t="s">
        <v>1624</v>
      </c>
      <c r="D306" s="50" t="s">
        <v>1624</v>
      </c>
      <c r="E306" s="50" t="s">
        <v>2008</v>
      </c>
      <c r="F306" s="50" t="s">
        <v>2008</v>
      </c>
      <c r="G306" s="50" t="s">
        <v>2020</v>
      </c>
      <c r="H306" s="50" t="s">
        <v>2007</v>
      </c>
    </row>
    <row r="307" spans="1:8" hidden="1" x14ac:dyDescent="0.2">
      <c r="A307" s="63">
        <v>31204</v>
      </c>
      <c r="B307" s="50" t="s">
        <v>97</v>
      </c>
      <c r="C307" s="50" t="s">
        <v>1624</v>
      </c>
      <c r="D307" s="50" t="s">
        <v>1624</v>
      </c>
      <c r="E307" s="50" t="s">
        <v>2008</v>
      </c>
      <c r="F307" s="50" t="s">
        <v>2008</v>
      </c>
      <c r="G307" s="50" t="s">
        <v>2020</v>
      </c>
      <c r="H307" s="50" t="s">
        <v>2007</v>
      </c>
    </row>
    <row r="308" spans="1:8" hidden="1" x14ac:dyDescent="0.2">
      <c r="A308" s="63">
        <v>31205</v>
      </c>
      <c r="B308" s="50" t="s">
        <v>98</v>
      </c>
      <c r="C308" s="50" t="s">
        <v>1624</v>
      </c>
      <c r="D308" s="50" t="s">
        <v>1624</v>
      </c>
      <c r="E308" s="50" t="s">
        <v>2008</v>
      </c>
      <c r="F308" s="50" t="s">
        <v>2008</v>
      </c>
      <c r="G308" s="50" t="s">
        <v>2020</v>
      </c>
      <c r="H308" s="50" t="s">
        <v>2007</v>
      </c>
    </row>
    <row r="309" spans="1:8" hidden="1" x14ac:dyDescent="0.2">
      <c r="A309" s="63">
        <v>31206</v>
      </c>
      <c r="B309" s="50" t="s">
        <v>215</v>
      </c>
      <c r="C309" s="50" t="s">
        <v>1624</v>
      </c>
      <c r="D309" s="50" t="s">
        <v>1624</v>
      </c>
      <c r="E309" s="50" t="s">
        <v>2008</v>
      </c>
      <c r="F309" s="50" t="s">
        <v>2008</v>
      </c>
      <c r="G309" s="50" t="s">
        <v>2020</v>
      </c>
      <c r="H309" s="50" t="s">
        <v>2007</v>
      </c>
    </row>
    <row r="310" spans="1:8" hidden="1" x14ac:dyDescent="0.2">
      <c r="A310" s="63">
        <v>31301</v>
      </c>
      <c r="B310" s="50" t="s">
        <v>99</v>
      </c>
      <c r="C310" s="50" t="s">
        <v>1624</v>
      </c>
      <c r="D310" s="50" t="s">
        <v>1624</v>
      </c>
      <c r="E310" s="50" t="s">
        <v>2008</v>
      </c>
      <c r="F310" s="50" t="s">
        <v>2008</v>
      </c>
      <c r="G310" s="50" t="s">
        <v>2020</v>
      </c>
      <c r="H310" s="50" t="s">
        <v>2007</v>
      </c>
    </row>
    <row r="311" spans="1:8" hidden="1" x14ac:dyDescent="0.2">
      <c r="A311" s="63">
        <v>31399</v>
      </c>
      <c r="B311" s="50" t="s">
        <v>376</v>
      </c>
      <c r="C311" s="50" t="s">
        <v>1624</v>
      </c>
      <c r="D311" s="50" t="s">
        <v>1624</v>
      </c>
      <c r="E311" s="50" t="s">
        <v>2008</v>
      </c>
      <c r="F311" s="50" t="s">
        <v>2008</v>
      </c>
      <c r="G311" s="50" t="s">
        <v>2020</v>
      </c>
      <c r="H311" s="50" t="s">
        <v>2007</v>
      </c>
    </row>
    <row r="312" spans="1:8" hidden="1" x14ac:dyDescent="0.2">
      <c r="A312" s="63">
        <v>32000</v>
      </c>
      <c r="B312" s="50" t="s">
        <v>100</v>
      </c>
      <c r="C312" s="50" t="s">
        <v>1624</v>
      </c>
      <c r="D312" s="50" t="s">
        <v>1624</v>
      </c>
      <c r="E312" s="50" t="s">
        <v>2021</v>
      </c>
      <c r="F312" s="50" t="s">
        <v>2021</v>
      </c>
      <c r="G312" s="50" t="s">
        <v>2022</v>
      </c>
      <c r="H312" s="50" t="s">
        <v>2007</v>
      </c>
    </row>
    <row r="313" spans="1:8" hidden="1" x14ac:dyDescent="0.2">
      <c r="A313" s="63">
        <v>32001</v>
      </c>
      <c r="B313" s="50" t="s">
        <v>101</v>
      </c>
      <c r="C313" s="50" t="s">
        <v>1624</v>
      </c>
      <c r="D313" s="50" t="s">
        <v>1624</v>
      </c>
      <c r="E313" s="50" t="s">
        <v>2021</v>
      </c>
      <c r="F313" s="50" t="s">
        <v>2021</v>
      </c>
      <c r="G313" s="50" t="s">
        <v>2022</v>
      </c>
      <c r="H313" s="50" t="s">
        <v>2007</v>
      </c>
    </row>
    <row r="314" spans="1:8" hidden="1" x14ac:dyDescent="0.2">
      <c r="A314" s="63">
        <v>32002</v>
      </c>
      <c r="B314" s="50" t="s">
        <v>1469</v>
      </c>
      <c r="C314" s="50" t="s">
        <v>1624</v>
      </c>
      <c r="D314" s="50" t="s">
        <v>1624</v>
      </c>
      <c r="E314" s="50" t="s">
        <v>2021</v>
      </c>
      <c r="F314" s="50" t="s">
        <v>2021</v>
      </c>
      <c r="G314" s="50" t="s">
        <v>2022</v>
      </c>
      <c r="H314" s="50" t="s">
        <v>2007</v>
      </c>
    </row>
    <row r="315" spans="1:8" hidden="1" x14ac:dyDescent="0.2">
      <c r="A315" s="63">
        <v>32003</v>
      </c>
      <c r="B315" s="50" t="s">
        <v>1470</v>
      </c>
      <c r="C315" s="50" t="s">
        <v>1624</v>
      </c>
      <c r="D315" s="50" t="s">
        <v>1624</v>
      </c>
      <c r="E315" s="50" t="s">
        <v>2021</v>
      </c>
      <c r="F315" s="50" t="s">
        <v>2021</v>
      </c>
      <c r="G315" s="50" t="s">
        <v>2022</v>
      </c>
      <c r="H315" s="50" t="s">
        <v>2007</v>
      </c>
    </row>
    <row r="316" spans="1:8" hidden="1" x14ac:dyDescent="0.2">
      <c r="A316" s="63">
        <v>32099</v>
      </c>
      <c r="B316" s="50" t="s">
        <v>386</v>
      </c>
      <c r="C316" s="50" t="s">
        <v>1624</v>
      </c>
      <c r="D316" s="50" t="s">
        <v>1624</v>
      </c>
      <c r="E316" s="50" t="s">
        <v>2021</v>
      </c>
      <c r="F316" s="50" t="s">
        <v>2021</v>
      </c>
      <c r="G316" s="50" t="s">
        <v>2022</v>
      </c>
      <c r="H316" s="50" t="s">
        <v>2007</v>
      </c>
    </row>
    <row r="317" spans="1:8" hidden="1" x14ac:dyDescent="0.2">
      <c r="A317" s="63">
        <v>33000</v>
      </c>
      <c r="B317" s="50" t="s">
        <v>1471</v>
      </c>
      <c r="C317" s="50" t="s">
        <v>1624</v>
      </c>
      <c r="D317" s="50" t="s">
        <v>1624</v>
      </c>
      <c r="E317" s="50" t="s">
        <v>2023</v>
      </c>
      <c r="F317" s="50" t="s">
        <v>2023</v>
      </c>
      <c r="G317" s="50" t="s">
        <v>2024</v>
      </c>
      <c r="H317" s="50" t="s">
        <v>2007</v>
      </c>
    </row>
    <row r="318" spans="1:8" hidden="1" x14ac:dyDescent="0.2">
      <c r="A318" s="63">
        <v>33100</v>
      </c>
      <c r="B318" s="50" t="s">
        <v>1472</v>
      </c>
      <c r="C318" s="50" t="s">
        <v>1624</v>
      </c>
      <c r="D318" s="50" t="s">
        <v>1624</v>
      </c>
      <c r="E318" s="50" t="s">
        <v>2023</v>
      </c>
      <c r="F318" s="50" t="s">
        <v>2023</v>
      </c>
      <c r="G318" s="50" t="s">
        <v>2024</v>
      </c>
      <c r="H318" s="50" t="s">
        <v>2007</v>
      </c>
    </row>
    <row r="319" spans="1:8" hidden="1" x14ac:dyDescent="0.2">
      <c r="A319" s="63">
        <v>33200</v>
      </c>
      <c r="B319" s="50" t="s">
        <v>1473</v>
      </c>
      <c r="C319" s="50" t="s">
        <v>1624</v>
      </c>
      <c r="D319" s="50" t="s">
        <v>1624</v>
      </c>
      <c r="E319" s="50" t="s">
        <v>2023</v>
      </c>
      <c r="F319" s="50" t="s">
        <v>2023</v>
      </c>
      <c r="G319" s="50" t="s">
        <v>2024</v>
      </c>
      <c r="H319" s="50" t="s">
        <v>2007</v>
      </c>
    </row>
    <row r="320" spans="1:8" hidden="1" x14ac:dyDescent="0.2">
      <c r="A320" s="63">
        <v>33299</v>
      </c>
      <c r="B320" s="50" t="s">
        <v>390</v>
      </c>
      <c r="C320" s="50" t="s">
        <v>1624</v>
      </c>
      <c r="D320" s="50" t="s">
        <v>1624</v>
      </c>
      <c r="E320" s="50" t="s">
        <v>2023</v>
      </c>
      <c r="F320" s="50" t="s">
        <v>2023</v>
      </c>
      <c r="G320" s="50" t="s">
        <v>2024</v>
      </c>
      <c r="H320" s="50" t="s">
        <v>2007</v>
      </c>
    </row>
    <row r="321" spans="1:8" hidden="1" x14ac:dyDescent="0.2">
      <c r="A321" s="63">
        <v>33300</v>
      </c>
      <c r="B321" s="50" t="s">
        <v>6</v>
      </c>
      <c r="C321" s="50" t="s">
        <v>1624</v>
      </c>
      <c r="D321" s="50" t="s">
        <v>1624</v>
      </c>
      <c r="E321" s="50" t="s">
        <v>2025</v>
      </c>
      <c r="F321" s="50" t="s">
        <v>2025</v>
      </c>
      <c r="G321" s="50" t="s">
        <v>2026</v>
      </c>
      <c r="H321" s="50" t="s">
        <v>2007</v>
      </c>
    </row>
    <row r="322" spans="1:8" hidden="1" x14ac:dyDescent="0.2">
      <c r="A322" s="63">
        <v>33310</v>
      </c>
      <c r="B322" s="50" t="s">
        <v>7</v>
      </c>
      <c r="C322" s="50" t="s">
        <v>1624</v>
      </c>
      <c r="D322" s="50" t="s">
        <v>1624</v>
      </c>
      <c r="E322" s="50" t="s">
        <v>2025</v>
      </c>
      <c r="F322" s="50" t="s">
        <v>2025</v>
      </c>
      <c r="G322" s="50" t="s">
        <v>2026</v>
      </c>
      <c r="H322" s="50" t="s">
        <v>2007</v>
      </c>
    </row>
    <row r="323" spans="1:8" hidden="1" x14ac:dyDescent="0.2">
      <c r="A323" s="63">
        <v>33320</v>
      </c>
      <c r="B323" s="50" t="s">
        <v>405</v>
      </c>
      <c r="C323" s="50" t="s">
        <v>1624</v>
      </c>
      <c r="D323" s="50" t="s">
        <v>1624</v>
      </c>
      <c r="E323" s="50" t="s">
        <v>2025</v>
      </c>
      <c r="F323" s="50" t="s">
        <v>2025</v>
      </c>
      <c r="G323" s="50" t="s">
        <v>2026</v>
      </c>
      <c r="H323" s="50" t="s">
        <v>2007</v>
      </c>
    </row>
    <row r="324" spans="1:8" hidden="1" x14ac:dyDescent="0.2">
      <c r="A324" s="63">
        <v>33399</v>
      </c>
      <c r="B324" s="50" t="s">
        <v>407</v>
      </c>
      <c r="C324" s="50" t="s">
        <v>1624</v>
      </c>
      <c r="D324" s="50" t="s">
        <v>1624</v>
      </c>
      <c r="E324" s="50" t="s">
        <v>2025</v>
      </c>
      <c r="F324" s="50" t="s">
        <v>2025</v>
      </c>
      <c r="G324" s="50" t="s">
        <v>2026</v>
      </c>
      <c r="H324" s="50" t="s">
        <v>2007</v>
      </c>
    </row>
    <row r="325" spans="1:8" hidden="1" x14ac:dyDescent="0.2">
      <c r="A325" s="63">
        <v>34000</v>
      </c>
      <c r="B325" s="50" t="s">
        <v>1474</v>
      </c>
      <c r="C325" s="50" t="s">
        <v>1624</v>
      </c>
      <c r="D325" s="50" t="s">
        <v>1624</v>
      </c>
      <c r="E325" s="50" t="s">
        <v>2027</v>
      </c>
      <c r="F325" s="50" t="s">
        <v>2027</v>
      </c>
      <c r="G325" s="50" t="s">
        <v>2028</v>
      </c>
      <c r="H325" s="50" t="s">
        <v>2007</v>
      </c>
    </row>
    <row r="326" spans="1:8" hidden="1" x14ac:dyDescent="0.2">
      <c r="A326" s="63">
        <v>34050</v>
      </c>
      <c r="B326" s="50" t="s">
        <v>1475</v>
      </c>
      <c r="C326" s="50" t="s">
        <v>1624</v>
      </c>
      <c r="D326" s="50" t="s">
        <v>1624</v>
      </c>
      <c r="E326" s="50" t="s">
        <v>2027</v>
      </c>
      <c r="F326" s="50" t="s">
        <v>2027</v>
      </c>
      <c r="G326" s="50" t="s">
        <v>2028</v>
      </c>
      <c r="H326" s="50" t="s">
        <v>2007</v>
      </c>
    </row>
    <row r="327" spans="1:8" hidden="1" x14ac:dyDescent="0.2">
      <c r="A327" s="63">
        <v>34100</v>
      </c>
      <c r="B327" s="50" t="s">
        <v>1476</v>
      </c>
      <c r="C327" s="50" t="s">
        <v>1624</v>
      </c>
      <c r="D327" s="50" t="s">
        <v>1624</v>
      </c>
      <c r="E327" s="50" t="s">
        <v>2027</v>
      </c>
      <c r="F327" s="50" t="s">
        <v>2027</v>
      </c>
      <c r="G327" s="50" t="s">
        <v>2028</v>
      </c>
      <c r="H327" s="50" t="s">
        <v>2007</v>
      </c>
    </row>
    <row r="328" spans="1:8" hidden="1" x14ac:dyDescent="0.2">
      <c r="A328" s="63">
        <v>34150</v>
      </c>
      <c r="B328" s="50" t="s">
        <v>1477</v>
      </c>
      <c r="C328" s="50" t="s">
        <v>1624</v>
      </c>
      <c r="D328" s="50" t="s">
        <v>1624</v>
      </c>
      <c r="E328" s="50" t="s">
        <v>2027</v>
      </c>
      <c r="F328" s="50" t="s">
        <v>2027</v>
      </c>
      <c r="G328" s="50" t="s">
        <v>2028</v>
      </c>
      <c r="H328" s="50" t="s">
        <v>2007</v>
      </c>
    </row>
    <row r="329" spans="1:8" hidden="1" x14ac:dyDescent="0.2">
      <c r="A329" s="63">
        <v>34200</v>
      </c>
      <c r="B329" s="50" t="s">
        <v>1478</v>
      </c>
      <c r="C329" s="50" t="s">
        <v>1624</v>
      </c>
      <c r="D329" s="50" t="s">
        <v>1624</v>
      </c>
      <c r="E329" s="50" t="s">
        <v>2027</v>
      </c>
      <c r="F329" s="50" t="s">
        <v>2027</v>
      </c>
      <c r="G329" s="50" t="s">
        <v>2028</v>
      </c>
      <c r="H329" s="50" t="s">
        <v>2007</v>
      </c>
    </row>
    <row r="330" spans="1:8" hidden="1" x14ac:dyDescent="0.2">
      <c r="A330" s="63">
        <v>34250</v>
      </c>
      <c r="B330" s="50" t="s">
        <v>1479</v>
      </c>
      <c r="C330" s="50" t="s">
        <v>1624</v>
      </c>
      <c r="D330" s="50" t="s">
        <v>1624</v>
      </c>
      <c r="E330" s="50" t="s">
        <v>2027</v>
      </c>
      <c r="F330" s="50" t="s">
        <v>2027</v>
      </c>
      <c r="G330" s="50" t="s">
        <v>2028</v>
      </c>
      <c r="H330" s="50" t="s">
        <v>2007</v>
      </c>
    </row>
    <row r="331" spans="1:8" hidden="1" x14ac:dyDescent="0.2">
      <c r="A331" s="63">
        <v>34300</v>
      </c>
      <c r="B331" s="50" t="s">
        <v>1480</v>
      </c>
      <c r="C331" s="50" t="s">
        <v>1624</v>
      </c>
      <c r="D331" s="50" t="s">
        <v>1624</v>
      </c>
      <c r="E331" s="50" t="s">
        <v>2027</v>
      </c>
      <c r="F331" s="50" t="s">
        <v>2027</v>
      </c>
      <c r="G331" s="50" t="s">
        <v>2028</v>
      </c>
      <c r="H331" s="50" t="s">
        <v>2007</v>
      </c>
    </row>
    <row r="332" spans="1:8" hidden="1" x14ac:dyDescent="0.2">
      <c r="A332" s="63">
        <v>34350</v>
      </c>
      <c r="B332" s="50" t="s">
        <v>1481</v>
      </c>
      <c r="C332" s="50" t="s">
        <v>1624</v>
      </c>
      <c r="D332" s="50" t="s">
        <v>1624</v>
      </c>
      <c r="E332" s="50" t="s">
        <v>2027</v>
      </c>
      <c r="F332" s="50" t="s">
        <v>2027</v>
      </c>
      <c r="G332" s="50" t="s">
        <v>2028</v>
      </c>
      <c r="H332" s="50" t="s">
        <v>2007</v>
      </c>
    </row>
    <row r="333" spans="1:8" hidden="1" x14ac:dyDescent="0.2">
      <c r="A333" s="63">
        <v>34400</v>
      </c>
      <c r="B333" s="50" t="s">
        <v>1482</v>
      </c>
      <c r="C333" s="50" t="s">
        <v>1624</v>
      </c>
      <c r="D333" s="50" t="s">
        <v>1624</v>
      </c>
      <c r="E333" s="50" t="s">
        <v>2027</v>
      </c>
      <c r="F333" s="50" t="s">
        <v>2027</v>
      </c>
      <c r="G333" s="50" t="s">
        <v>2028</v>
      </c>
      <c r="H333" s="50" t="s">
        <v>2007</v>
      </c>
    </row>
    <row r="334" spans="1:8" hidden="1" x14ac:dyDescent="0.2">
      <c r="A334" s="63">
        <v>34450</v>
      </c>
      <c r="B334" s="50" t="s">
        <v>1483</v>
      </c>
      <c r="C334" s="50" t="s">
        <v>1624</v>
      </c>
      <c r="D334" s="50" t="s">
        <v>1624</v>
      </c>
      <c r="E334" s="50" t="s">
        <v>2027</v>
      </c>
      <c r="F334" s="50" t="s">
        <v>2027</v>
      </c>
      <c r="G334" s="50" t="s">
        <v>2028</v>
      </c>
      <c r="H334" s="50" t="s">
        <v>2007</v>
      </c>
    </row>
    <row r="335" spans="1:8" hidden="1" x14ac:dyDescent="0.2">
      <c r="A335" s="63">
        <v>34500</v>
      </c>
      <c r="B335" s="50" t="s">
        <v>1484</v>
      </c>
      <c r="C335" s="50" t="s">
        <v>1624</v>
      </c>
      <c r="D335" s="50" t="s">
        <v>1624</v>
      </c>
      <c r="E335" s="50" t="s">
        <v>2027</v>
      </c>
      <c r="F335" s="50" t="s">
        <v>2027</v>
      </c>
      <c r="G335" s="50" t="s">
        <v>2028</v>
      </c>
      <c r="H335" s="50" t="s">
        <v>2007</v>
      </c>
    </row>
    <row r="336" spans="1:8" hidden="1" x14ac:dyDescent="0.2">
      <c r="A336" s="63">
        <v>34599</v>
      </c>
      <c r="B336" s="50" t="s">
        <v>1485</v>
      </c>
      <c r="C336" s="50" t="s">
        <v>1624</v>
      </c>
      <c r="D336" s="50" t="s">
        <v>1624</v>
      </c>
      <c r="E336" s="50" t="s">
        <v>2027</v>
      </c>
      <c r="F336" s="50" t="s">
        <v>2027</v>
      </c>
      <c r="G336" s="50" t="s">
        <v>2028</v>
      </c>
      <c r="H336" s="50" t="s">
        <v>2007</v>
      </c>
    </row>
    <row r="337" spans="1:8" hidden="1" x14ac:dyDescent="0.2">
      <c r="A337" s="63">
        <v>35000</v>
      </c>
      <c r="B337" s="50" t="s">
        <v>104</v>
      </c>
      <c r="C337" s="50" t="s">
        <v>1624</v>
      </c>
      <c r="D337" s="50" t="s">
        <v>1624</v>
      </c>
      <c r="E337" s="50" t="s">
        <v>2029</v>
      </c>
      <c r="F337" s="50" t="s">
        <v>2029</v>
      </c>
      <c r="G337" s="50" t="s">
        <v>2030</v>
      </c>
      <c r="H337" s="50" t="s">
        <v>2007</v>
      </c>
    </row>
    <row r="338" spans="1:8" hidden="1" x14ac:dyDescent="0.2">
      <c r="A338" s="63">
        <v>35100</v>
      </c>
      <c r="B338" s="50" t="s">
        <v>411</v>
      </c>
      <c r="C338" s="50" t="s">
        <v>1624</v>
      </c>
      <c r="D338" s="50" t="s">
        <v>1624</v>
      </c>
      <c r="E338" s="50" t="s">
        <v>2029</v>
      </c>
      <c r="F338" s="50" t="s">
        <v>2029</v>
      </c>
      <c r="G338" s="50" t="s">
        <v>2030</v>
      </c>
      <c r="H338" s="50" t="s">
        <v>2007</v>
      </c>
    </row>
    <row r="339" spans="1:8" hidden="1" x14ac:dyDescent="0.2">
      <c r="A339" s="63">
        <v>36000</v>
      </c>
      <c r="B339" s="50" t="s">
        <v>419</v>
      </c>
      <c r="C339" s="50" t="s">
        <v>1624</v>
      </c>
      <c r="D339" s="50" t="s">
        <v>1624</v>
      </c>
      <c r="E339" s="50" t="s">
        <v>2031</v>
      </c>
      <c r="F339" s="50" t="s">
        <v>2031</v>
      </c>
      <c r="G339" s="50" t="s">
        <v>2032</v>
      </c>
      <c r="H339" s="50" t="s">
        <v>2007</v>
      </c>
    </row>
    <row r="340" spans="1:8" hidden="1" x14ac:dyDescent="0.2">
      <c r="A340" s="63">
        <v>36001</v>
      </c>
      <c r="B340" s="50" t="s">
        <v>421</v>
      </c>
      <c r="C340" s="50" t="s">
        <v>1624</v>
      </c>
      <c r="D340" s="50" t="s">
        <v>1624</v>
      </c>
      <c r="E340" s="50" t="s">
        <v>2031</v>
      </c>
      <c r="F340" s="50" t="s">
        <v>2031</v>
      </c>
      <c r="G340" s="50" t="s">
        <v>2032</v>
      </c>
      <c r="H340" s="50" t="s">
        <v>2007</v>
      </c>
    </row>
    <row r="341" spans="1:8" hidden="1" x14ac:dyDescent="0.2">
      <c r="A341" s="63">
        <v>36002</v>
      </c>
      <c r="B341" s="50" t="s">
        <v>423</v>
      </c>
      <c r="C341" s="50" t="s">
        <v>1624</v>
      </c>
      <c r="D341" s="50" t="s">
        <v>1624</v>
      </c>
      <c r="E341" s="50" t="s">
        <v>2031</v>
      </c>
      <c r="F341" s="50" t="s">
        <v>2031</v>
      </c>
      <c r="G341" s="50" t="s">
        <v>2032</v>
      </c>
      <c r="H341" s="50" t="s">
        <v>2007</v>
      </c>
    </row>
    <row r="342" spans="1:8" hidden="1" x14ac:dyDescent="0.2">
      <c r="A342" s="63">
        <v>36003</v>
      </c>
      <c r="B342" s="50" t="s">
        <v>425</v>
      </c>
      <c r="C342" s="50" t="s">
        <v>1624</v>
      </c>
      <c r="D342" s="50" t="s">
        <v>1624</v>
      </c>
      <c r="E342" s="50" t="s">
        <v>2031</v>
      </c>
      <c r="F342" s="50" t="s">
        <v>2031</v>
      </c>
      <c r="G342" s="50" t="s">
        <v>2032</v>
      </c>
      <c r="H342" s="50" t="s">
        <v>2007</v>
      </c>
    </row>
    <row r="343" spans="1:8" hidden="1" x14ac:dyDescent="0.2">
      <c r="A343" s="63">
        <v>36004</v>
      </c>
      <c r="B343" s="50" t="s">
        <v>427</v>
      </c>
      <c r="C343" s="50" t="s">
        <v>1624</v>
      </c>
      <c r="D343" s="50" t="s">
        <v>1624</v>
      </c>
      <c r="E343" s="50" t="s">
        <v>2031</v>
      </c>
      <c r="F343" s="50" t="s">
        <v>2031</v>
      </c>
      <c r="G343" s="50" t="s">
        <v>2032</v>
      </c>
      <c r="H343" s="50" t="s">
        <v>2007</v>
      </c>
    </row>
    <row r="344" spans="1:8" hidden="1" x14ac:dyDescent="0.2">
      <c r="A344" s="63">
        <v>36005</v>
      </c>
      <c r="B344" s="50" t="s">
        <v>8</v>
      </c>
      <c r="C344" s="50" t="s">
        <v>1624</v>
      </c>
      <c r="D344" s="50" t="s">
        <v>1624</v>
      </c>
      <c r="E344" s="50" t="s">
        <v>2031</v>
      </c>
      <c r="F344" s="50" t="s">
        <v>2031</v>
      </c>
      <c r="G344" s="50" t="s">
        <v>2032</v>
      </c>
      <c r="H344" s="50" t="s">
        <v>2007</v>
      </c>
    </row>
    <row r="345" spans="1:8" hidden="1" x14ac:dyDescent="0.2">
      <c r="A345" s="63">
        <v>36006</v>
      </c>
      <c r="B345" s="50" t="s">
        <v>430</v>
      </c>
      <c r="C345" s="50" t="s">
        <v>1624</v>
      </c>
      <c r="D345" s="50" t="s">
        <v>1624</v>
      </c>
      <c r="E345" s="50" t="s">
        <v>2031</v>
      </c>
      <c r="F345" s="50" t="s">
        <v>2031</v>
      </c>
      <c r="G345" s="50" t="s">
        <v>2032</v>
      </c>
      <c r="H345" s="50" t="s">
        <v>2007</v>
      </c>
    </row>
    <row r="346" spans="1:8" hidden="1" x14ac:dyDescent="0.2">
      <c r="A346" s="63">
        <v>36007</v>
      </c>
      <c r="B346" s="50" t="s">
        <v>432</v>
      </c>
      <c r="C346" s="50" t="s">
        <v>1624</v>
      </c>
      <c r="D346" s="50" t="s">
        <v>1624</v>
      </c>
      <c r="E346" s="50" t="s">
        <v>2031</v>
      </c>
      <c r="F346" s="50" t="s">
        <v>2031</v>
      </c>
      <c r="G346" s="50" t="s">
        <v>2032</v>
      </c>
      <c r="H346" s="50" t="s">
        <v>2007</v>
      </c>
    </row>
    <row r="347" spans="1:8" hidden="1" x14ac:dyDescent="0.2">
      <c r="A347" s="63">
        <v>36008</v>
      </c>
      <c r="B347" s="50" t="s">
        <v>434</v>
      </c>
      <c r="C347" s="50" t="s">
        <v>1624</v>
      </c>
      <c r="D347" s="50" t="s">
        <v>1624</v>
      </c>
      <c r="E347" s="50" t="s">
        <v>2031</v>
      </c>
      <c r="F347" s="50" t="s">
        <v>2031</v>
      </c>
      <c r="G347" s="50" t="s">
        <v>2032</v>
      </c>
      <c r="H347" s="50" t="s">
        <v>2007</v>
      </c>
    </row>
    <row r="348" spans="1:8" hidden="1" x14ac:dyDescent="0.2">
      <c r="A348" s="63">
        <v>36009</v>
      </c>
      <c r="B348" s="50" t="s">
        <v>436</v>
      </c>
      <c r="C348" s="50" t="s">
        <v>1624</v>
      </c>
      <c r="D348" s="50" t="s">
        <v>1624</v>
      </c>
      <c r="E348" s="50" t="s">
        <v>2031</v>
      </c>
      <c r="F348" s="50" t="s">
        <v>2031</v>
      </c>
      <c r="G348" s="50" t="s">
        <v>2032</v>
      </c>
      <c r="H348" s="50" t="s">
        <v>2007</v>
      </c>
    </row>
    <row r="349" spans="1:8" hidden="1" x14ac:dyDescent="0.2">
      <c r="A349" s="63">
        <v>36010</v>
      </c>
      <c r="B349" s="50" t="s">
        <v>438</v>
      </c>
      <c r="C349" s="50" t="s">
        <v>1624</v>
      </c>
      <c r="D349" s="50" t="s">
        <v>1624</v>
      </c>
      <c r="E349" s="50" t="s">
        <v>2031</v>
      </c>
      <c r="F349" s="50" t="s">
        <v>2031</v>
      </c>
      <c r="G349" s="50" t="s">
        <v>2032</v>
      </c>
      <c r="H349" s="50" t="s">
        <v>2007</v>
      </c>
    </row>
    <row r="350" spans="1:8" hidden="1" x14ac:dyDescent="0.2">
      <c r="A350" s="63">
        <v>36011</v>
      </c>
      <c r="B350" s="50" t="s">
        <v>440</v>
      </c>
      <c r="C350" s="50" t="s">
        <v>1624</v>
      </c>
      <c r="D350" s="50" t="s">
        <v>1624</v>
      </c>
      <c r="E350" s="50" t="s">
        <v>2031</v>
      </c>
      <c r="F350" s="50" t="s">
        <v>2031</v>
      </c>
      <c r="G350" s="50" t="s">
        <v>2032</v>
      </c>
      <c r="H350" s="50" t="s">
        <v>2007</v>
      </c>
    </row>
    <row r="351" spans="1:8" hidden="1" x14ac:dyDescent="0.2">
      <c r="A351" s="63">
        <v>36012</v>
      </c>
      <c r="B351" s="50" t="s">
        <v>442</v>
      </c>
      <c r="C351" s="50" t="s">
        <v>1624</v>
      </c>
      <c r="D351" s="50" t="s">
        <v>1624</v>
      </c>
      <c r="E351" s="50" t="s">
        <v>2031</v>
      </c>
      <c r="F351" s="50" t="s">
        <v>2031</v>
      </c>
      <c r="G351" s="50" t="s">
        <v>2032</v>
      </c>
      <c r="H351" s="50" t="s">
        <v>2007</v>
      </c>
    </row>
    <row r="352" spans="1:8" hidden="1" x14ac:dyDescent="0.2">
      <c r="A352" s="63">
        <v>36013</v>
      </c>
      <c r="B352" s="50" t="s">
        <v>398</v>
      </c>
      <c r="C352" s="50" t="s">
        <v>1624</v>
      </c>
      <c r="D352" s="50" t="s">
        <v>1624</v>
      </c>
      <c r="E352" s="50" t="s">
        <v>2031</v>
      </c>
      <c r="F352" s="50" t="s">
        <v>2031</v>
      </c>
      <c r="G352" s="50" t="s">
        <v>2032</v>
      </c>
      <c r="H352" s="50" t="s">
        <v>2007</v>
      </c>
    </row>
    <row r="353" spans="1:8" hidden="1" x14ac:dyDescent="0.2">
      <c r="A353" s="63">
        <v>36014</v>
      </c>
      <c r="B353" s="50" t="s">
        <v>117</v>
      </c>
      <c r="C353" s="50" t="s">
        <v>1624</v>
      </c>
      <c r="D353" s="50" t="s">
        <v>1624</v>
      </c>
      <c r="E353" s="50" t="s">
        <v>2031</v>
      </c>
      <c r="F353" s="50" t="s">
        <v>2031</v>
      </c>
      <c r="G353" s="50" t="s">
        <v>2032</v>
      </c>
      <c r="H353" s="50" t="s">
        <v>2007</v>
      </c>
    </row>
    <row r="354" spans="1:8" hidden="1" x14ac:dyDescent="0.2">
      <c r="A354" s="63">
        <v>36100</v>
      </c>
      <c r="B354" s="50" t="s">
        <v>444</v>
      </c>
      <c r="C354" s="50" t="s">
        <v>1624</v>
      </c>
      <c r="D354" s="50" t="s">
        <v>1624</v>
      </c>
      <c r="E354" s="50" t="s">
        <v>2031</v>
      </c>
      <c r="F354" s="50" t="s">
        <v>2031</v>
      </c>
      <c r="G354" s="50" t="s">
        <v>2032</v>
      </c>
      <c r="H354" s="50" t="s">
        <v>2007</v>
      </c>
    </row>
    <row r="355" spans="1:8" hidden="1" x14ac:dyDescent="0.2">
      <c r="A355" s="63">
        <v>36101</v>
      </c>
      <c r="B355" s="50" t="s">
        <v>1487</v>
      </c>
      <c r="C355" s="50" t="s">
        <v>1624</v>
      </c>
      <c r="D355" s="50" t="s">
        <v>1624</v>
      </c>
      <c r="E355" s="50" t="s">
        <v>2031</v>
      </c>
      <c r="F355" s="50" t="s">
        <v>2031</v>
      </c>
      <c r="G355" s="50" t="s">
        <v>2032</v>
      </c>
      <c r="H355" s="50" t="s">
        <v>2007</v>
      </c>
    </row>
    <row r="356" spans="1:8" hidden="1" x14ac:dyDescent="0.2">
      <c r="A356" s="63">
        <v>36102</v>
      </c>
      <c r="B356" s="50" t="s">
        <v>448</v>
      </c>
      <c r="C356" s="50" t="s">
        <v>1624</v>
      </c>
      <c r="D356" s="50" t="s">
        <v>1624</v>
      </c>
      <c r="E356" s="50" t="s">
        <v>2031</v>
      </c>
      <c r="F356" s="50" t="s">
        <v>2031</v>
      </c>
      <c r="G356" s="50" t="s">
        <v>2032</v>
      </c>
      <c r="H356" s="50" t="s">
        <v>2007</v>
      </c>
    </row>
    <row r="357" spans="1:8" hidden="1" x14ac:dyDescent="0.2">
      <c r="A357" s="63">
        <v>36103</v>
      </c>
      <c r="B357" s="50" t="s">
        <v>450</v>
      </c>
      <c r="C357" s="50" t="s">
        <v>1624</v>
      </c>
      <c r="D357" s="50" t="s">
        <v>1624</v>
      </c>
      <c r="E357" s="50" t="s">
        <v>2031</v>
      </c>
      <c r="F357" s="50" t="s">
        <v>2031</v>
      </c>
      <c r="G357" s="50" t="s">
        <v>2032</v>
      </c>
      <c r="H357" s="50" t="s">
        <v>2007</v>
      </c>
    </row>
    <row r="358" spans="1:8" hidden="1" x14ac:dyDescent="0.2">
      <c r="A358" s="63">
        <v>36104</v>
      </c>
      <c r="B358" s="50" t="s">
        <v>452</v>
      </c>
      <c r="C358" s="50" t="s">
        <v>1624</v>
      </c>
      <c r="D358" s="50" t="s">
        <v>1624</v>
      </c>
      <c r="E358" s="50" t="s">
        <v>2031</v>
      </c>
      <c r="F358" s="50" t="s">
        <v>2031</v>
      </c>
      <c r="G358" s="50" t="s">
        <v>2032</v>
      </c>
      <c r="H358" s="50" t="s">
        <v>2007</v>
      </c>
    </row>
    <row r="359" spans="1:8" hidden="1" x14ac:dyDescent="0.2">
      <c r="A359" s="63">
        <v>36105</v>
      </c>
      <c r="B359" s="50" t="s">
        <v>454</v>
      </c>
      <c r="C359" s="50" t="s">
        <v>1624</v>
      </c>
      <c r="D359" s="50" t="s">
        <v>1624</v>
      </c>
      <c r="E359" s="50" t="s">
        <v>2031</v>
      </c>
      <c r="F359" s="50" t="s">
        <v>2031</v>
      </c>
      <c r="G359" s="50" t="s">
        <v>2032</v>
      </c>
      <c r="H359" s="50" t="s">
        <v>2007</v>
      </c>
    </row>
    <row r="360" spans="1:8" hidden="1" x14ac:dyDescent="0.2">
      <c r="A360" s="63">
        <v>36106</v>
      </c>
      <c r="B360" s="50" t="s">
        <v>456</v>
      </c>
      <c r="C360" s="50" t="s">
        <v>1624</v>
      </c>
      <c r="D360" s="50" t="s">
        <v>1624</v>
      </c>
      <c r="E360" s="50" t="s">
        <v>2031</v>
      </c>
      <c r="F360" s="50" t="s">
        <v>2031</v>
      </c>
      <c r="G360" s="50" t="s">
        <v>2032</v>
      </c>
      <c r="H360" s="50" t="s">
        <v>2007</v>
      </c>
    </row>
    <row r="361" spans="1:8" hidden="1" x14ac:dyDescent="0.2">
      <c r="A361" s="63">
        <v>36107</v>
      </c>
      <c r="B361" s="50" t="s">
        <v>1488</v>
      </c>
      <c r="C361" s="50" t="s">
        <v>1624</v>
      </c>
      <c r="D361" s="50" t="s">
        <v>1624</v>
      </c>
      <c r="E361" s="50" t="s">
        <v>2031</v>
      </c>
      <c r="F361" s="50" t="s">
        <v>2031</v>
      </c>
      <c r="G361" s="50" t="s">
        <v>2032</v>
      </c>
      <c r="H361" s="50" t="s">
        <v>2007</v>
      </c>
    </row>
    <row r="362" spans="1:8" hidden="1" x14ac:dyDescent="0.2">
      <c r="A362" s="63">
        <v>38000</v>
      </c>
      <c r="B362" s="50" t="s">
        <v>119</v>
      </c>
      <c r="C362" s="50" t="s">
        <v>1624</v>
      </c>
      <c r="D362" s="50" t="s">
        <v>1624</v>
      </c>
      <c r="E362" s="50" t="s">
        <v>2033</v>
      </c>
      <c r="F362" s="50" t="s">
        <v>2033</v>
      </c>
      <c r="G362" s="50" t="s">
        <v>2034</v>
      </c>
      <c r="H362" s="50" t="s">
        <v>2007</v>
      </c>
    </row>
    <row r="363" spans="1:8" hidden="1" x14ac:dyDescent="0.2">
      <c r="A363" s="63">
        <v>38001</v>
      </c>
      <c r="B363" s="50" t="s">
        <v>235</v>
      </c>
      <c r="C363" s="50" t="s">
        <v>1624</v>
      </c>
      <c r="D363" s="50" t="s">
        <v>1624</v>
      </c>
      <c r="E363" s="50" t="s">
        <v>2033</v>
      </c>
      <c r="F363" s="50" t="s">
        <v>2033</v>
      </c>
      <c r="G363" s="50" t="s">
        <v>2034</v>
      </c>
      <c r="H363" s="50" t="s">
        <v>2007</v>
      </c>
    </row>
    <row r="364" spans="1:8" hidden="1" x14ac:dyDescent="0.2">
      <c r="A364" s="63">
        <v>38500</v>
      </c>
      <c r="B364" s="50" t="s">
        <v>216</v>
      </c>
      <c r="C364" s="50" t="s">
        <v>1624</v>
      </c>
      <c r="D364" s="50" t="s">
        <v>1624</v>
      </c>
      <c r="E364" s="50" t="s">
        <v>2033</v>
      </c>
      <c r="F364" s="50" t="s">
        <v>2033</v>
      </c>
      <c r="G364" s="50" t="s">
        <v>2034</v>
      </c>
      <c r="H364" s="50" t="s">
        <v>2007</v>
      </c>
    </row>
    <row r="365" spans="1:8" hidden="1" x14ac:dyDescent="0.2">
      <c r="A365" s="63">
        <v>40000</v>
      </c>
      <c r="B365" s="50" t="s">
        <v>121</v>
      </c>
      <c r="C365" s="50" t="s">
        <v>1624</v>
      </c>
      <c r="D365" s="50" t="s">
        <v>1624</v>
      </c>
      <c r="E365" s="50" t="s">
        <v>2015</v>
      </c>
      <c r="F365" s="50" t="s">
        <v>2015</v>
      </c>
      <c r="G365" s="50" t="s">
        <v>2035</v>
      </c>
      <c r="H365" s="50" t="s">
        <v>2036</v>
      </c>
    </row>
    <row r="366" spans="1:8" hidden="1" x14ac:dyDescent="0.2">
      <c r="A366" s="63">
        <v>40001</v>
      </c>
      <c r="B366" s="50" t="s">
        <v>122</v>
      </c>
      <c r="C366" s="50" t="s">
        <v>1624</v>
      </c>
      <c r="D366" s="50" t="s">
        <v>1624</v>
      </c>
      <c r="E366" s="50" t="s">
        <v>2015</v>
      </c>
      <c r="F366" s="50" t="s">
        <v>2015</v>
      </c>
      <c r="G366" s="50" t="s">
        <v>2035</v>
      </c>
      <c r="H366" s="50" t="s">
        <v>2036</v>
      </c>
    </row>
    <row r="367" spans="1:8" hidden="1" x14ac:dyDescent="0.2">
      <c r="A367" s="63">
        <v>40002</v>
      </c>
      <c r="B367" s="50" t="s">
        <v>123</v>
      </c>
      <c r="C367" s="50" t="s">
        <v>1624</v>
      </c>
      <c r="D367" s="50" t="s">
        <v>1624</v>
      </c>
      <c r="E367" s="50" t="s">
        <v>2015</v>
      </c>
      <c r="F367" s="50" t="s">
        <v>2015</v>
      </c>
      <c r="G367" s="50" t="s">
        <v>2035</v>
      </c>
      <c r="H367" s="50" t="s">
        <v>2036</v>
      </c>
    </row>
    <row r="368" spans="1:8" hidden="1" x14ac:dyDescent="0.2">
      <c r="A368" s="63">
        <v>40100</v>
      </c>
      <c r="B368" s="50" t="s">
        <v>1489</v>
      </c>
      <c r="C368" s="50" t="s">
        <v>1624</v>
      </c>
      <c r="D368" s="50" t="s">
        <v>1624</v>
      </c>
      <c r="E368" s="50" t="s">
        <v>2015</v>
      </c>
      <c r="F368" s="50" t="s">
        <v>2015</v>
      </c>
      <c r="G368" s="50" t="s">
        <v>2035</v>
      </c>
      <c r="H368" s="50" t="s">
        <v>2036</v>
      </c>
    </row>
    <row r="369" spans="1:8" hidden="1" x14ac:dyDescent="0.2">
      <c r="A369" s="63">
        <v>40102</v>
      </c>
      <c r="B369" s="50" t="s">
        <v>124</v>
      </c>
      <c r="C369" s="50" t="s">
        <v>1624</v>
      </c>
      <c r="D369" s="50" t="s">
        <v>1624</v>
      </c>
      <c r="E369" s="50" t="s">
        <v>2015</v>
      </c>
      <c r="F369" s="50" t="s">
        <v>2015</v>
      </c>
      <c r="G369" s="50" t="s">
        <v>2035</v>
      </c>
      <c r="H369" s="50" t="s">
        <v>2036</v>
      </c>
    </row>
    <row r="370" spans="1:8" hidden="1" x14ac:dyDescent="0.2">
      <c r="A370" s="63">
        <v>40103</v>
      </c>
      <c r="B370" s="50" t="s">
        <v>1490</v>
      </c>
      <c r="C370" s="50" t="s">
        <v>1624</v>
      </c>
      <c r="D370" s="50" t="s">
        <v>1624</v>
      </c>
      <c r="E370" s="50" t="s">
        <v>2015</v>
      </c>
      <c r="F370" s="50" t="s">
        <v>2015</v>
      </c>
      <c r="G370" s="50" t="s">
        <v>2035</v>
      </c>
      <c r="H370" s="50" t="s">
        <v>2036</v>
      </c>
    </row>
    <row r="371" spans="1:8" hidden="1" x14ac:dyDescent="0.2">
      <c r="A371" s="63">
        <v>40300</v>
      </c>
      <c r="B371" s="50" t="s">
        <v>1491</v>
      </c>
      <c r="C371" s="50" t="s">
        <v>1624</v>
      </c>
      <c r="D371" s="50" t="s">
        <v>1624</v>
      </c>
      <c r="E371" s="50" t="s">
        <v>2015</v>
      </c>
      <c r="F371" s="50" t="s">
        <v>2015</v>
      </c>
      <c r="G371" s="50" t="s">
        <v>2035</v>
      </c>
      <c r="H371" s="50" t="s">
        <v>2036</v>
      </c>
    </row>
    <row r="372" spans="1:8" hidden="1" x14ac:dyDescent="0.2">
      <c r="A372" s="63">
        <v>40400</v>
      </c>
      <c r="B372" s="50" t="s">
        <v>1492</v>
      </c>
      <c r="C372" s="50" t="s">
        <v>1624</v>
      </c>
      <c r="D372" s="50" t="s">
        <v>1624</v>
      </c>
      <c r="E372" s="50" t="s">
        <v>2015</v>
      </c>
      <c r="F372" s="50" t="s">
        <v>2015</v>
      </c>
      <c r="G372" s="50" t="s">
        <v>2035</v>
      </c>
      <c r="H372" s="50" t="s">
        <v>2036</v>
      </c>
    </row>
    <row r="373" spans="1:8" hidden="1" x14ac:dyDescent="0.2">
      <c r="A373" s="63">
        <v>40500</v>
      </c>
      <c r="B373" s="50" t="s">
        <v>1493</v>
      </c>
      <c r="C373" s="50" t="s">
        <v>1624</v>
      </c>
      <c r="D373" s="50" t="s">
        <v>1624</v>
      </c>
      <c r="E373" s="50" t="s">
        <v>2037</v>
      </c>
      <c r="F373" s="50" t="s">
        <v>2037</v>
      </c>
      <c r="G373" s="50" t="s">
        <v>2038</v>
      </c>
      <c r="H373" s="50" t="s">
        <v>2036</v>
      </c>
    </row>
    <row r="374" spans="1:8" hidden="1" x14ac:dyDescent="0.2">
      <c r="A374" s="63">
        <v>41000</v>
      </c>
      <c r="B374" s="50" t="s">
        <v>1494</v>
      </c>
      <c r="C374" s="50" t="s">
        <v>1624</v>
      </c>
      <c r="D374" s="50" t="s">
        <v>1624</v>
      </c>
      <c r="E374" s="50" t="s">
        <v>2039</v>
      </c>
      <c r="F374" s="50" t="s">
        <v>2039</v>
      </c>
      <c r="G374" s="50" t="s">
        <v>2040</v>
      </c>
      <c r="H374" s="50" t="s">
        <v>2036</v>
      </c>
    </row>
    <row r="375" spans="1:8" hidden="1" x14ac:dyDescent="0.2">
      <c r="A375" s="63">
        <v>41001</v>
      </c>
      <c r="B375" s="50" t="s">
        <v>1495</v>
      </c>
      <c r="C375" s="50" t="s">
        <v>1624</v>
      </c>
      <c r="D375" s="50" t="s">
        <v>1624</v>
      </c>
      <c r="E375" s="50" t="s">
        <v>2039</v>
      </c>
      <c r="F375" s="50" t="s">
        <v>2039</v>
      </c>
      <c r="G375" s="50" t="s">
        <v>2040</v>
      </c>
      <c r="H375" s="50" t="s">
        <v>2036</v>
      </c>
    </row>
    <row r="376" spans="1:8" hidden="1" x14ac:dyDescent="0.2">
      <c r="A376" s="63">
        <v>41002</v>
      </c>
      <c r="B376" s="50" t="s">
        <v>1496</v>
      </c>
      <c r="C376" s="50" t="s">
        <v>1624</v>
      </c>
      <c r="D376" s="50" t="s">
        <v>1624</v>
      </c>
      <c r="E376" s="50" t="s">
        <v>2039</v>
      </c>
      <c r="F376" s="50" t="s">
        <v>2039</v>
      </c>
      <c r="G376" s="50" t="s">
        <v>2040</v>
      </c>
      <c r="H376" s="50" t="s">
        <v>2036</v>
      </c>
    </row>
    <row r="377" spans="1:8" hidden="1" x14ac:dyDescent="0.2">
      <c r="A377" s="63">
        <v>41003</v>
      </c>
      <c r="B377" s="50" t="s">
        <v>1497</v>
      </c>
      <c r="C377" s="50" t="s">
        <v>1624</v>
      </c>
      <c r="D377" s="50" t="s">
        <v>1624</v>
      </c>
      <c r="E377" s="50" t="s">
        <v>2039</v>
      </c>
      <c r="F377" s="50" t="s">
        <v>2039</v>
      </c>
      <c r="G377" s="50" t="s">
        <v>2040</v>
      </c>
      <c r="H377" s="50" t="s">
        <v>2036</v>
      </c>
    </row>
    <row r="378" spans="1:8" hidden="1" x14ac:dyDescent="0.2">
      <c r="A378" s="63">
        <v>41004</v>
      </c>
      <c r="B378" s="50" t="s">
        <v>1498</v>
      </c>
      <c r="C378" s="50" t="s">
        <v>1624</v>
      </c>
      <c r="D378" s="50" t="s">
        <v>1624</v>
      </c>
      <c r="E378" s="50" t="s">
        <v>2039</v>
      </c>
      <c r="F378" s="50" t="s">
        <v>2039</v>
      </c>
      <c r="G378" s="50" t="s">
        <v>2040</v>
      </c>
      <c r="H378" s="50" t="s">
        <v>2036</v>
      </c>
    </row>
    <row r="379" spans="1:8" hidden="1" x14ac:dyDescent="0.2">
      <c r="A379" s="63">
        <v>41005</v>
      </c>
      <c r="B379" s="50" t="s">
        <v>1499</v>
      </c>
      <c r="C379" s="50" t="s">
        <v>1624</v>
      </c>
      <c r="D379" s="50" t="s">
        <v>1624</v>
      </c>
      <c r="E379" s="50" t="s">
        <v>2039</v>
      </c>
      <c r="F379" s="50" t="s">
        <v>2039</v>
      </c>
      <c r="G379" s="50" t="s">
        <v>2040</v>
      </c>
      <c r="H379" s="50" t="s">
        <v>2036</v>
      </c>
    </row>
    <row r="380" spans="1:8" hidden="1" x14ac:dyDescent="0.2">
      <c r="A380" s="63">
        <v>41006</v>
      </c>
      <c r="B380" s="50" t="s">
        <v>1500</v>
      </c>
      <c r="C380" s="50" t="s">
        <v>1624</v>
      </c>
      <c r="D380" s="50" t="s">
        <v>1624</v>
      </c>
      <c r="E380" s="50" t="s">
        <v>2039</v>
      </c>
      <c r="F380" s="50" t="s">
        <v>2039</v>
      </c>
      <c r="G380" s="50" t="s">
        <v>2040</v>
      </c>
      <c r="H380" s="50" t="s">
        <v>2036</v>
      </c>
    </row>
    <row r="381" spans="1:8" hidden="1" x14ac:dyDescent="0.2">
      <c r="A381" s="63">
        <v>41100</v>
      </c>
      <c r="B381" s="50" t="s">
        <v>1501</v>
      </c>
      <c r="C381" s="50" t="s">
        <v>1624</v>
      </c>
      <c r="D381" s="50" t="s">
        <v>1624</v>
      </c>
      <c r="E381" s="50" t="s">
        <v>2041</v>
      </c>
      <c r="F381" s="50" t="s">
        <v>2041</v>
      </c>
      <c r="G381" s="50" t="s">
        <v>2042</v>
      </c>
      <c r="H381" s="50" t="s">
        <v>2036</v>
      </c>
    </row>
    <row r="382" spans="1:8" hidden="1" x14ac:dyDescent="0.2">
      <c r="A382" s="63">
        <v>41150</v>
      </c>
      <c r="B382" s="50" t="s">
        <v>1502</v>
      </c>
      <c r="C382" s="50" t="s">
        <v>1624</v>
      </c>
      <c r="D382" s="50" t="s">
        <v>1624</v>
      </c>
      <c r="E382" s="50" t="s">
        <v>2041</v>
      </c>
      <c r="F382" s="50" t="s">
        <v>2041</v>
      </c>
      <c r="G382" s="50" t="s">
        <v>2042</v>
      </c>
      <c r="H382" s="50" t="s">
        <v>2036</v>
      </c>
    </row>
    <row r="383" spans="1:8" hidden="1" x14ac:dyDescent="0.2">
      <c r="A383" s="63">
        <v>41200</v>
      </c>
      <c r="B383" s="50" t="s">
        <v>1503</v>
      </c>
      <c r="C383" s="50" t="s">
        <v>1624</v>
      </c>
      <c r="D383" s="50" t="s">
        <v>1624</v>
      </c>
      <c r="E383" s="50" t="s">
        <v>2043</v>
      </c>
      <c r="F383" s="50" t="s">
        <v>2043</v>
      </c>
      <c r="G383" s="50" t="s">
        <v>2044</v>
      </c>
      <c r="H383" s="50" t="s">
        <v>2036</v>
      </c>
    </row>
    <row r="384" spans="1:8" hidden="1" x14ac:dyDescent="0.2">
      <c r="A384" s="63">
        <v>41201</v>
      </c>
      <c r="B384" s="50" t="s">
        <v>1504</v>
      </c>
      <c r="C384" s="50" t="s">
        <v>1624</v>
      </c>
      <c r="D384" s="50" t="s">
        <v>1624</v>
      </c>
      <c r="E384" s="50" t="s">
        <v>2043</v>
      </c>
      <c r="F384" s="50" t="s">
        <v>2043</v>
      </c>
      <c r="G384" s="50" t="s">
        <v>2044</v>
      </c>
      <c r="H384" s="50" t="s">
        <v>2036</v>
      </c>
    </row>
    <row r="385" spans="1:8" hidden="1" x14ac:dyDescent="0.2">
      <c r="A385" s="63">
        <v>41202</v>
      </c>
      <c r="B385" s="50" t="s">
        <v>1505</v>
      </c>
      <c r="C385" s="50" t="s">
        <v>1624</v>
      </c>
      <c r="D385" s="50" t="s">
        <v>1624</v>
      </c>
      <c r="E385" s="50" t="s">
        <v>2043</v>
      </c>
      <c r="F385" s="50" t="s">
        <v>2043</v>
      </c>
      <c r="G385" s="50" t="s">
        <v>2044</v>
      </c>
      <c r="H385" s="50" t="s">
        <v>2036</v>
      </c>
    </row>
    <row r="386" spans="1:8" hidden="1" x14ac:dyDescent="0.2">
      <c r="A386" s="63">
        <v>41203</v>
      </c>
      <c r="B386" s="50" t="s">
        <v>1506</v>
      </c>
      <c r="C386" s="50" t="s">
        <v>1624</v>
      </c>
      <c r="D386" s="50" t="s">
        <v>1624</v>
      </c>
      <c r="E386" s="50" t="s">
        <v>2043</v>
      </c>
      <c r="F386" s="50" t="s">
        <v>2043</v>
      </c>
      <c r="G386" s="50" t="s">
        <v>2044</v>
      </c>
      <c r="H386" s="50" t="s">
        <v>2036</v>
      </c>
    </row>
    <row r="387" spans="1:8" hidden="1" x14ac:dyDescent="0.2">
      <c r="A387" s="63">
        <v>41204</v>
      </c>
      <c r="B387" s="50" t="s">
        <v>1507</v>
      </c>
      <c r="C387" s="50" t="s">
        <v>1624</v>
      </c>
      <c r="D387" s="50" t="s">
        <v>1624</v>
      </c>
      <c r="E387" s="50" t="s">
        <v>2043</v>
      </c>
      <c r="F387" s="50" t="s">
        <v>2043</v>
      </c>
      <c r="G387" s="50" t="s">
        <v>2044</v>
      </c>
      <c r="H387" s="50" t="s">
        <v>2036</v>
      </c>
    </row>
    <row r="388" spans="1:8" hidden="1" x14ac:dyDescent="0.2">
      <c r="A388" s="63">
        <v>41205</v>
      </c>
      <c r="B388" s="50" t="s">
        <v>1508</v>
      </c>
      <c r="C388" s="50" t="s">
        <v>1624</v>
      </c>
      <c r="D388" s="50" t="s">
        <v>1624</v>
      </c>
      <c r="E388" s="50" t="s">
        <v>2043</v>
      </c>
      <c r="F388" s="50" t="s">
        <v>2043</v>
      </c>
      <c r="G388" s="50" t="s">
        <v>2044</v>
      </c>
      <c r="H388" s="50" t="s">
        <v>2036</v>
      </c>
    </row>
    <row r="389" spans="1:8" hidden="1" x14ac:dyDescent="0.2">
      <c r="A389" s="63">
        <v>41206</v>
      </c>
      <c r="B389" s="50" t="s">
        <v>1509</v>
      </c>
      <c r="C389" s="50" t="s">
        <v>1624</v>
      </c>
      <c r="D389" s="50" t="s">
        <v>1624</v>
      </c>
      <c r="E389" s="50" t="s">
        <v>2043</v>
      </c>
      <c r="F389" s="50" t="s">
        <v>2043</v>
      </c>
      <c r="G389" s="50" t="s">
        <v>2044</v>
      </c>
      <c r="H389" s="50" t="s">
        <v>2036</v>
      </c>
    </row>
    <row r="390" spans="1:8" hidden="1" x14ac:dyDescent="0.2">
      <c r="A390" s="63">
        <v>41301</v>
      </c>
      <c r="B390" s="50" t="s">
        <v>1510</v>
      </c>
      <c r="C390" s="50" t="s">
        <v>1624</v>
      </c>
      <c r="D390" s="50" t="s">
        <v>1624</v>
      </c>
      <c r="E390" s="50" t="s">
        <v>2045</v>
      </c>
      <c r="F390" s="50" t="s">
        <v>2045</v>
      </c>
      <c r="G390" s="50" t="s">
        <v>2046</v>
      </c>
      <c r="H390" s="50" t="s">
        <v>2036</v>
      </c>
    </row>
    <row r="391" spans="1:8" hidden="1" x14ac:dyDescent="0.2">
      <c r="A391" s="63">
        <v>41399</v>
      </c>
      <c r="B391" s="50" t="s">
        <v>1511</v>
      </c>
      <c r="C391" s="50" t="s">
        <v>1624</v>
      </c>
      <c r="D391" s="50" t="s">
        <v>1624</v>
      </c>
      <c r="E391" s="50" t="s">
        <v>2045</v>
      </c>
      <c r="F391" s="50" t="s">
        <v>2045</v>
      </c>
      <c r="G391" s="50" t="s">
        <v>2046</v>
      </c>
      <c r="H391" s="50" t="s">
        <v>2036</v>
      </c>
    </row>
    <row r="392" spans="1:8" hidden="1" x14ac:dyDescent="0.2">
      <c r="A392" s="63">
        <v>41400</v>
      </c>
      <c r="B392" s="50" t="s">
        <v>246</v>
      </c>
      <c r="C392" s="50" t="s">
        <v>1624</v>
      </c>
      <c r="D392" s="50" t="s">
        <v>1624</v>
      </c>
      <c r="E392" s="50" t="s">
        <v>2047</v>
      </c>
      <c r="F392" s="50" t="s">
        <v>2047</v>
      </c>
      <c r="G392" s="50" t="s">
        <v>2048</v>
      </c>
      <c r="H392" s="50" t="s">
        <v>2036</v>
      </c>
    </row>
    <row r="393" spans="1:8" hidden="1" x14ac:dyDescent="0.2">
      <c r="A393" s="63">
        <v>41450</v>
      </c>
      <c r="B393" s="50" t="s">
        <v>247</v>
      </c>
      <c r="C393" s="50" t="s">
        <v>1624</v>
      </c>
      <c r="D393" s="50" t="s">
        <v>1624</v>
      </c>
      <c r="E393" s="50" t="s">
        <v>2047</v>
      </c>
      <c r="F393" s="50" t="s">
        <v>2047</v>
      </c>
      <c r="G393" s="50" t="s">
        <v>2048</v>
      </c>
      <c r="H393" s="50" t="s">
        <v>2036</v>
      </c>
    </row>
    <row r="394" spans="1:8" hidden="1" x14ac:dyDescent="0.2">
      <c r="A394" s="63">
        <v>41500</v>
      </c>
      <c r="B394" s="50" t="s">
        <v>508</v>
      </c>
      <c r="C394" s="50" t="s">
        <v>1624</v>
      </c>
      <c r="D394" s="50" t="s">
        <v>1624</v>
      </c>
      <c r="E394" s="50" t="s">
        <v>2049</v>
      </c>
      <c r="F394" s="50" t="s">
        <v>2049</v>
      </c>
      <c r="G394" s="50" t="s">
        <v>2050</v>
      </c>
      <c r="H394" s="50" t="s">
        <v>2036</v>
      </c>
    </row>
    <row r="395" spans="1:8" hidden="1" x14ac:dyDescent="0.2">
      <c r="A395" s="63">
        <v>42000</v>
      </c>
      <c r="B395" s="50" t="s">
        <v>1512</v>
      </c>
      <c r="C395" s="50" t="s">
        <v>1624</v>
      </c>
      <c r="D395" s="50" t="s">
        <v>1624</v>
      </c>
      <c r="E395" s="50" t="s">
        <v>2051</v>
      </c>
      <c r="F395" s="50" t="s">
        <v>2051</v>
      </c>
      <c r="G395" s="50" t="s">
        <v>2052</v>
      </c>
      <c r="H395" s="50" t="s">
        <v>2036</v>
      </c>
    </row>
    <row r="396" spans="1:8" hidden="1" x14ac:dyDescent="0.2">
      <c r="A396" s="63">
        <v>43000</v>
      </c>
      <c r="B396" s="50" t="s">
        <v>1513</v>
      </c>
      <c r="C396" s="50" t="s">
        <v>1624</v>
      </c>
      <c r="D396" s="50" t="s">
        <v>1624</v>
      </c>
      <c r="E396" s="50" t="s">
        <v>2053</v>
      </c>
      <c r="F396" s="50" t="s">
        <v>2053</v>
      </c>
      <c r="G396" s="50" t="s">
        <v>2054</v>
      </c>
      <c r="H396" s="50" t="s">
        <v>2036</v>
      </c>
    </row>
    <row r="397" spans="1:8" hidden="1" x14ac:dyDescent="0.2">
      <c r="A397" s="63">
        <v>43010</v>
      </c>
      <c r="B397" s="50" t="s">
        <v>1514</v>
      </c>
      <c r="C397" s="50" t="s">
        <v>1624</v>
      </c>
      <c r="D397" s="50" t="s">
        <v>1624</v>
      </c>
      <c r="E397" s="50" t="s">
        <v>2053</v>
      </c>
      <c r="F397" s="50" t="s">
        <v>2053</v>
      </c>
      <c r="G397" s="50" t="s">
        <v>2054</v>
      </c>
      <c r="H397" s="50" t="s">
        <v>2036</v>
      </c>
    </row>
    <row r="398" spans="1:8" hidden="1" x14ac:dyDescent="0.2">
      <c r="A398" s="63">
        <v>43020</v>
      </c>
      <c r="B398" s="50" t="s">
        <v>1515</v>
      </c>
      <c r="C398" s="50" t="s">
        <v>1624</v>
      </c>
      <c r="D398" s="50" t="s">
        <v>1624</v>
      </c>
      <c r="E398" s="50" t="s">
        <v>2053</v>
      </c>
      <c r="F398" s="50" t="s">
        <v>2053</v>
      </c>
      <c r="G398" s="50" t="s">
        <v>2054</v>
      </c>
      <c r="H398" s="50" t="s">
        <v>2036</v>
      </c>
    </row>
    <row r="399" spans="1:8" hidden="1" x14ac:dyDescent="0.2">
      <c r="A399" s="63">
        <v>43030</v>
      </c>
      <c r="B399" s="50" t="s">
        <v>1516</v>
      </c>
      <c r="C399" s="50" t="s">
        <v>1624</v>
      </c>
      <c r="D399" s="50" t="s">
        <v>1624</v>
      </c>
      <c r="E399" s="50" t="s">
        <v>2053</v>
      </c>
      <c r="F399" s="50" t="s">
        <v>2053</v>
      </c>
      <c r="G399" s="50" t="s">
        <v>2054</v>
      </c>
      <c r="H399" s="50" t="s">
        <v>2036</v>
      </c>
    </row>
    <row r="400" spans="1:8" hidden="1" x14ac:dyDescent="0.2">
      <c r="A400" s="63">
        <v>43210</v>
      </c>
      <c r="B400" s="50" t="s">
        <v>144</v>
      </c>
      <c r="C400" s="50" t="s">
        <v>1624</v>
      </c>
      <c r="D400" s="50" t="s">
        <v>1624</v>
      </c>
      <c r="E400" s="50" t="s">
        <v>2055</v>
      </c>
      <c r="F400" s="50" t="s">
        <v>2055</v>
      </c>
      <c r="G400" s="50" t="s">
        <v>2056</v>
      </c>
      <c r="H400" s="50" t="s">
        <v>2036</v>
      </c>
    </row>
    <row r="401" spans="1:8" hidden="1" x14ac:dyDescent="0.2">
      <c r="A401" s="63">
        <v>43211</v>
      </c>
      <c r="B401" s="50" t="s">
        <v>145</v>
      </c>
      <c r="C401" s="50" t="s">
        <v>1624</v>
      </c>
      <c r="D401" s="50" t="s">
        <v>1624</v>
      </c>
      <c r="E401" s="50" t="s">
        <v>2055</v>
      </c>
      <c r="F401" s="50" t="s">
        <v>2055</v>
      </c>
      <c r="G401" s="50" t="s">
        <v>2056</v>
      </c>
      <c r="H401" s="50" t="s">
        <v>2036</v>
      </c>
    </row>
    <row r="402" spans="1:8" hidden="1" x14ac:dyDescent="0.2">
      <c r="A402" s="63">
        <v>45100</v>
      </c>
      <c r="B402" s="50" t="s">
        <v>610</v>
      </c>
      <c r="C402" s="50" t="s">
        <v>1624</v>
      </c>
      <c r="D402" s="50" t="s">
        <v>1624</v>
      </c>
      <c r="E402" s="50" t="s">
        <v>2057</v>
      </c>
      <c r="F402" s="50" t="s">
        <v>2057</v>
      </c>
      <c r="G402" s="50" t="s">
        <v>2058</v>
      </c>
      <c r="H402" s="50" t="s">
        <v>2036</v>
      </c>
    </row>
    <row r="403" spans="1:8" hidden="1" x14ac:dyDescent="0.2">
      <c r="A403" s="63">
        <v>45200</v>
      </c>
      <c r="B403" s="50" t="s">
        <v>213</v>
      </c>
      <c r="C403" s="50" t="s">
        <v>1624</v>
      </c>
      <c r="D403" s="50" t="s">
        <v>1624</v>
      </c>
      <c r="E403" s="50" t="s">
        <v>2059</v>
      </c>
      <c r="F403" s="50" t="s">
        <v>2059</v>
      </c>
      <c r="G403" s="50" t="s">
        <v>2060</v>
      </c>
      <c r="H403" s="50" t="s">
        <v>2036</v>
      </c>
    </row>
    <row r="404" spans="1:8" hidden="1" x14ac:dyDescent="0.2">
      <c r="A404" s="63">
        <v>45300</v>
      </c>
      <c r="B404" s="50" t="s">
        <v>211</v>
      </c>
      <c r="C404" s="50" t="s">
        <v>1624</v>
      </c>
      <c r="D404" s="50" t="s">
        <v>1624</v>
      </c>
      <c r="E404" s="50" t="s">
        <v>2061</v>
      </c>
      <c r="F404" s="50" t="s">
        <v>2061</v>
      </c>
      <c r="G404" s="50" t="s">
        <v>2062</v>
      </c>
      <c r="H404" s="50" t="s">
        <v>2036</v>
      </c>
    </row>
    <row r="405" spans="1:8" hidden="1" x14ac:dyDescent="0.2">
      <c r="A405" s="63">
        <v>45400</v>
      </c>
      <c r="B405" s="50" t="s">
        <v>1517</v>
      </c>
      <c r="C405" s="50" t="s">
        <v>1624</v>
      </c>
      <c r="D405" s="50" t="s">
        <v>1624</v>
      </c>
      <c r="E405" s="50" t="s">
        <v>2063</v>
      </c>
      <c r="F405" s="50" t="s">
        <v>2063</v>
      </c>
      <c r="G405" s="50" t="s">
        <v>2064</v>
      </c>
      <c r="H405" s="50" t="s">
        <v>2036</v>
      </c>
    </row>
    <row r="406" spans="1:8" hidden="1" x14ac:dyDescent="0.2">
      <c r="A406" s="63">
        <v>45500</v>
      </c>
      <c r="B406" s="50" t="s">
        <v>214</v>
      </c>
      <c r="C406" s="50" t="s">
        <v>1624</v>
      </c>
      <c r="D406" s="50" t="s">
        <v>1624</v>
      </c>
      <c r="E406" s="50" t="s">
        <v>2065</v>
      </c>
      <c r="F406" s="50" t="s">
        <v>2065</v>
      </c>
      <c r="G406" s="50" t="s">
        <v>2066</v>
      </c>
      <c r="H406" s="50" t="s">
        <v>2036</v>
      </c>
    </row>
    <row r="407" spans="1:8" hidden="1" x14ac:dyDescent="0.2">
      <c r="A407" s="63">
        <v>45600</v>
      </c>
      <c r="B407" s="50" t="s">
        <v>1518</v>
      </c>
      <c r="C407" s="50" t="s">
        <v>1624</v>
      </c>
      <c r="D407" s="50" t="s">
        <v>1624</v>
      </c>
      <c r="E407" s="50" t="s">
        <v>2067</v>
      </c>
      <c r="F407" s="50" t="s">
        <v>2067</v>
      </c>
      <c r="G407" s="50" t="s">
        <v>2068</v>
      </c>
      <c r="H407" s="50" t="s">
        <v>2036</v>
      </c>
    </row>
    <row r="408" spans="1:8" hidden="1" x14ac:dyDescent="0.2">
      <c r="A408" s="63">
        <v>45700</v>
      </c>
      <c r="B408" s="50" t="s">
        <v>1519</v>
      </c>
      <c r="C408" s="50" t="s">
        <v>1624</v>
      </c>
      <c r="D408" s="50" t="s">
        <v>1624</v>
      </c>
      <c r="E408" s="50" t="s">
        <v>2069</v>
      </c>
      <c r="F408" s="50" t="s">
        <v>2069</v>
      </c>
      <c r="G408" s="50" t="s">
        <v>2070</v>
      </c>
      <c r="H408" s="50" t="s">
        <v>2036</v>
      </c>
    </row>
    <row r="409" spans="1:8" hidden="1" x14ac:dyDescent="0.2">
      <c r="A409" s="63">
        <v>50000</v>
      </c>
      <c r="B409" s="50" t="s">
        <v>283</v>
      </c>
      <c r="C409" s="50" t="s">
        <v>1624</v>
      </c>
      <c r="D409" s="50" t="s">
        <v>1624</v>
      </c>
      <c r="E409" s="50" t="s">
        <v>2071</v>
      </c>
      <c r="F409" s="50" t="s">
        <v>2072</v>
      </c>
      <c r="G409" s="50" t="s">
        <v>2073</v>
      </c>
      <c r="H409" s="50" t="s">
        <v>2072</v>
      </c>
    </row>
    <row r="410" spans="1:8" hidden="1" x14ac:dyDescent="0.2">
      <c r="A410" s="63">
        <v>50100</v>
      </c>
      <c r="B410" s="50" t="s">
        <v>534</v>
      </c>
      <c r="C410" s="50" t="s">
        <v>1624</v>
      </c>
      <c r="D410" s="50" t="s">
        <v>1624</v>
      </c>
      <c r="E410" s="50" t="s">
        <v>2071</v>
      </c>
      <c r="F410" s="50" t="s">
        <v>2072</v>
      </c>
      <c r="G410" s="50" t="s">
        <v>2073</v>
      </c>
      <c r="H410" s="50" t="s">
        <v>2072</v>
      </c>
    </row>
    <row r="411" spans="1:8" hidden="1" x14ac:dyDescent="0.2">
      <c r="A411" s="63">
        <v>50200</v>
      </c>
      <c r="B411" s="50" t="s">
        <v>1521</v>
      </c>
      <c r="C411" s="50" t="s">
        <v>1624</v>
      </c>
      <c r="D411" s="50" t="s">
        <v>1624</v>
      </c>
      <c r="E411" s="50" t="s">
        <v>2071</v>
      </c>
      <c r="F411" s="50" t="s">
        <v>2072</v>
      </c>
      <c r="G411" s="50" t="s">
        <v>2073</v>
      </c>
      <c r="H411" s="50" t="s">
        <v>2072</v>
      </c>
    </row>
    <row r="412" spans="1:8" hidden="1" x14ac:dyDescent="0.2">
      <c r="A412" s="63">
        <v>50300</v>
      </c>
      <c r="B412" s="50" t="s">
        <v>1522</v>
      </c>
      <c r="C412" s="50" t="s">
        <v>1624</v>
      </c>
      <c r="D412" s="50" t="s">
        <v>1624</v>
      </c>
      <c r="E412" s="50" t="s">
        <v>2071</v>
      </c>
      <c r="F412" s="50" t="s">
        <v>2072</v>
      </c>
      <c r="G412" s="50" t="s">
        <v>2073</v>
      </c>
      <c r="H412" s="50" t="s">
        <v>2072</v>
      </c>
    </row>
    <row r="413" spans="1:8" hidden="1" x14ac:dyDescent="0.2">
      <c r="A413" s="63">
        <v>50350</v>
      </c>
      <c r="B413" s="50" t="s">
        <v>1523</v>
      </c>
      <c r="C413" s="50" t="s">
        <v>1624</v>
      </c>
      <c r="D413" s="50" t="s">
        <v>1624</v>
      </c>
      <c r="E413" s="50" t="s">
        <v>2071</v>
      </c>
      <c r="F413" s="50" t="s">
        <v>2072</v>
      </c>
      <c r="G413" s="50" t="s">
        <v>2073</v>
      </c>
      <c r="H413" s="50" t="s">
        <v>2072</v>
      </c>
    </row>
    <row r="414" spans="1:8" hidden="1" x14ac:dyDescent="0.2">
      <c r="A414" s="63">
        <v>50400</v>
      </c>
      <c r="B414" s="50" t="s">
        <v>228</v>
      </c>
      <c r="C414" s="50" t="s">
        <v>1624</v>
      </c>
      <c r="D414" s="50" t="s">
        <v>1624</v>
      </c>
      <c r="E414" s="50" t="s">
        <v>2071</v>
      </c>
      <c r="F414" s="50" t="s">
        <v>2072</v>
      </c>
      <c r="G414" s="50" t="s">
        <v>2073</v>
      </c>
      <c r="H414" s="50" t="s">
        <v>2072</v>
      </c>
    </row>
    <row r="415" spans="1:8" hidden="1" x14ac:dyDescent="0.2">
      <c r="A415" s="63">
        <v>50500</v>
      </c>
      <c r="B415" s="50" t="s">
        <v>547</v>
      </c>
      <c r="C415" s="50" t="s">
        <v>1624</v>
      </c>
      <c r="D415" s="50" t="s">
        <v>1624</v>
      </c>
      <c r="E415" s="50" t="s">
        <v>2074</v>
      </c>
      <c r="F415" s="50" t="s">
        <v>2075</v>
      </c>
      <c r="G415" s="50" t="s">
        <v>2076</v>
      </c>
      <c r="H415" s="50" t="s">
        <v>2075</v>
      </c>
    </row>
    <row r="416" spans="1:8" hidden="1" x14ac:dyDescent="0.2">
      <c r="A416" s="63">
        <v>50600</v>
      </c>
      <c r="B416" s="50" t="s">
        <v>284</v>
      </c>
      <c r="C416" s="50" t="s">
        <v>1624</v>
      </c>
      <c r="D416" s="50" t="s">
        <v>1624</v>
      </c>
      <c r="E416" s="50" t="s">
        <v>2077</v>
      </c>
      <c r="F416" s="50" t="s">
        <v>2078</v>
      </c>
      <c r="G416" s="50" t="s">
        <v>2079</v>
      </c>
      <c r="H416" s="50" t="s">
        <v>2078</v>
      </c>
    </row>
    <row r="417" spans="1:8" hidden="1" x14ac:dyDescent="0.2">
      <c r="A417" s="63">
        <v>50610</v>
      </c>
      <c r="B417" s="50" t="s">
        <v>226</v>
      </c>
      <c r="C417" s="50" t="s">
        <v>1624</v>
      </c>
      <c r="D417" s="50" t="s">
        <v>1624</v>
      </c>
      <c r="E417" s="50" t="s">
        <v>2077</v>
      </c>
      <c r="F417" s="50" t="s">
        <v>2078</v>
      </c>
      <c r="G417" s="50" t="s">
        <v>2079</v>
      </c>
      <c r="H417" s="50" t="s">
        <v>2078</v>
      </c>
    </row>
    <row r="418" spans="1:8" hidden="1" x14ac:dyDescent="0.2">
      <c r="A418" s="63">
        <v>50620</v>
      </c>
      <c r="B418" s="50" t="s">
        <v>285</v>
      </c>
      <c r="C418" s="50" t="s">
        <v>1624</v>
      </c>
      <c r="D418" s="50" t="s">
        <v>1624</v>
      </c>
      <c r="E418" s="50" t="s">
        <v>2077</v>
      </c>
      <c r="F418" s="50" t="s">
        <v>2078</v>
      </c>
      <c r="G418" s="50" t="s">
        <v>2079</v>
      </c>
      <c r="H418" s="50" t="s">
        <v>2078</v>
      </c>
    </row>
    <row r="419" spans="1:8" hidden="1" x14ac:dyDescent="0.2">
      <c r="A419" s="63">
        <v>50630</v>
      </c>
      <c r="B419" s="50" t="s">
        <v>227</v>
      </c>
      <c r="C419" s="50" t="s">
        <v>1624</v>
      </c>
      <c r="D419" s="50" t="s">
        <v>1624</v>
      </c>
      <c r="E419" s="50" t="s">
        <v>2077</v>
      </c>
      <c r="F419" s="50" t="s">
        <v>2078</v>
      </c>
      <c r="G419" s="50" t="s">
        <v>2079</v>
      </c>
      <c r="H419" s="50" t="s">
        <v>2078</v>
      </c>
    </row>
    <row r="420" spans="1:8" hidden="1" x14ac:dyDescent="0.2">
      <c r="A420" s="63">
        <v>50640</v>
      </c>
      <c r="B420" s="50" t="s">
        <v>2080</v>
      </c>
      <c r="C420" s="50" t="s">
        <v>1624</v>
      </c>
      <c r="D420" s="50" t="s">
        <v>1624</v>
      </c>
      <c r="E420" s="50" t="s">
        <v>2077</v>
      </c>
      <c r="F420" s="50" t="s">
        <v>2078</v>
      </c>
      <c r="G420" s="50" t="s">
        <v>2079</v>
      </c>
      <c r="H420" s="50" t="s">
        <v>2078</v>
      </c>
    </row>
    <row r="421" spans="1:8" hidden="1" x14ac:dyDescent="0.2">
      <c r="A421" s="63">
        <v>50700</v>
      </c>
      <c r="B421" s="50" t="s">
        <v>1525</v>
      </c>
      <c r="C421" s="50" t="s">
        <v>1624</v>
      </c>
      <c r="D421" s="50" t="s">
        <v>1624</v>
      </c>
      <c r="E421" s="50" t="s">
        <v>2081</v>
      </c>
      <c r="F421" s="50" t="s">
        <v>2082</v>
      </c>
      <c r="G421" s="50" t="s">
        <v>2083</v>
      </c>
      <c r="H421" s="50" t="s">
        <v>2082</v>
      </c>
    </row>
    <row r="422" spans="1:8" hidden="1" x14ac:dyDescent="0.2">
      <c r="A422" s="63">
        <v>50710</v>
      </c>
      <c r="B422" s="50" t="s">
        <v>286</v>
      </c>
      <c r="C422" s="50" t="s">
        <v>1624</v>
      </c>
      <c r="D422" s="50" t="s">
        <v>1624</v>
      </c>
      <c r="E422" s="50" t="s">
        <v>2081</v>
      </c>
      <c r="F422" s="50" t="s">
        <v>2082</v>
      </c>
      <c r="G422" s="50" t="s">
        <v>2083</v>
      </c>
      <c r="H422" s="50" t="s">
        <v>2082</v>
      </c>
    </row>
    <row r="423" spans="1:8" hidden="1" x14ac:dyDescent="0.2">
      <c r="A423" s="63">
        <v>51000</v>
      </c>
      <c r="B423" s="50" t="s">
        <v>558</v>
      </c>
      <c r="C423" s="50" t="s">
        <v>1624</v>
      </c>
      <c r="D423" s="50" t="s">
        <v>1624</v>
      </c>
      <c r="E423" s="50" t="s">
        <v>2084</v>
      </c>
      <c r="F423" s="50" t="s">
        <v>2084</v>
      </c>
      <c r="G423" s="50" t="s">
        <v>2085</v>
      </c>
      <c r="H423" s="50" t="s">
        <v>2086</v>
      </c>
    </row>
    <row r="424" spans="1:8" hidden="1" x14ac:dyDescent="0.2">
      <c r="A424" s="63">
        <v>51100</v>
      </c>
      <c r="B424" s="50" t="s">
        <v>560</v>
      </c>
      <c r="C424" s="50" t="s">
        <v>1624</v>
      </c>
      <c r="D424" s="50" t="s">
        <v>1624</v>
      </c>
      <c r="E424" s="50" t="s">
        <v>2084</v>
      </c>
      <c r="F424" s="50" t="s">
        <v>2084</v>
      </c>
      <c r="G424" s="50" t="s">
        <v>2085</v>
      </c>
      <c r="H424" s="50" t="s">
        <v>2086</v>
      </c>
    </row>
    <row r="425" spans="1:8" hidden="1" x14ac:dyDescent="0.2">
      <c r="A425" s="63">
        <v>51200</v>
      </c>
      <c r="B425" s="50" t="s">
        <v>2087</v>
      </c>
      <c r="C425" s="50" t="s">
        <v>1624</v>
      </c>
      <c r="D425" s="50" t="s">
        <v>1624</v>
      </c>
      <c r="E425" s="50" t="s">
        <v>2084</v>
      </c>
      <c r="F425" s="50" t="s">
        <v>2084</v>
      </c>
      <c r="G425" s="50" t="s">
        <v>2085</v>
      </c>
      <c r="H425" s="50" t="s">
        <v>2086</v>
      </c>
    </row>
    <row r="426" spans="1:8" hidden="1" x14ac:dyDescent="0.2">
      <c r="A426" s="63">
        <v>51201</v>
      </c>
      <c r="B426" s="50" t="s">
        <v>290</v>
      </c>
      <c r="C426" s="50" t="s">
        <v>1624</v>
      </c>
      <c r="D426" s="50" t="s">
        <v>1624</v>
      </c>
      <c r="E426" s="50" t="s">
        <v>2084</v>
      </c>
      <c r="F426" s="50" t="s">
        <v>2084</v>
      </c>
      <c r="G426" s="50" t="s">
        <v>2085</v>
      </c>
      <c r="H426" s="50" t="s">
        <v>2086</v>
      </c>
    </row>
    <row r="427" spans="1:8" hidden="1" x14ac:dyDescent="0.2">
      <c r="A427" s="63">
        <v>51300</v>
      </c>
      <c r="B427" s="50" t="s">
        <v>225</v>
      </c>
      <c r="C427" s="50" t="s">
        <v>1624</v>
      </c>
      <c r="D427" s="50" t="s">
        <v>1624</v>
      </c>
      <c r="E427" s="50" t="s">
        <v>2084</v>
      </c>
      <c r="F427" s="50" t="s">
        <v>2084</v>
      </c>
      <c r="G427" s="50" t="s">
        <v>2085</v>
      </c>
      <c r="H427" s="50" t="s">
        <v>2086</v>
      </c>
    </row>
    <row r="428" spans="1:8" hidden="1" x14ac:dyDescent="0.2">
      <c r="A428" s="63">
        <v>51301</v>
      </c>
      <c r="B428" s="50" t="s">
        <v>2088</v>
      </c>
      <c r="C428" s="50" t="s">
        <v>1624</v>
      </c>
      <c r="D428" s="50" t="s">
        <v>1624</v>
      </c>
      <c r="E428" s="50" t="s">
        <v>2084</v>
      </c>
      <c r="F428" s="50" t="s">
        <v>2084</v>
      </c>
      <c r="G428" s="50" t="s">
        <v>2085</v>
      </c>
      <c r="H428" s="50" t="s">
        <v>2086</v>
      </c>
    </row>
    <row r="429" spans="1:8" hidden="1" x14ac:dyDescent="0.2">
      <c r="A429" s="63">
        <v>52000</v>
      </c>
      <c r="B429" s="50" t="s">
        <v>567</v>
      </c>
      <c r="C429" s="50" t="s">
        <v>1624</v>
      </c>
      <c r="D429" s="50" t="s">
        <v>1624</v>
      </c>
      <c r="E429" s="50" t="s">
        <v>2089</v>
      </c>
      <c r="F429" s="50" t="s">
        <v>2089</v>
      </c>
      <c r="G429" s="50" t="s">
        <v>2090</v>
      </c>
      <c r="H429" s="50" t="s">
        <v>2091</v>
      </c>
    </row>
    <row r="430" spans="1:8" hidden="1" x14ac:dyDescent="0.2">
      <c r="A430" s="63">
        <v>52010</v>
      </c>
      <c r="B430" s="50" t="s">
        <v>2092</v>
      </c>
      <c r="C430" s="50" t="s">
        <v>1624</v>
      </c>
      <c r="D430" s="50" t="s">
        <v>1624</v>
      </c>
      <c r="E430" s="50" t="s">
        <v>2089</v>
      </c>
      <c r="F430" s="50" t="s">
        <v>2089</v>
      </c>
      <c r="G430" s="50" t="s">
        <v>2083</v>
      </c>
      <c r="H430" s="50" t="s">
        <v>2082</v>
      </c>
    </row>
    <row r="431" spans="1:8" hidden="1" x14ac:dyDescent="0.2">
      <c r="A431" s="63">
        <v>52020</v>
      </c>
      <c r="B431" s="50" t="s">
        <v>2093</v>
      </c>
      <c r="C431" s="50" t="s">
        <v>1624</v>
      </c>
      <c r="D431" s="50" t="s">
        <v>1624</v>
      </c>
      <c r="E431" s="50" t="s">
        <v>2089</v>
      </c>
      <c r="F431" s="50" t="s">
        <v>2089</v>
      </c>
      <c r="G431" s="50" t="s">
        <v>2083</v>
      </c>
      <c r="H431" s="50" t="s">
        <v>2082</v>
      </c>
    </row>
    <row r="432" spans="1:8" hidden="1" x14ac:dyDescent="0.2">
      <c r="A432" s="63">
        <v>52100</v>
      </c>
      <c r="B432" s="50" t="s">
        <v>569</v>
      </c>
      <c r="C432" s="50" t="s">
        <v>1624</v>
      </c>
      <c r="D432" s="50" t="s">
        <v>1624</v>
      </c>
      <c r="E432" s="50" t="s">
        <v>2089</v>
      </c>
      <c r="F432" s="50" t="s">
        <v>2089</v>
      </c>
      <c r="G432" s="50" t="s">
        <v>2090</v>
      </c>
      <c r="H432" s="50" t="s">
        <v>2091</v>
      </c>
    </row>
    <row r="433" spans="1:8" hidden="1" x14ac:dyDescent="0.2">
      <c r="A433" s="63">
        <v>52101</v>
      </c>
      <c r="B433" s="50" t="s">
        <v>571</v>
      </c>
      <c r="C433" s="50" t="s">
        <v>1624</v>
      </c>
      <c r="D433" s="50" t="s">
        <v>1624</v>
      </c>
      <c r="E433" s="50" t="s">
        <v>2089</v>
      </c>
      <c r="F433" s="50" t="s">
        <v>2089</v>
      </c>
      <c r="G433" s="50" t="s">
        <v>2090</v>
      </c>
      <c r="H433" s="50" t="s">
        <v>2091</v>
      </c>
    </row>
    <row r="434" spans="1:8" hidden="1" x14ac:dyDescent="0.2">
      <c r="A434" s="63">
        <v>52102</v>
      </c>
      <c r="B434" s="50" t="s">
        <v>1528</v>
      </c>
      <c r="C434" s="50" t="s">
        <v>1624</v>
      </c>
      <c r="D434" s="50" t="s">
        <v>1624</v>
      </c>
      <c r="E434" s="50" t="s">
        <v>2089</v>
      </c>
      <c r="F434" s="50" t="s">
        <v>2089</v>
      </c>
      <c r="G434" s="50" t="s">
        <v>2090</v>
      </c>
      <c r="H434" s="50" t="s">
        <v>2091</v>
      </c>
    </row>
    <row r="435" spans="1:8" hidden="1" x14ac:dyDescent="0.2">
      <c r="A435" s="63">
        <v>52103</v>
      </c>
      <c r="B435" s="50" t="s">
        <v>1529</v>
      </c>
      <c r="C435" s="50" t="s">
        <v>1624</v>
      </c>
      <c r="D435" s="50" t="s">
        <v>1624</v>
      </c>
      <c r="E435" s="50" t="s">
        <v>2089</v>
      </c>
      <c r="F435" s="50" t="s">
        <v>2089</v>
      </c>
      <c r="G435" s="50" t="s">
        <v>2090</v>
      </c>
      <c r="H435" s="50" t="s">
        <v>2091</v>
      </c>
    </row>
    <row r="436" spans="1:8" hidden="1" x14ac:dyDescent="0.2">
      <c r="A436" s="63">
        <v>52104</v>
      </c>
      <c r="B436" s="50" t="s">
        <v>1530</v>
      </c>
      <c r="C436" s="50" t="s">
        <v>1624</v>
      </c>
      <c r="D436" s="50" t="s">
        <v>1624</v>
      </c>
      <c r="E436" s="50" t="s">
        <v>2089</v>
      </c>
      <c r="F436" s="50" t="s">
        <v>2089</v>
      </c>
      <c r="G436" s="50" t="s">
        <v>2090</v>
      </c>
      <c r="H436" s="50" t="s">
        <v>2091</v>
      </c>
    </row>
    <row r="437" spans="1:8" hidden="1" x14ac:dyDescent="0.2">
      <c r="A437" s="63">
        <v>52105</v>
      </c>
      <c r="B437" s="50" t="s">
        <v>1531</v>
      </c>
      <c r="C437" s="50" t="s">
        <v>1624</v>
      </c>
      <c r="D437" s="50" t="s">
        <v>1624</v>
      </c>
      <c r="E437" s="50" t="s">
        <v>2089</v>
      </c>
      <c r="F437" s="50" t="s">
        <v>2089</v>
      </c>
      <c r="G437" s="50" t="s">
        <v>2090</v>
      </c>
      <c r="H437" s="50" t="s">
        <v>2091</v>
      </c>
    </row>
    <row r="438" spans="1:8" hidden="1" x14ac:dyDescent="0.2">
      <c r="A438" s="63">
        <v>52106</v>
      </c>
      <c r="B438" s="50" t="s">
        <v>1532</v>
      </c>
      <c r="C438" s="50" t="s">
        <v>1624</v>
      </c>
      <c r="D438" s="50" t="s">
        <v>1624</v>
      </c>
      <c r="E438" s="50" t="s">
        <v>2089</v>
      </c>
      <c r="F438" s="50" t="s">
        <v>2089</v>
      </c>
      <c r="G438" s="50" t="s">
        <v>2090</v>
      </c>
      <c r="H438" s="50" t="s">
        <v>2091</v>
      </c>
    </row>
    <row r="439" spans="1:8" hidden="1" x14ac:dyDescent="0.2">
      <c r="A439" s="63">
        <v>52107</v>
      </c>
      <c r="B439" s="50" t="s">
        <v>1533</v>
      </c>
      <c r="C439" s="50" t="s">
        <v>1624</v>
      </c>
      <c r="D439" s="50" t="s">
        <v>1624</v>
      </c>
      <c r="E439" s="50" t="s">
        <v>2089</v>
      </c>
      <c r="F439" s="50" t="s">
        <v>2089</v>
      </c>
      <c r="G439" s="50" t="s">
        <v>2090</v>
      </c>
      <c r="H439" s="50" t="s">
        <v>2091</v>
      </c>
    </row>
    <row r="440" spans="1:8" hidden="1" x14ac:dyDescent="0.2">
      <c r="A440" s="63">
        <v>52200</v>
      </c>
      <c r="B440" s="50" t="s">
        <v>583</v>
      </c>
      <c r="C440" s="50" t="s">
        <v>1624</v>
      </c>
      <c r="D440" s="50" t="s">
        <v>1624</v>
      </c>
      <c r="E440" s="50" t="s">
        <v>2089</v>
      </c>
      <c r="F440" s="50" t="s">
        <v>2089</v>
      </c>
      <c r="G440" s="50" t="s">
        <v>2090</v>
      </c>
      <c r="H440" s="50" t="s">
        <v>2091</v>
      </c>
    </row>
    <row r="441" spans="1:8" hidden="1" x14ac:dyDescent="0.2">
      <c r="A441" s="63">
        <v>52201</v>
      </c>
      <c r="B441" s="50" t="s">
        <v>585</v>
      </c>
      <c r="C441" s="50" t="s">
        <v>1624</v>
      </c>
      <c r="D441" s="50" t="s">
        <v>1624</v>
      </c>
      <c r="E441" s="50" t="s">
        <v>2089</v>
      </c>
      <c r="F441" s="50" t="s">
        <v>2089</v>
      </c>
      <c r="G441" s="50" t="s">
        <v>2090</v>
      </c>
      <c r="H441" s="50" t="s">
        <v>2091</v>
      </c>
    </row>
    <row r="442" spans="1:8" hidden="1" x14ac:dyDescent="0.2">
      <c r="A442" s="63">
        <v>52300</v>
      </c>
      <c r="B442" s="50" t="s">
        <v>1534</v>
      </c>
      <c r="C442" s="50" t="s">
        <v>1624</v>
      </c>
      <c r="D442" s="50" t="s">
        <v>1624</v>
      </c>
      <c r="E442" s="50" t="s">
        <v>2089</v>
      </c>
      <c r="F442" s="50" t="s">
        <v>2089</v>
      </c>
      <c r="G442" s="50" t="s">
        <v>2090</v>
      </c>
      <c r="H442" s="50" t="s">
        <v>2091</v>
      </c>
    </row>
    <row r="443" spans="1:8" hidden="1" x14ac:dyDescent="0.2">
      <c r="A443" s="63">
        <v>52301</v>
      </c>
      <c r="B443" s="50" t="s">
        <v>588</v>
      </c>
      <c r="C443" s="50" t="s">
        <v>1624</v>
      </c>
      <c r="D443" s="50" t="s">
        <v>1624</v>
      </c>
      <c r="E443" s="50" t="s">
        <v>2089</v>
      </c>
      <c r="F443" s="50" t="s">
        <v>2089</v>
      </c>
      <c r="G443" s="50" t="s">
        <v>2090</v>
      </c>
      <c r="H443" s="50" t="s">
        <v>2091</v>
      </c>
    </row>
    <row r="444" spans="1:8" hidden="1" x14ac:dyDescent="0.2">
      <c r="A444" s="63">
        <v>52400</v>
      </c>
      <c r="B444" s="50" t="s">
        <v>591</v>
      </c>
      <c r="C444" s="50" t="s">
        <v>1624</v>
      </c>
      <c r="D444" s="50" t="s">
        <v>1624</v>
      </c>
      <c r="E444" s="50" t="s">
        <v>2089</v>
      </c>
      <c r="F444" s="50" t="s">
        <v>2089</v>
      </c>
      <c r="G444" s="50" t="s">
        <v>2090</v>
      </c>
      <c r="H444" s="50" t="s">
        <v>2091</v>
      </c>
    </row>
    <row r="445" spans="1:8" hidden="1" x14ac:dyDescent="0.2">
      <c r="A445" s="63">
        <v>52401</v>
      </c>
      <c r="B445" s="50" t="s">
        <v>146</v>
      </c>
      <c r="C445" s="50" t="s">
        <v>1624</v>
      </c>
      <c r="D445" s="50" t="s">
        <v>1624</v>
      </c>
      <c r="E445" s="50" t="s">
        <v>2089</v>
      </c>
      <c r="F445" s="50" t="s">
        <v>2089</v>
      </c>
      <c r="G445" s="50" t="s">
        <v>2090</v>
      </c>
      <c r="H445" s="50" t="s">
        <v>2091</v>
      </c>
    </row>
    <row r="446" spans="1:8" hidden="1" x14ac:dyDescent="0.2">
      <c r="A446" s="63">
        <v>52500</v>
      </c>
      <c r="B446" s="50" t="s">
        <v>594</v>
      </c>
      <c r="C446" s="50" t="s">
        <v>1624</v>
      </c>
      <c r="D446" s="50" t="s">
        <v>1624</v>
      </c>
      <c r="E446" s="50" t="s">
        <v>2089</v>
      </c>
      <c r="F446" s="50" t="s">
        <v>2089</v>
      </c>
      <c r="G446" s="50" t="s">
        <v>2090</v>
      </c>
      <c r="H446" s="50" t="s">
        <v>2091</v>
      </c>
    </row>
    <row r="447" spans="1:8" hidden="1" x14ac:dyDescent="0.2">
      <c r="A447" s="63">
        <v>52501</v>
      </c>
      <c r="B447" s="50" t="s">
        <v>596</v>
      </c>
      <c r="C447" s="50" t="s">
        <v>1624</v>
      </c>
      <c r="D447" s="50" t="s">
        <v>1624</v>
      </c>
      <c r="E447" s="50" t="s">
        <v>2089</v>
      </c>
      <c r="F447" s="50" t="s">
        <v>2089</v>
      </c>
      <c r="G447" s="50" t="s">
        <v>2090</v>
      </c>
      <c r="H447" s="50" t="s">
        <v>2091</v>
      </c>
    </row>
    <row r="448" spans="1:8" hidden="1" x14ac:dyDescent="0.2">
      <c r="A448" s="63">
        <v>52502</v>
      </c>
      <c r="B448" s="50" t="s">
        <v>293</v>
      </c>
      <c r="C448" s="50" t="s">
        <v>1624</v>
      </c>
      <c r="D448" s="50" t="s">
        <v>1624</v>
      </c>
      <c r="E448" s="50" t="s">
        <v>2089</v>
      </c>
      <c r="F448" s="50" t="s">
        <v>2089</v>
      </c>
      <c r="G448" s="50" t="s">
        <v>2090</v>
      </c>
      <c r="H448" s="50" t="s">
        <v>2091</v>
      </c>
    </row>
    <row r="449" spans="1:8" hidden="1" x14ac:dyDescent="0.2">
      <c r="A449" s="63">
        <v>52503</v>
      </c>
      <c r="B449" s="50" t="s">
        <v>599</v>
      </c>
      <c r="C449" s="50" t="s">
        <v>1624</v>
      </c>
      <c r="D449" s="50" t="s">
        <v>1624</v>
      </c>
      <c r="E449" s="50" t="s">
        <v>2089</v>
      </c>
      <c r="F449" s="50" t="s">
        <v>2089</v>
      </c>
      <c r="G449" s="50" t="s">
        <v>2090</v>
      </c>
      <c r="H449" s="50" t="s">
        <v>2091</v>
      </c>
    </row>
    <row r="450" spans="1:8" hidden="1" x14ac:dyDescent="0.2">
      <c r="A450" s="63">
        <v>52504</v>
      </c>
      <c r="B450" s="50" t="s">
        <v>601</v>
      </c>
      <c r="C450" s="50" t="s">
        <v>1624</v>
      </c>
      <c r="D450" s="50" t="s">
        <v>1624</v>
      </c>
      <c r="E450" s="50" t="s">
        <v>2089</v>
      </c>
      <c r="F450" s="50" t="s">
        <v>2089</v>
      </c>
      <c r="G450" s="50" t="s">
        <v>2090</v>
      </c>
      <c r="H450" s="50" t="s">
        <v>2091</v>
      </c>
    </row>
    <row r="451" spans="1:8" hidden="1" x14ac:dyDescent="0.2">
      <c r="A451" s="63">
        <v>52505</v>
      </c>
      <c r="B451" s="50" t="s">
        <v>230</v>
      </c>
      <c r="C451" s="50" t="s">
        <v>1624</v>
      </c>
      <c r="D451" s="50" t="s">
        <v>1624</v>
      </c>
      <c r="E451" s="50" t="s">
        <v>2089</v>
      </c>
      <c r="F451" s="50" t="s">
        <v>2089</v>
      </c>
      <c r="G451" s="50" t="s">
        <v>2090</v>
      </c>
      <c r="H451" s="50" t="s">
        <v>2091</v>
      </c>
    </row>
    <row r="452" spans="1:8" hidden="1" x14ac:dyDescent="0.2">
      <c r="A452" s="63">
        <v>52510</v>
      </c>
      <c r="B452" s="50" t="s">
        <v>229</v>
      </c>
      <c r="C452" s="50" t="s">
        <v>1624</v>
      </c>
      <c r="D452" s="50" t="s">
        <v>1624</v>
      </c>
      <c r="E452" s="50" t="s">
        <v>2089</v>
      </c>
      <c r="F452" s="50" t="s">
        <v>2089</v>
      </c>
      <c r="G452" s="50" t="s">
        <v>2090</v>
      </c>
      <c r="H452" s="50" t="s">
        <v>2091</v>
      </c>
    </row>
    <row r="453" spans="1:8" hidden="1" x14ac:dyDescent="0.2">
      <c r="A453" s="63">
        <v>52520</v>
      </c>
      <c r="B453" s="50" t="s">
        <v>1536</v>
      </c>
      <c r="C453" s="50" t="s">
        <v>1624</v>
      </c>
      <c r="D453" s="50" t="s">
        <v>1624</v>
      </c>
      <c r="E453" s="50" t="s">
        <v>2089</v>
      </c>
      <c r="F453" s="50" t="s">
        <v>2089</v>
      </c>
      <c r="G453" s="50" t="s">
        <v>2090</v>
      </c>
      <c r="H453" s="50" t="s">
        <v>2091</v>
      </c>
    </row>
    <row r="454" spans="1:8" hidden="1" x14ac:dyDescent="0.2">
      <c r="A454" s="63">
        <v>55100</v>
      </c>
      <c r="B454" s="50" t="s">
        <v>2094</v>
      </c>
      <c r="C454" s="50" t="s">
        <v>1624</v>
      </c>
      <c r="D454" s="50" t="s">
        <v>1624</v>
      </c>
      <c r="E454" s="50" t="s">
        <v>2089</v>
      </c>
      <c r="F454" s="50" t="s">
        <v>2089</v>
      </c>
      <c r="G454" s="50" t="s">
        <v>2090</v>
      </c>
      <c r="H454" s="50" t="s">
        <v>2091</v>
      </c>
    </row>
    <row r="455" spans="1:8" hidden="1" x14ac:dyDescent="0.2">
      <c r="A455" s="63">
        <v>60100</v>
      </c>
      <c r="B455" s="50" t="s">
        <v>148</v>
      </c>
      <c r="C455" s="50" t="s">
        <v>1624</v>
      </c>
      <c r="D455" s="50" t="s">
        <v>1624</v>
      </c>
      <c r="E455" s="50" t="s">
        <v>2095</v>
      </c>
      <c r="F455" s="50" t="s">
        <v>2095</v>
      </c>
      <c r="G455" s="50" t="s">
        <v>2096</v>
      </c>
      <c r="H455" s="50" t="s">
        <v>2097</v>
      </c>
    </row>
    <row r="456" spans="1:8" hidden="1" x14ac:dyDescent="0.2">
      <c r="A456" s="63">
        <v>60105</v>
      </c>
      <c r="B456" s="50" t="s">
        <v>613</v>
      </c>
      <c r="C456" s="50" t="s">
        <v>1624</v>
      </c>
      <c r="D456" s="50" t="s">
        <v>1624</v>
      </c>
      <c r="E456" s="50" t="s">
        <v>2095</v>
      </c>
      <c r="F456" s="50" t="s">
        <v>2095</v>
      </c>
      <c r="G456" s="50" t="s">
        <v>2096</v>
      </c>
      <c r="H456" s="50" t="s">
        <v>2097</v>
      </c>
    </row>
    <row r="457" spans="1:8" hidden="1" x14ac:dyDescent="0.2">
      <c r="A457" s="63">
        <v>60110</v>
      </c>
      <c r="B457" s="50" t="s">
        <v>149</v>
      </c>
      <c r="C457" s="50" t="s">
        <v>1624</v>
      </c>
      <c r="D457" s="50" t="s">
        <v>1624</v>
      </c>
      <c r="E457" s="50" t="s">
        <v>2095</v>
      </c>
      <c r="F457" s="50" t="s">
        <v>2095</v>
      </c>
      <c r="G457" s="50" t="s">
        <v>2096</v>
      </c>
      <c r="H457" s="50" t="s">
        <v>2097</v>
      </c>
    </row>
    <row r="458" spans="1:8" hidden="1" x14ac:dyDescent="0.2">
      <c r="A458" s="63">
        <v>60115</v>
      </c>
      <c r="B458" s="50" t="s">
        <v>150</v>
      </c>
      <c r="C458" s="50" t="s">
        <v>1624</v>
      </c>
      <c r="D458" s="50" t="s">
        <v>1624</v>
      </c>
      <c r="E458" s="50" t="s">
        <v>2095</v>
      </c>
      <c r="F458" s="50" t="s">
        <v>2095</v>
      </c>
      <c r="G458" s="50" t="s">
        <v>2096</v>
      </c>
      <c r="H458" s="50" t="s">
        <v>2097</v>
      </c>
    </row>
    <row r="459" spans="1:8" hidden="1" x14ac:dyDescent="0.2">
      <c r="A459" s="63">
        <v>60120</v>
      </c>
      <c r="B459" s="50" t="s">
        <v>151</v>
      </c>
      <c r="C459" s="50" t="s">
        <v>1624</v>
      </c>
      <c r="D459" s="50" t="s">
        <v>1624</v>
      </c>
      <c r="E459" s="50" t="s">
        <v>2095</v>
      </c>
      <c r="F459" s="50" t="s">
        <v>2095</v>
      </c>
      <c r="G459" s="50" t="s">
        <v>2096</v>
      </c>
      <c r="H459" s="50" t="s">
        <v>2097</v>
      </c>
    </row>
    <row r="460" spans="1:8" hidden="1" x14ac:dyDescent="0.2">
      <c r="A460" s="63">
        <v>60125</v>
      </c>
      <c r="B460" s="50" t="s">
        <v>152</v>
      </c>
      <c r="C460" s="50" t="s">
        <v>1624</v>
      </c>
      <c r="D460" s="50" t="s">
        <v>1624</v>
      </c>
      <c r="E460" s="50" t="s">
        <v>2095</v>
      </c>
      <c r="F460" s="50" t="s">
        <v>2095</v>
      </c>
      <c r="G460" s="50" t="s">
        <v>2096</v>
      </c>
      <c r="H460" s="50" t="s">
        <v>2097</v>
      </c>
    </row>
    <row r="461" spans="1:8" hidden="1" x14ac:dyDescent="0.2">
      <c r="A461" s="63">
        <v>60130</v>
      </c>
      <c r="B461" s="50" t="s">
        <v>153</v>
      </c>
      <c r="C461" s="50" t="s">
        <v>1624</v>
      </c>
      <c r="D461" s="50" t="s">
        <v>1624</v>
      </c>
      <c r="E461" s="50" t="s">
        <v>2095</v>
      </c>
      <c r="F461" s="50" t="s">
        <v>2095</v>
      </c>
      <c r="G461" s="50" t="s">
        <v>2096</v>
      </c>
      <c r="H461" s="50" t="s">
        <v>2097</v>
      </c>
    </row>
    <row r="462" spans="1:8" hidden="1" x14ac:dyDescent="0.2">
      <c r="A462" s="63">
        <v>60135</v>
      </c>
      <c r="B462" s="50" t="s">
        <v>1538</v>
      </c>
      <c r="C462" s="50" t="s">
        <v>1624</v>
      </c>
      <c r="D462" s="50" t="s">
        <v>1624</v>
      </c>
      <c r="E462" s="50" t="s">
        <v>2095</v>
      </c>
      <c r="F462" s="50" t="s">
        <v>2095</v>
      </c>
      <c r="G462" s="50" t="s">
        <v>2096</v>
      </c>
      <c r="H462" s="50" t="s">
        <v>2097</v>
      </c>
    </row>
    <row r="463" spans="1:8" hidden="1" x14ac:dyDescent="0.2">
      <c r="A463" s="63">
        <v>60140</v>
      </c>
      <c r="B463" s="50" t="s">
        <v>20</v>
      </c>
      <c r="C463" s="50" t="s">
        <v>1624</v>
      </c>
      <c r="D463" s="50" t="s">
        <v>1624</v>
      </c>
      <c r="E463" s="50" t="s">
        <v>2095</v>
      </c>
      <c r="F463" s="50" t="s">
        <v>2095</v>
      </c>
      <c r="G463" s="50" t="s">
        <v>2096</v>
      </c>
      <c r="H463" s="50" t="s">
        <v>2097</v>
      </c>
    </row>
    <row r="464" spans="1:8" hidden="1" x14ac:dyDescent="0.2">
      <c r="A464" s="63">
        <v>60145</v>
      </c>
      <c r="B464" s="50" t="s">
        <v>623</v>
      </c>
      <c r="C464" s="50" t="s">
        <v>1624</v>
      </c>
      <c r="D464" s="50" t="s">
        <v>1624</v>
      </c>
      <c r="E464" s="50" t="s">
        <v>2095</v>
      </c>
      <c r="F464" s="50" t="s">
        <v>2095</v>
      </c>
      <c r="G464" s="50" t="s">
        <v>2096</v>
      </c>
      <c r="H464" s="50" t="s">
        <v>2097</v>
      </c>
    </row>
    <row r="465" spans="1:8" hidden="1" x14ac:dyDescent="0.2">
      <c r="A465" s="63">
        <v>60150</v>
      </c>
      <c r="B465" s="50" t="s">
        <v>155</v>
      </c>
      <c r="C465" s="50" t="s">
        <v>1624</v>
      </c>
      <c r="D465" s="50" t="s">
        <v>1624</v>
      </c>
      <c r="E465" s="50" t="s">
        <v>2095</v>
      </c>
      <c r="F465" s="50" t="s">
        <v>2095</v>
      </c>
      <c r="G465" s="50" t="s">
        <v>2096</v>
      </c>
      <c r="H465" s="50" t="s">
        <v>2097</v>
      </c>
    </row>
    <row r="466" spans="1:8" hidden="1" x14ac:dyDescent="0.2">
      <c r="A466" s="63">
        <v>60155</v>
      </c>
      <c r="B466" s="50" t="s">
        <v>108</v>
      </c>
      <c r="C466" s="50" t="s">
        <v>1624</v>
      </c>
      <c r="D466" s="50" t="s">
        <v>1624</v>
      </c>
      <c r="E466" s="50" t="s">
        <v>2095</v>
      </c>
      <c r="F466" s="50" t="s">
        <v>2095</v>
      </c>
      <c r="G466" s="50" t="s">
        <v>2096</v>
      </c>
      <c r="H466" s="50" t="s">
        <v>2097</v>
      </c>
    </row>
    <row r="467" spans="1:8" hidden="1" x14ac:dyDescent="0.2">
      <c r="A467" s="63">
        <v>60160</v>
      </c>
      <c r="B467" s="50" t="s">
        <v>627</v>
      </c>
      <c r="C467" s="50" t="s">
        <v>1624</v>
      </c>
      <c r="D467" s="50" t="s">
        <v>1624</v>
      </c>
      <c r="E467" s="50" t="s">
        <v>2095</v>
      </c>
      <c r="F467" s="50" t="s">
        <v>2095</v>
      </c>
      <c r="G467" s="50" t="s">
        <v>2096</v>
      </c>
      <c r="H467" s="50" t="s">
        <v>2097</v>
      </c>
    </row>
    <row r="468" spans="1:8" hidden="1" x14ac:dyDescent="0.2">
      <c r="A468" s="63">
        <v>60165</v>
      </c>
      <c r="B468" s="50" t="s">
        <v>156</v>
      </c>
      <c r="C468" s="50" t="s">
        <v>1624</v>
      </c>
      <c r="D468" s="50" t="s">
        <v>1624</v>
      </c>
      <c r="E468" s="50" t="s">
        <v>2095</v>
      </c>
      <c r="F468" s="50" t="s">
        <v>2095</v>
      </c>
      <c r="G468" s="50" t="s">
        <v>2096</v>
      </c>
      <c r="H468" s="50" t="s">
        <v>2097</v>
      </c>
    </row>
    <row r="469" spans="1:8" hidden="1" x14ac:dyDescent="0.2">
      <c r="A469" s="63">
        <v>60170</v>
      </c>
      <c r="B469" s="50" t="s">
        <v>1539</v>
      </c>
      <c r="C469" s="50" t="s">
        <v>1624</v>
      </c>
      <c r="D469" s="50" t="s">
        <v>1624</v>
      </c>
      <c r="E469" s="50" t="s">
        <v>2095</v>
      </c>
      <c r="F469" s="50" t="s">
        <v>2095</v>
      </c>
      <c r="G469" s="50" t="s">
        <v>2096</v>
      </c>
      <c r="H469" s="50" t="s">
        <v>2097</v>
      </c>
    </row>
    <row r="470" spans="1:8" hidden="1" x14ac:dyDescent="0.2">
      <c r="A470" s="63">
        <v>60175</v>
      </c>
      <c r="B470" s="50" t="s">
        <v>634</v>
      </c>
      <c r="C470" s="50" t="s">
        <v>1624</v>
      </c>
      <c r="D470" s="50" t="s">
        <v>1624</v>
      </c>
      <c r="E470" s="50" t="s">
        <v>2095</v>
      </c>
      <c r="F470" s="50" t="s">
        <v>2095</v>
      </c>
      <c r="G470" s="50" t="s">
        <v>2096</v>
      </c>
      <c r="H470" s="50" t="s">
        <v>2097</v>
      </c>
    </row>
    <row r="471" spans="1:8" hidden="1" x14ac:dyDescent="0.2">
      <c r="A471" s="63">
        <v>60180</v>
      </c>
      <c r="B471" s="50" t="s">
        <v>636</v>
      </c>
      <c r="C471" s="50" t="s">
        <v>1624</v>
      </c>
      <c r="D471" s="50" t="s">
        <v>1624</v>
      </c>
      <c r="E471" s="50" t="s">
        <v>2095</v>
      </c>
      <c r="F471" s="50" t="s">
        <v>2095</v>
      </c>
      <c r="G471" s="50" t="s">
        <v>2096</v>
      </c>
      <c r="H471" s="50" t="s">
        <v>2097</v>
      </c>
    </row>
    <row r="472" spans="1:8" hidden="1" x14ac:dyDescent="0.2">
      <c r="A472" s="63">
        <v>60185</v>
      </c>
      <c r="B472" s="50" t="s">
        <v>1540</v>
      </c>
      <c r="C472" s="50" t="s">
        <v>1624</v>
      </c>
      <c r="D472" s="50" t="s">
        <v>1624</v>
      </c>
      <c r="E472" s="50" t="s">
        <v>2095</v>
      </c>
      <c r="F472" s="50" t="s">
        <v>2095</v>
      </c>
      <c r="G472" s="50" t="s">
        <v>2096</v>
      </c>
      <c r="H472" s="50" t="s">
        <v>2097</v>
      </c>
    </row>
    <row r="473" spans="1:8" hidden="1" x14ac:dyDescent="0.2">
      <c r="A473" s="63">
        <v>60190</v>
      </c>
      <c r="B473" s="50" t="s">
        <v>640</v>
      </c>
      <c r="C473" s="50" t="s">
        <v>1624</v>
      </c>
      <c r="D473" s="50" t="s">
        <v>1624</v>
      </c>
      <c r="E473" s="50" t="s">
        <v>2095</v>
      </c>
      <c r="F473" s="50" t="s">
        <v>2095</v>
      </c>
      <c r="G473" s="50" t="s">
        <v>2096</v>
      </c>
      <c r="H473" s="50" t="s">
        <v>2097</v>
      </c>
    </row>
    <row r="474" spans="1:8" hidden="1" x14ac:dyDescent="0.2">
      <c r="A474" s="63">
        <v>60195</v>
      </c>
      <c r="B474" s="50" t="s">
        <v>642</v>
      </c>
      <c r="C474" s="50" t="s">
        <v>1624</v>
      </c>
      <c r="D474" s="50" t="s">
        <v>1624</v>
      </c>
      <c r="E474" s="50" t="s">
        <v>2095</v>
      </c>
      <c r="F474" s="50" t="s">
        <v>2095</v>
      </c>
      <c r="G474" s="50" t="s">
        <v>2096</v>
      </c>
      <c r="H474" s="50" t="s">
        <v>2097</v>
      </c>
    </row>
    <row r="475" spans="1:8" hidden="1" x14ac:dyDescent="0.2">
      <c r="A475" s="63">
        <v>60200</v>
      </c>
      <c r="B475" s="50" t="s">
        <v>644</v>
      </c>
      <c r="C475" s="50" t="s">
        <v>1624</v>
      </c>
      <c r="D475" s="50" t="s">
        <v>1624</v>
      </c>
      <c r="E475" s="50" t="s">
        <v>2095</v>
      </c>
      <c r="F475" s="50" t="s">
        <v>2095</v>
      </c>
      <c r="G475" s="50" t="s">
        <v>2096</v>
      </c>
      <c r="H475" s="50" t="s">
        <v>2097</v>
      </c>
    </row>
    <row r="476" spans="1:8" hidden="1" x14ac:dyDescent="0.2">
      <c r="A476" s="63">
        <v>60205</v>
      </c>
      <c r="B476" s="50" t="s">
        <v>646</v>
      </c>
      <c r="C476" s="50" t="s">
        <v>1624</v>
      </c>
      <c r="D476" s="50" t="s">
        <v>1624</v>
      </c>
      <c r="E476" s="50" t="s">
        <v>2095</v>
      </c>
      <c r="F476" s="50" t="s">
        <v>2095</v>
      </c>
      <c r="G476" s="50" t="s">
        <v>2096</v>
      </c>
      <c r="H476" s="50" t="s">
        <v>2097</v>
      </c>
    </row>
    <row r="477" spans="1:8" hidden="1" x14ac:dyDescent="0.2">
      <c r="A477" s="63">
        <v>60210</v>
      </c>
      <c r="B477" s="50" t="s">
        <v>157</v>
      </c>
      <c r="C477" s="50" t="s">
        <v>1624</v>
      </c>
      <c r="D477" s="50" t="s">
        <v>1624</v>
      </c>
      <c r="E477" s="50" t="s">
        <v>2095</v>
      </c>
      <c r="F477" s="50" t="s">
        <v>2095</v>
      </c>
      <c r="G477" s="50" t="s">
        <v>2096</v>
      </c>
      <c r="H477" s="50" t="s">
        <v>2097</v>
      </c>
    </row>
    <row r="478" spans="1:8" hidden="1" x14ac:dyDescent="0.2">
      <c r="A478" s="63">
        <v>60215</v>
      </c>
      <c r="B478" s="50" t="s">
        <v>9</v>
      </c>
      <c r="C478" s="50" t="s">
        <v>1624</v>
      </c>
      <c r="D478" s="50" t="s">
        <v>1624</v>
      </c>
      <c r="E478" s="50" t="s">
        <v>2095</v>
      </c>
      <c r="F478" s="50" t="s">
        <v>2095</v>
      </c>
      <c r="G478" s="50" t="s">
        <v>2096</v>
      </c>
      <c r="H478" s="50" t="s">
        <v>2097</v>
      </c>
    </row>
    <row r="479" spans="1:8" hidden="1" x14ac:dyDescent="0.2">
      <c r="A479" s="63">
        <v>60220</v>
      </c>
      <c r="B479" s="50" t="s">
        <v>21</v>
      </c>
      <c r="C479" s="50" t="s">
        <v>1624</v>
      </c>
      <c r="D479" s="50" t="s">
        <v>1624</v>
      </c>
      <c r="E479" s="50" t="s">
        <v>2095</v>
      </c>
      <c r="F479" s="50" t="s">
        <v>2095</v>
      </c>
      <c r="G479" s="50" t="s">
        <v>2096</v>
      </c>
      <c r="H479" s="50" t="s">
        <v>2097</v>
      </c>
    </row>
    <row r="480" spans="1:8" hidden="1" x14ac:dyDescent="0.2">
      <c r="A480" s="63">
        <v>60225</v>
      </c>
      <c r="B480" s="50" t="s">
        <v>651</v>
      </c>
      <c r="C480" s="50" t="s">
        <v>1624</v>
      </c>
      <c r="D480" s="50" t="s">
        <v>1624</v>
      </c>
      <c r="E480" s="50" t="s">
        <v>2095</v>
      </c>
      <c r="F480" s="50" t="s">
        <v>2095</v>
      </c>
      <c r="G480" s="50" t="s">
        <v>2096</v>
      </c>
      <c r="H480" s="50" t="s">
        <v>2097</v>
      </c>
    </row>
    <row r="481" spans="1:8" hidden="1" x14ac:dyDescent="0.2">
      <c r="A481" s="63">
        <v>60230</v>
      </c>
      <c r="B481" s="50" t="s">
        <v>158</v>
      </c>
      <c r="C481" s="50" t="s">
        <v>1624</v>
      </c>
      <c r="D481" s="50" t="s">
        <v>1624</v>
      </c>
      <c r="E481" s="50" t="s">
        <v>2095</v>
      </c>
      <c r="F481" s="50" t="s">
        <v>2095</v>
      </c>
      <c r="G481" s="50" t="s">
        <v>2096</v>
      </c>
      <c r="H481" s="50" t="s">
        <v>2097</v>
      </c>
    </row>
    <row r="482" spans="1:8" hidden="1" x14ac:dyDescent="0.2">
      <c r="A482" s="63">
        <v>60235</v>
      </c>
      <c r="B482" s="50" t="s">
        <v>654</v>
      </c>
      <c r="C482" s="50" t="s">
        <v>1624</v>
      </c>
      <c r="D482" s="50" t="s">
        <v>1624</v>
      </c>
      <c r="E482" s="50" t="s">
        <v>2095</v>
      </c>
      <c r="F482" s="50" t="s">
        <v>2095</v>
      </c>
      <c r="G482" s="50" t="s">
        <v>2096</v>
      </c>
      <c r="H482" s="50" t="s">
        <v>2097</v>
      </c>
    </row>
    <row r="483" spans="1:8" hidden="1" x14ac:dyDescent="0.2">
      <c r="A483" s="63">
        <v>60240</v>
      </c>
      <c r="B483" s="50" t="s">
        <v>32</v>
      </c>
      <c r="C483" s="50" t="s">
        <v>1624</v>
      </c>
      <c r="D483" s="50" t="s">
        <v>1624</v>
      </c>
      <c r="E483" s="50" t="s">
        <v>2095</v>
      </c>
      <c r="F483" s="50" t="s">
        <v>2095</v>
      </c>
      <c r="G483" s="50" t="s">
        <v>2096</v>
      </c>
      <c r="H483" s="50" t="s">
        <v>2097</v>
      </c>
    </row>
    <row r="484" spans="1:8" hidden="1" x14ac:dyDescent="0.2">
      <c r="A484" s="63">
        <v>60245</v>
      </c>
      <c r="B484" s="50" t="s">
        <v>33</v>
      </c>
      <c r="C484" s="50" t="s">
        <v>1624</v>
      </c>
      <c r="D484" s="50" t="s">
        <v>1624</v>
      </c>
      <c r="E484" s="50" t="s">
        <v>2095</v>
      </c>
      <c r="F484" s="50" t="s">
        <v>2095</v>
      </c>
      <c r="G484" s="50" t="s">
        <v>2096</v>
      </c>
      <c r="H484" s="50" t="s">
        <v>2097</v>
      </c>
    </row>
    <row r="485" spans="1:8" hidden="1" x14ac:dyDescent="0.2">
      <c r="A485" s="63">
        <v>60250</v>
      </c>
      <c r="B485" s="50" t="s">
        <v>34</v>
      </c>
      <c r="C485" s="50" t="s">
        <v>1624</v>
      </c>
      <c r="D485" s="50" t="s">
        <v>1624</v>
      </c>
      <c r="E485" s="50" t="s">
        <v>2095</v>
      </c>
      <c r="F485" s="50" t="s">
        <v>2095</v>
      </c>
      <c r="G485" s="50" t="s">
        <v>2096</v>
      </c>
      <c r="H485" s="50" t="s">
        <v>2097</v>
      </c>
    </row>
    <row r="486" spans="1:8" hidden="1" x14ac:dyDescent="0.2">
      <c r="A486" s="63">
        <v>60255</v>
      </c>
      <c r="B486" s="50" t="s">
        <v>659</v>
      </c>
      <c r="C486" s="50" t="s">
        <v>1624</v>
      </c>
      <c r="D486" s="50" t="s">
        <v>1624</v>
      </c>
      <c r="E486" s="50" t="s">
        <v>2095</v>
      </c>
      <c r="F486" s="50" t="s">
        <v>2095</v>
      </c>
      <c r="G486" s="50" t="s">
        <v>2096</v>
      </c>
      <c r="H486" s="50" t="s">
        <v>2097</v>
      </c>
    </row>
    <row r="487" spans="1:8" hidden="1" x14ac:dyDescent="0.2">
      <c r="A487" s="63">
        <v>60260</v>
      </c>
      <c r="B487" s="50" t="s">
        <v>109</v>
      </c>
      <c r="C487" s="50" t="s">
        <v>1624</v>
      </c>
      <c r="D487" s="50" t="s">
        <v>1624</v>
      </c>
      <c r="E487" s="50" t="s">
        <v>2095</v>
      </c>
      <c r="F487" s="50" t="s">
        <v>2095</v>
      </c>
      <c r="G487" s="50" t="s">
        <v>2096</v>
      </c>
      <c r="H487" s="50" t="s">
        <v>2097</v>
      </c>
    </row>
    <row r="488" spans="1:8" hidden="1" x14ac:dyDescent="0.2">
      <c r="A488" s="63">
        <v>60265</v>
      </c>
      <c r="B488" s="50" t="s">
        <v>662</v>
      </c>
      <c r="C488" s="50" t="s">
        <v>1624</v>
      </c>
      <c r="D488" s="50" t="s">
        <v>1624</v>
      </c>
      <c r="E488" s="50" t="s">
        <v>2095</v>
      </c>
      <c r="F488" s="50" t="s">
        <v>2095</v>
      </c>
      <c r="G488" s="50" t="s">
        <v>2096</v>
      </c>
      <c r="H488" s="50" t="s">
        <v>2097</v>
      </c>
    </row>
    <row r="489" spans="1:8" hidden="1" x14ac:dyDescent="0.2">
      <c r="A489" s="63">
        <v>60270</v>
      </c>
      <c r="B489" s="50" t="s">
        <v>35</v>
      </c>
      <c r="C489" s="50" t="s">
        <v>1624</v>
      </c>
      <c r="D489" s="50" t="s">
        <v>1624</v>
      </c>
      <c r="E489" s="50" t="s">
        <v>2095</v>
      </c>
      <c r="F489" s="50" t="s">
        <v>2095</v>
      </c>
      <c r="G489" s="50" t="s">
        <v>2096</v>
      </c>
      <c r="H489" s="50" t="s">
        <v>2097</v>
      </c>
    </row>
    <row r="490" spans="1:8" hidden="1" x14ac:dyDescent="0.2">
      <c r="A490" s="63">
        <v>60275</v>
      </c>
      <c r="B490" s="50" t="s">
        <v>665</v>
      </c>
      <c r="C490" s="50" t="s">
        <v>1624</v>
      </c>
      <c r="D490" s="50" t="s">
        <v>1624</v>
      </c>
      <c r="E490" s="50" t="s">
        <v>2095</v>
      </c>
      <c r="F490" s="50" t="s">
        <v>2095</v>
      </c>
      <c r="G490" s="50" t="s">
        <v>2096</v>
      </c>
      <c r="H490" s="50" t="s">
        <v>2097</v>
      </c>
    </row>
    <row r="491" spans="1:8" hidden="1" x14ac:dyDescent="0.2">
      <c r="A491" s="63">
        <v>60280</v>
      </c>
      <c r="B491" s="50" t="s">
        <v>667</v>
      </c>
      <c r="C491" s="50" t="s">
        <v>1624</v>
      </c>
      <c r="D491" s="50" t="s">
        <v>1624</v>
      </c>
      <c r="E491" s="50" t="s">
        <v>2095</v>
      </c>
      <c r="F491" s="50" t="s">
        <v>2095</v>
      </c>
      <c r="G491" s="50" t="s">
        <v>2096</v>
      </c>
      <c r="H491" s="50" t="s">
        <v>2097</v>
      </c>
    </row>
    <row r="492" spans="1:8" hidden="1" x14ac:dyDescent="0.2">
      <c r="A492" s="63">
        <v>60285</v>
      </c>
      <c r="B492" s="50" t="s">
        <v>669</v>
      </c>
      <c r="C492" s="50" t="s">
        <v>1624</v>
      </c>
      <c r="D492" s="50" t="s">
        <v>1624</v>
      </c>
      <c r="E492" s="50" t="s">
        <v>2095</v>
      </c>
      <c r="F492" s="50" t="s">
        <v>2095</v>
      </c>
      <c r="G492" s="50" t="s">
        <v>2096</v>
      </c>
      <c r="H492" s="50" t="s">
        <v>2097</v>
      </c>
    </row>
    <row r="493" spans="1:8" hidden="1" x14ac:dyDescent="0.2">
      <c r="A493" s="63">
        <v>60290</v>
      </c>
      <c r="B493" s="50" t="s">
        <v>671</v>
      </c>
      <c r="C493" s="50" t="s">
        <v>1624</v>
      </c>
      <c r="D493" s="50" t="s">
        <v>1624</v>
      </c>
      <c r="E493" s="50" t="s">
        <v>2095</v>
      </c>
      <c r="F493" s="50" t="s">
        <v>2095</v>
      </c>
      <c r="G493" s="50" t="s">
        <v>2096</v>
      </c>
      <c r="H493" s="50" t="s">
        <v>2097</v>
      </c>
    </row>
    <row r="494" spans="1:8" hidden="1" x14ac:dyDescent="0.2">
      <c r="A494" s="63">
        <v>60295</v>
      </c>
      <c r="B494" s="50" t="s">
        <v>36</v>
      </c>
      <c r="C494" s="50" t="s">
        <v>1624</v>
      </c>
      <c r="D494" s="50" t="s">
        <v>1624</v>
      </c>
      <c r="E494" s="50" t="s">
        <v>2095</v>
      </c>
      <c r="F494" s="50" t="s">
        <v>2095</v>
      </c>
      <c r="G494" s="50" t="s">
        <v>2096</v>
      </c>
      <c r="H494" s="50" t="s">
        <v>2097</v>
      </c>
    </row>
    <row r="495" spans="1:8" hidden="1" x14ac:dyDescent="0.2">
      <c r="A495" s="63">
        <v>60300</v>
      </c>
      <c r="B495" s="50" t="s">
        <v>1541</v>
      </c>
      <c r="C495" s="50" t="s">
        <v>1624</v>
      </c>
      <c r="D495" s="50" t="s">
        <v>1624</v>
      </c>
      <c r="E495" s="50" t="s">
        <v>2095</v>
      </c>
      <c r="F495" s="50" t="s">
        <v>2095</v>
      </c>
      <c r="G495" s="50" t="s">
        <v>2096</v>
      </c>
      <c r="H495" s="50" t="s">
        <v>2097</v>
      </c>
    </row>
    <row r="496" spans="1:8" hidden="1" x14ac:dyDescent="0.2">
      <c r="A496" s="63">
        <v>60305</v>
      </c>
      <c r="B496" s="50" t="s">
        <v>37</v>
      </c>
      <c r="C496" s="50" t="s">
        <v>1624</v>
      </c>
      <c r="D496" s="50" t="s">
        <v>1624</v>
      </c>
      <c r="E496" s="50" t="s">
        <v>2095</v>
      </c>
      <c r="F496" s="50" t="s">
        <v>2095</v>
      </c>
      <c r="G496" s="50" t="s">
        <v>2096</v>
      </c>
      <c r="H496" s="50" t="s">
        <v>2097</v>
      </c>
    </row>
    <row r="497" spans="1:8" hidden="1" x14ac:dyDescent="0.2">
      <c r="A497" s="63">
        <v>60310</v>
      </c>
      <c r="B497" s="50" t="s">
        <v>675</v>
      </c>
      <c r="C497" s="50" t="s">
        <v>1624</v>
      </c>
      <c r="D497" s="50" t="s">
        <v>1624</v>
      </c>
      <c r="E497" s="50" t="s">
        <v>2095</v>
      </c>
      <c r="F497" s="50" t="s">
        <v>2095</v>
      </c>
      <c r="G497" s="50" t="s">
        <v>2096</v>
      </c>
      <c r="H497" s="50" t="s">
        <v>2097</v>
      </c>
    </row>
    <row r="498" spans="1:8" hidden="1" x14ac:dyDescent="0.2">
      <c r="A498" s="63">
        <v>60315</v>
      </c>
      <c r="B498" s="50" t="s">
        <v>22</v>
      </c>
      <c r="C498" s="50" t="s">
        <v>1624</v>
      </c>
      <c r="D498" s="50" t="s">
        <v>1624</v>
      </c>
      <c r="E498" s="50" t="s">
        <v>2095</v>
      </c>
      <c r="F498" s="50" t="s">
        <v>2095</v>
      </c>
      <c r="G498" s="50" t="s">
        <v>2096</v>
      </c>
      <c r="H498" s="50" t="s">
        <v>2097</v>
      </c>
    </row>
    <row r="499" spans="1:8" hidden="1" x14ac:dyDescent="0.2">
      <c r="A499" s="63">
        <v>60320</v>
      </c>
      <c r="B499" s="50" t="s">
        <v>38</v>
      </c>
      <c r="C499" s="50" t="s">
        <v>1624</v>
      </c>
      <c r="D499" s="50" t="s">
        <v>1624</v>
      </c>
      <c r="E499" s="50" t="s">
        <v>2095</v>
      </c>
      <c r="F499" s="50" t="s">
        <v>2095</v>
      </c>
      <c r="G499" s="50" t="s">
        <v>2096</v>
      </c>
      <c r="H499" s="50" t="s">
        <v>2097</v>
      </c>
    </row>
    <row r="500" spans="1:8" hidden="1" x14ac:dyDescent="0.2">
      <c r="A500" s="63">
        <v>60325</v>
      </c>
      <c r="B500" s="50" t="s">
        <v>39</v>
      </c>
      <c r="C500" s="50" t="s">
        <v>1624</v>
      </c>
      <c r="D500" s="50" t="s">
        <v>1624</v>
      </c>
      <c r="E500" s="50" t="s">
        <v>2095</v>
      </c>
      <c r="F500" s="50" t="s">
        <v>2095</v>
      </c>
      <c r="G500" s="50" t="s">
        <v>2096</v>
      </c>
      <c r="H500" s="50" t="s">
        <v>2097</v>
      </c>
    </row>
    <row r="501" spans="1:8" hidden="1" x14ac:dyDescent="0.2">
      <c r="A501" s="63">
        <v>60330</v>
      </c>
      <c r="B501" s="50" t="s">
        <v>23</v>
      </c>
      <c r="C501" s="50" t="s">
        <v>1624</v>
      </c>
      <c r="D501" s="50" t="s">
        <v>1624</v>
      </c>
      <c r="E501" s="50" t="s">
        <v>2095</v>
      </c>
      <c r="F501" s="50" t="s">
        <v>2095</v>
      </c>
      <c r="G501" s="50" t="s">
        <v>2096</v>
      </c>
      <c r="H501" s="50" t="s">
        <v>2097</v>
      </c>
    </row>
    <row r="502" spans="1:8" hidden="1" x14ac:dyDescent="0.2">
      <c r="A502" s="63">
        <v>60335</v>
      </c>
      <c r="B502" s="50" t="s">
        <v>166</v>
      </c>
      <c r="C502" s="50" t="s">
        <v>1624</v>
      </c>
      <c r="D502" s="50" t="s">
        <v>1624</v>
      </c>
      <c r="E502" s="50" t="s">
        <v>2095</v>
      </c>
      <c r="F502" s="50" t="s">
        <v>2095</v>
      </c>
      <c r="G502" s="50" t="s">
        <v>2096</v>
      </c>
      <c r="H502" s="50" t="s">
        <v>2097</v>
      </c>
    </row>
    <row r="503" spans="1:8" hidden="1" x14ac:dyDescent="0.2">
      <c r="A503" s="63">
        <v>60340</v>
      </c>
      <c r="B503" s="50" t="s">
        <v>1542</v>
      </c>
      <c r="C503" s="50" t="s">
        <v>1624</v>
      </c>
      <c r="D503" s="50" t="s">
        <v>1624</v>
      </c>
      <c r="E503" s="50" t="s">
        <v>2095</v>
      </c>
      <c r="F503" s="50" t="s">
        <v>2095</v>
      </c>
      <c r="G503" s="50" t="s">
        <v>2096</v>
      </c>
      <c r="H503" s="50" t="s">
        <v>2097</v>
      </c>
    </row>
    <row r="504" spans="1:8" hidden="1" x14ac:dyDescent="0.2">
      <c r="A504" s="63">
        <v>60345</v>
      </c>
      <c r="B504" s="50" t="s">
        <v>683</v>
      </c>
      <c r="C504" s="50" t="s">
        <v>1624</v>
      </c>
      <c r="D504" s="50" t="s">
        <v>1624</v>
      </c>
      <c r="E504" s="50" t="s">
        <v>2095</v>
      </c>
      <c r="F504" s="50" t="s">
        <v>2095</v>
      </c>
      <c r="G504" s="50" t="s">
        <v>2096</v>
      </c>
      <c r="H504" s="50" t="s">
        <v>2097</v>
      </c>
    </row>
    <row r="505" spans="1:8" hidden="1" x14ac:dyDescent="0.2">
      <c r="A505" s="63">
        <v>60350</v>
      </c>
      <c r="B505" s="50" t="s">
        <v>685</v>
      </c>
      <c r="C505" s="50" t="s">
        <v>1624</v>
      </c>
      <c r="D505" s="50" t="s">
        <v>1624</v>
      </c>
      <c r="E505" s="50" t="s">
        <v>2095</v>
      </c>
      <c r="F505" s="50" t="s">
        <v>2095</v>
      </c>
      <c r="G505" s="50" t="s">
        <v>2096</v>
      </c>
      <c r="H505" s="50" t="s">
        <v>2097</v>
      </c>
    </row>
    <row r="506" spans="1:8" hidden="1" x14ac:dyDescent="0.2">
      <c r="A506" s="63">
        <v>60355</v>
      </c>
      <c r="B506" s="50" t="s">
        <v>687</v>
      </c>
      <c r="C506" s="50" t="s">
        <v>1624</v>
      </c>
      <c r="D506" s="50" t="s">
        <v>1624</v>
      </c>
      <c r="E506" s="50" t="s">
        <v>2095</v>
      </c>
      <c r="F506" s="50" t="s">
        <v>2095</v>
      </c>
      <c r="G506" s="50" t="s">
        <v>2096</v>
      </c>
      <c r="H506" s="50" t="s">
        <v>2097</v>
      </c>
    </row>
    <row r="507" spans="1:8" hidden="1" x14ac:dyDescent="0.2">
      <c r="A507" s="63">
        <v>60360</v>
      </c>
      <c r="B507" s="50" t="s">
        <v>689</v>
      </c>
      <c r="C507" s="50" t="s">
        <v>1624</v>
      </c>
      <c r="D507" s="50" t="s">
        <v>1624</v>
      </c>
      <c r="E507" s="50" t="s">
        <v>2095</v>
      </c>
      <c r="F507" s="50" t="s">
        <v>2095</v>
      </c>
      <c r="G507" s="50" t="s">
        <v>2096</v>
      </c>
      <c r="H507" s="50" t="s">
        <v>2097</v>
      </c>
    </row>
    <row r="508" spans="1:8" hidden="1" x14ac:dyDescent="0.2">
      <c r="A508" s="63">
        <v>60365</v>
      </c>
      <c r="B508" s="50" t="s">
        <v>691</v>
      </c>
      <c r="C508" s="50" t="s">
        <v>1624</v>
      </c>
      <c r="D508" s="50" t="s">
        <v>1624</v>
      </c>
      <c r="E508" s="50" t="s">
        <v>2095</v>
      </c>
      <c r="F508" s="50" t="s">
        <v>2095</v>
      </c>
      <c r="G508" s="50" t="s">
        <v>2096</v>
      </c>
      <c r="H508" s="50" t="s">
        <v>2097</v>
      </c>
    </row>
    <row r="509" spans="1:8" hidden="1" x14ac:dyDescent="0.2">
      <c r="A509" s="63">
        <v>60370</v>
      </c>
      <c r="B509" s="50" t="s">
        <v>693</v>
      </c>
      <c r="C509" s="50" t="s">
        <v>1624</v>
      </c>
      <c r="D509" s="50" t="s">
        <v>1624</v>
      </c>
      <c r="E509" s="50" t="s">
        <v>2095</v>
      </c>
      <c r="F509" s="50" t="s">
        <v>2095</v>
      </c>
      <c r="G509" s="50" t="s">
        <v>2096</v>
      </c>
      <c r="H509" s="50" t="s">
        <v>2097</v>
      </c>
    </row>
    <row r="510" spans="1:8" hidden="1" x14ac:dyDescent="0.2">
      <c r="A510" s="63">
        <v>60375</v>
      </c>
      <c r="B510" s="50" t="s">
        <v>695</v>
      </c>
      <c r="C510" s="50" t="s">
        <v>1624</v>
      </c>
      <c r="D510" s="50" t="s">
        <v>1624</v>
      </c>
      <c r="E510" s="50" t="s">
        <v>2095</v>
      </c>
      <c r="F510" s="50" t="s">
        <v>2095</v>
      </c>
      <c r="G510" s="50" t="s">
        <v>2096</v>
      </c>
      <c r="H510" s="50" t="s">
        <v>2097</v>
      </c>
    </row>
    <row r="511" spans="1:8" hidden="1" x14ac:dyDescent="0.2">
      <c r="A511" s="63">
        <v>60380</v>
      </c>
      <c r="B511" s="50" t="s">
        <v>697</v>
      </c>
      <c r="C511" s="50" t="s">
        <v>1624</v>
      </c>
      <c r="D511" s="50" t="s">
        <v>1624</v>
      </c>
      <c r="E511" s="50" t="s">
        <v>2095</v>
      </c>
      <c r="F511" s="50" t="s">
        <v>2095</v>
      </c>
      <c r="G511" s="50" t="s">
        <v>2096</v>
      </c>
      <c r="H511" s="50" t="s">
        <v>2097</v>
      </c>
    </row>
    <row r="512" spans="1:8" hidden="1" x14ac:dyDescent="0.2">
      <c r="A512" s="63">
        <v>60385</v>
      </c>
      <c r="B512" s="50" t="s">
        <v>699</v>
      </c>
      <c r="C512" s="50" t="s">
        <v>1624</v>
      </c>
      <c r="D512" s="50" t="s">
        <v>1624</v>
      </c>
      <c r="E512" s="50" t="s">
        <v>2095</v>
      </c>
      <c r="F512" s="50" t="s">
        <v>2095</v>
      </c>
      <c r="G512" s="50" t="s">
        <v>2096</v>
      </c>
      <c r="H512" s="50" t="s">
        <v>2097</v>
      </c>
    </row>
    <row r="513" spans="1:8" hidden="1" x14ac:dyDescent="0.2">
      <c r="A513" s="63">
        <v>60390</v>
      </c>
      <c r="B513" s="50" t="s">
        <v>701</v>
      </c>
      <c r="C513" s="50" t="s">
        <v>1624</v>
      </c>
      <c r="D513" s="50" t="s">
        <v>1624</v>
      </c>
      <c r="E513" s="50" t="s">
        <v>2095</v>
      </c>
      <c r="F513" s="50" t="s">
        <v>2095</v>
      </c>
      <c r="G513" s="50" t="s">
        <v>2096</v>
      </c>
      <c r="H513" s="50" t="s">
        <v>2097</v>
      </c>
    </row>
    <row r="514" spans="1:8" hidden="1" x14ac:dyDescent="0.2">
      <c r="A514" s="63">
        <v>60395</v>
      </c>
      <c r="B514" s="50" t="s">
        <v>1543</v>
      </c>
      <c r="C514" s="50" t="s">
        <v>1624</v>
      </c>
      <c r="D514" s="50" t="s">
        <v>1624</v>
      </c>
      <c r="E514" s="50" t="s">
        <v>2095</v>
      </c>
      <c r="F514" s="50" t="s">
        <v>2095</v>
      </c>
      <c r="G514" s="50" t="s">
        <v>2096</v>
      </c>
      <c r="H514" s="50" t="s">
        <v>2097</v>
      </c>
    </row>
    <row r="515" spans="1:8" hidden="1" x14ac:dyDescent="0.2">
      <c r="A515" s="63">
        <v>60400</v>
      </c>
      <c r="B515" s="50" t="s">
        <v>705</v>
      </c>
      <c r="C515" s="50" t="s">
        <v>1624</v>
      </c>
      <c r="D515" s="50" t="s">
        <v>1624</v>
      </c>
      <c r="E515" s="50" t="s">
        <v>2095</v>
      </c>
      <c r="F515" s="50" t="s">
        <v>2095</v>
      </c>
      <c r="G515" s="50" t="s">
        <v>2096</v>
      </c>
      <c r="H515" s="50" t="s">
        <v>2097</v>
      </c>
    </row>
    <row r="516" spans="1:8" hidden="1" x14ac:dyDescent="0.2">
      <c r="A516" s="63">
        <v>60405</v>
      </c>
      <c r="B516" s="50" t="s">
        <v>707</v>
      </c>
      <c r="C516" s="50" t="s">
        <v>1624</v>
      </c>
      <c r="D516" s="50" t="s">
        <v>1624</v>
      </c>
      <c r="E516" s="50" t="s">
        <v>2095</v>
      </c>
      <c r="F516" s="50" t="s">
        <v>2095</v>
      </c>
      <c r="G516" s="50" t="s">
        <v>2096</v>
      </c>
      <c r="H516" s="50" t="s">
        <v>2097</v>
      </c>
    </row>
    <row r="517" spans="1:8" hidden="1" x14ac:dyDescent="0.2">
      <c r="A517" s="63">
        <v>60410</v>
      </c>
      <c r="B517" s="50" t="s">
        <v>709</v>
      </c>
      <c r="C517" s="50" t="s">
        <v>1624</v>
      </c>
      <c r="D517" s="50" t="s">
        <v>1624</v>
      </c>
      <c r="E517" s="50" t="s">
        <v>2095</v>
      </c>
      <c r="F517" s="50" t="s">
        <v>2095</v>
      </c>
      <c r="G517" s="50" t="s">
        <v>2096</v>
      </c>
      <c r="H517" s="50" t="s">
        <v>2097</v>
      </c>
    </row>
    <row r="518" spans="1:8" hidden="1" x14ac:dyDescent="0.2">
      <c r="A518" s="63">
        <v>60415</v>
      </c>
      <c r="B518" s="50" t="s">
        <v>711</v>
      </c>
      <c r="C518" s="50" t="s">
        <v>1624</v>
      </c>
      <c r="D518" s="50" t="s">
        <v>1624</v>
      </c>
      <c r="E518" s="50" t="s">
        <v>2095</v>
      </c>
      <c r="F518" s="50" t="s">
        <v>2095</v>
      </c>
      <c r="G518" s="50" t="s">
        <v>2096</v>
      </c>
      <c r="H518" s="50" t="s">
        <v>2097</v>
      </c>
    </row>
    <row r="519" spans="1:8" hidden="1" x14ac:dyDescent="0.2">
      <c r="A519" s="63">
        <v>60420</v>
      </c>
      <c r="B519" s="50" t="s">
        <v>713</v>
      </c>
      <c r="C519" s="50" t="s">
        <v>1624</v>
      </c>
      <c r="D519" s="50" t="s">
        <v>1624</v>
      </c>
      <c r="E519" s="50" t="s">
        <v>2095</v>
      </c>
      <c r="F519" s="50" t="s">
        <v>2095</v>
      </c>
      <c r="G519" s="50" t="s">
        <v>2096</v>
      </c>
      <c r="H519" s="50" t="s">
        <v>2097</v>
      </c>
    </row>
    <row r="520" spans="1:8" hidden="1" x14ac:dyDescent="0.2">
      <c r="A520" s="63">
        <v>60425</v>
      </c>
      <c r="B520" s="50" t="s">
        <v>24</v>
      </c>
      <c r="C520" s="50" t="s">
        <v>1624</v>
      </c>
      <c r="D520" s="50" t="s">
        <v>1624</v>
      </c>
      <c r="E520" s="50" t="s">
        <v>2095</v>
      </c>
      <c r="F520" s="50" t="s">
        <v>2095</v>
      </c>
      <c r="G520" s="50" t="s">
        <v>2096</v>
      </c>
      <c r="H520" s="50" t="s">
        <v>2097</v>
      </c>
    </row>
    <row r="521" spans="1:8" hidden="1" x14ac:dyDescent="0.2">
      <c r="A521" s="63">
        <v>60430</v>
      </c>
      <c r="B521" s="50" t="s">
        <v>40</v>
      </c>
      <c r="C521" s="50" t="s">
        <v>1624</v>
      </c>
      <c r="D521" s="50" t="s">
        <v>1624</v>
      </c>
      <c r="E521" s="50" t="s">
        <v>2095</v>
      </c>
      <c r="F521" s="50" t="s">
        <v>2095</v>
      </c>
      <c r="G521" s="50" t="s">
        <v>2096</v>
      </c>
      <c r="H521" s="50" t="s">
        <v>2097</v>
      </c>
    </row>
    <row r="522" spans="1:8" hidden="1" x14ac:dyDescent="0.2">
      <c r="A522" s="63">
        <v>60435</v>
      </c>
      <c r="B522" s="50" t="s">
        <v>1546</v>
      </c>
      <c r="C522" s="50" t="s">
        <v>1624</v>
      </c>
      <c r="D522" s="50" t="s">
        <v>1624</v>
      </c>
      <c r="E522" s="50" t="s">
        <v>2095</v>
      </c>
      <c r="F522" s="50" t="s">
        <v>2095</v>
      </c>
      <c r="G522" s="50" t="s">
        <v>2096</v>
      </c>
      <c r="H522" s="50" t="s">
        <v>2097</v>
      </c>
    </row>
    <row r="523" spans="1:8" hidden="1" x14ac:dyDescent="0.2">
      <c r="A523" s="63">
        <v>60440</v>
      </c>
      <c r="B523" s="50" t="s">
        <v>41</v>
      </c>
      <c r="C523" s="50" t="s">
        <v>1624</v>
      </c>
      <c r="D523" s="50" t="s">
        <v>1624</v>
      </c>
      <c r="E523" s="50" t="s">
        <v>2095</v>
      </c>
      <c r="F523" s="50" t="s">
        <v>2095</v>
      </c>
      <c r="G523" s="50" t="s">
        <v>2096</v>
      </c>
      <c r="H523" s="50" t="s">
        <v>2097</v>
      </c>
    </row>
    <row r="524" spans="1:8" hidden="1" x14ac:dyDescent="0.2">
      <c r="A524" s="63">
        <v>60445</v>
      </c>
      <c r="B524" s="50" t="s">
        <v>42</v>
      </c>
      <c r="C524" s="50" t="s">
        <v>1624</v>
      </c>
      <c r="D524" s="50" t="s">
        <v>1624</v>
      </c>
      <c r="E524" s="50" t="s">
        <v>2095</v>
      </c>
      <c r="F524" s="50" t="s">
        <v>2095</v>
      </c>
      <c r="G524" s="50" t="s">
        <v>2096</v>
      </c>
      <c r="H524" s="50" t="s">
        <v>2097</v>
      </c>
    </row>
    <row r="525" spans="1:8" hidden="1" x14ac:dyDescent="0.2">
      <c r="A525" s="63">
        <v>60450</v>
      </c>
      <c r="B525" s="50" t="s">
        <v>719</v>
      </c>
      <c r="C525" s="50" t="s">
        <v>1624</v>
      </c>
      <c r="D525" s="50" t="s">
        <v>1624</v>
      </c>
      <c r="E525" s="50" t="s">
        <v>2095</v>
      </c>
      <c r="F525" s="50" t="s">
        <v>2095</v>
      </c>
      <c r="G525" s="50" t="s">
        <v>2096</v>
      </c>
      <c r="H525" s="50" t="s">
        <v>2097</v>
      </c>
    </row>
    <row r="526" spans="1:8" hidden="1" x14ac:dyDescent="0.2">
      <c r="A526" s="63">
        <v>60455</v>
      </c>
      <c r="B526" s="50" t="s">
        <v>721</v>
      </c>
      <c r="C526" s="50" t="s">
        <v>1624</v>
      </c>
      <c r="D526" s="50" t="s">
        <v>1624</v>
      </c>
      <c r="E526" s="50" t="s">
        <v>2095</v>
      </c>
      <c r="F526" s="50" t="s">
        <v>2095</v>
      </c>
      <c r="G526" s="50" t="s">
        <v>2096</v>
      </c>
      <c r="H526" s="50" t="s">
        <v>2097</v>
      </c>
    </row>
    <row r="527" spans="1:8" hidden="1" x14ac:dyDescent="0.2">
      <c r="A527" s="63">
        <v>60460</v>
      </c>
      <c r="B527" s="50" t="s">
        <v>43</v>
      </c>
      <c r="C527" s="50" t="s">
        <v>1624</v>
      </c>
      <c r="D527" s="50" t="s">
        <v>1624</v>
      </c>
      <c r="E527" s="50" t="s">
        <v>2095</v>
      </c>
      <c r="F527" s="50" t="s">
        <v>2095</v>
      </c>
      <c r="G527" s="50" t="s">
        <v>2096</v>
      </c>
      <c r="H527" s="50" t="s">
        <v>2097</v>
      </c>
    </row>
    <row r="528" spans="1:8" hidden="1" x14ac:dyDescent="0.2">
      <c r="A528" s="63">
        <v>60465</v>
      </c>
      <c r="B528" s="50" t="s">
        <v>25</v>
      </c>
      <c r="C528" s="50" t="s">
        <v>1624</v>
      </c>
      <c r="D528" s="50" t="s">
        <v>1624</v>
      </c>
      <c r="E528" s="50" t="s">
        <v>2095</v>
      </c>
      <c r="F528" s="50" t="s">
        <v>2095</v>
      </c>
      <c r="G528" s="50" t="s">
        <v>2096</v>
      </c>
      <c r="H528" s="50" t="s">
        <v>2097</v>
      </c>
    </row>
    <row r="529" spans="1:8" hidden="1" x14ac:dyDescent="0.2">
      <c r="A529" s="63">
        <v>60470</v>
      </c>
      <c r="B529" s="50" t="s">
        <v>44</v>
      </c>
      <c r="C529" s="50" t="s">
        <v>1624</v>
      </c>
      <c r="D529" s="50" t="s">
        <v>1624</v>
      </c>
      <c r="E529" s="50" t="s">
        <v>2095</v>
      </c>
      <c r="F529" s="50" t="s">
        <v>2095</v>
      </c>
      <c r="G529" s="50" t="s">
        <v>2096</v>
      </c>
      <c r="H529" s="50" t="s">
        <v>2097</v>
      </c>
    </row>
    <row r="530" spans="1:8" hidden="1" x14ac:dyDescent="0.2">
      <c r="A530" s="63">
        <v>60475</v>
      </c>
      <c r="B530" s="50" t="s">
        <v>726</v>
      </c>
      <c r="C530" s="50" t="s">
        <v>1624</v>
      </c>
      <c r="D530" s="50" t="s">
        <v>1624</v>
      </c>
      <c r="E530" s="50" t="s">
        <v>2095</v>
      </c>
      <c r="F530" s="50" t="s">
        <v>2095</v>
      </c>
      <c r="G530" s="50" t="s">
        <v>2096</v>
      </c>
      <c r="H530" s="50" t="s">
        <v>2097</v>
      </c>
    </row>
    <row r="531" spans="1:8" hidden="1" x14ac:dyDescent="0.2">
      <c r="A531" s="63">
        <v>60480</v>
      </c>
      <c r="B531" s="50" t="s">
        <v>45</v>
      </c>
      <c r="C531" s="50" t="s">
        <v>1624</v>
      </c>
      <c r="D531" s="50" t="s">
        <v>1624</v>
      </c>
      <c r="E531" s="50" t="s">
        <v>2095</v>
      </c>
      <c r="F531" s="50" t="s">
        <v>2095</v>
      </c>
      <c r="G531" s="50" t="s">
        <v>2096</v>
      </c>
      <c r="H531" s="50" t="s">
        <v>2097</v>
      </c>
    </row>
    <row r="532" spans="1:8" hidden="1" x14ac:dyDescent="0.2">
      <c r="A532" s="63">
        <v>60485</v>
      </c>
      <c r="B532" s="50" t="s">
        <v>46</v>
      </c>
      <c r="C532" s="50" t="s">
        <v>1624</v>
      </c>
      <c r="D532" s="50" t="s">
        <v>1624</v>
      </c>
      <c r="E532" s="50" t="s">
        <v>2095</v>
      </c>
      <c r="F532" s="50" t="s">
        <v>2095</v>
      </c>
      <c r="G532" s="50" t="s">
        <v>2096</v>
      </c>
      <c r="H532" s="50" t="s">
        <v>2097</v>
      </c>
    </row>
    <row r="533" spans="1:8" hidden="1" x14ac:dyDescent="0.2">
      <c r="A533" s="63">
        <v>60490</v>
      </c>
      <c r="B533" s="50" t="s">
        <v>47</v>
      </c>
      <c r="C533" s="50" t="s">
        <v>1624</v>
      </c>
      <c r="D533" s="50" t="s">
        <v>1624</v>
      </c>
      <c r="E533" s="50" t="s">
        <v>2095</v>
      </c>
      <c r="F533" s="50" t="s">
        <v>2095</v>
      </c>
      <c r="G533" s="50" t="s">
        <v>2096</v>
      </c>
      <c r="H533" s="50" t="s">
        <v>2097</v>
      </c>
    </row>
    <row r="534" spans="1:8" hidden="1" x14ac:dyDescent="0.2">
      <c r="A534" s="63">
        <v>60495</v>
      </c>
      <c r="B534" s="50" t="s">
        <v>731</v>
      </c>
      <c r="C534" s="50" t="s">
        <v>1624</v>
      </c>
      <c r="D534" s="50" t="s">
        <v>1624</v>
      </c>
      <c r="E534" s="50" t="s">
        <v>2095</v>
      </c>
      <c r="F534" s="50" t="s">
        <v>2095</v>
      </c>
      <c r="G534" s="50" t="s">
        <v>2096</v>
      </c>
      <c r="H534" s="50" t="s">
        <v>2097</v>
      </c>
    </row>
    <row r="535" spans="1:8" hidden="1" x14ac:dyDescent="0.2">
      <c r="A535" s="63">
        <v>60500</v>
      </c>
      <c r="B535" s="50" t="s">
        <v>223</v>
      </c>
      <c r="C535" s="50" t="s">
        <v>1624</v>
      </c>
      <c r="D535" s="50" t="s">
        <v>1624</v>
      </c>
      <c r="E535" s="50" t="s">
        <v>2095</v>
      </c>
      <c r="F535" s="50" t="s">
        <v>2095</v>
      </c>
      <c r="G535" s="50" t="s">
        <v>2096</v>
      </c>
      <c r="H535" s="50" t="s">
        <v>2097</v>
      </c>
    </row>
    <row r="536" spans="1:8" hidden="1" x14ac:dyDescent="0.2">
      <c r="A536" s="63">
        <v>60505</v>
      </c>
      <c r="B536" s="50" t="s">
        <v>733</v>
      </c>
      <c r="C536" s="50" t="s">
        <v>1624</v>
      </c>
      <c r="D536" s="50" t="s">
        <v>1624</v>
      </c>
      <c r="E536" s="50" t="s">
        <v>2095</v>
      </c>
      <c r="F536" s="50" t="s">
        <v>2095</v>
      </c>
      <c r="G536" s="50" t="s">
        <v>2096</v>
      </c>
      <c r="H536" s="50" t="s">
        <v>2097</v>
      </c>
    </row>
    <row r="537" spans="1:8" hidden="1" x14ac:dyDescent="0.2">
      <c r="A537" s="63">
        <v>60510</v>
      </c>
      <c r="B537" s="50" t="s">
        <v>735</v>
      </c>
      <c r="C537" s="50" t="s">
        <v>1624</v>
      </c>
      <c r="D537" s="50" t="s">
        <v>1624</v>
      </c>
      <c r="E537" s="50" t="s">
        <v>2095</v>
      </c>
      <c r="F537" s="50" t="s">
        <v>2095</v>
      </c>
      <c r="G537" s="50" t="s">
        <v>2096</v>
      </c>
      <c r="H537" s="50" t="s">
        <v>2097</v>
      </c>
    </row>
    <row r="538" spans="1:8" hidden="1" x14ac:dyDescent="0.2">
      <c r="A538" s="63">
        <v>60515</v>
      </c>
      <c r="B538" s="50" t="s">
        <v>737</v>
      </c>
      <c r="C538" s="50" t="s">
        <v>1624</v>
      </c>
      <c r="D538" s="50" t="s">
        <v>1624</v>
      </c>
      <c r="E538" s="50" t="s">
        <v>2095</v>
      </c>
      <c r="F538" s="50" t="s">
        <v>2095</v>
      </c>
      <c r="G538" s="50" t="s">
        <v>2096</v>
      </c>
      <c r="H538" s="50" t="s">
        <v>2097</v>
      </c>
    </row>
    <row r="539" spans="1:8" hidden="1" x14ac:dyDescent="0.2">
      <c r="A539" s="63">
        <v>60520</v>
      </c>
      <c r="B539" s="50" t="s">
        <v>48</v>
      </c>
      <c r="C539" s="50" t="s">
        <v>1624</v>
      </c>
      <c r="D539" s="50" t="s">
        <v>1624</v>
      </c>
      <c r="E539" s="50" t="s">
        <v>2095</v>
      </c>
      <c r="F539" s="50" t="s">
        <v>2095</v>
      </c>
      <c r="G539" s="50" t="s">
        <v>2096</v>
      </c>
      <c r="H539" s="50" t="s">
        <v>2097</v>
      </c>
    </row>
    <row r="540" spans="1:8" hidden="1" x14ac:dyDescent="0.2">
      <c r="A540" s="63">
        <v>60525</v>
      </c>
      <c r="B540" s="50" t="s">
        <v>2098</v>
      </c>
      <c r="C540" s="50" t="s">
        <v>1624</v>
      </c>
      <c r="D540" s="50" t="s">
        <v>1624</v>
      </c>
      <c r="E540" s="50" t="s">
        <v>2095</v>
      </c>
      <c r="F540" s="50" t="s">
        <v>2095</v>
      </c>
      <c r="G540" s="50" t="s">
        <v>2096</v>
      </c>
      <c r="H540" s="50" t="s">
        <v>2097</v>
      </c>
    </row>
    <row r="541" spans="1:8" hidden="1" x14ac:dyDescent="0.2">
      <c r="A541" s="63">
        <v>60530</v>
      </c>
      <c r="B541" s="50" t="s">
        <v>742</v>
      </c>
      <c r="C541" s="50" t="s">
        <v>1624</v>
      </c>
      <c r="D541" s="50" t="s">
        <v>1624</v>
      </c>
      <c r="E541" s="50" t="s">
        <v>2095</v>
      </c>
      <c r="F541" s="50" t="s">
        <v>2095</v>
      </c>
      <c r="G541" s="50" t="s">
        <v>2096</v>
      </c>
      <c r="H541" s="50" t="s">
        <v>2097</v>
      </c>
    </row>
    <row r="542" spans="1:8" hidden="1" x14ac:dyDescent="0.2">
      <c r="A542" s="63">
        <v>60535</v>
      </c>
      <c r="B542" s="50" t="s">
        <v>49</v>
      </c>
      <c r="C542" s="50" t="s">
        <v>1624</v>
      </c>
      <c r="D542" s="50" t="s">
        <v>1624</v>
      </c>
      <c r="E542" s="50" t="s">
        <v>2095</v>
      </c>
      <c r="F542" s="50" t="s">
        <v>2095</v>
      </c>
      <c r="G542" s="50" t="s">
        <v>2096</v>
      </c>
      <c r="H542" s="50" t="s">
        <v>2097</v>
      </c>
    </row>
    <row r="543" spans="1:8" hidden="1" x14ac:dyDescent="0.2">
      <c r="A543" s="63">
        <v>60540</v>
      </c>
      <c r="B543" s="50" t="s">
        <v>26</v>
      </c>
      <c r="C543" s="50" t="s">
        <v>1624</v>
      </c>
      <c r="D543" s="50" t="s">
        <v>1624</v>
      </c>
      <c r="E543" s="50" t="s">
        <v>2095</v>
      </c>
      <c r="F543" s="50" t="s">
        <v>2095</v>
      </c>
      <c r="G543" s="50" t="s">
        <v>2096</v>
      </c>
      <c r="H543" s="50" t="s">
        <v>2097</v>
      </c>
    </row>
    <row r="544" spans="1:8" hidden="1" x14ac:dyDescent="0.2">
      <c r="A544" s="63">
        <v>60545</v>
      </c>
      <c r="B544" s="50" t="s">
        <v>746</v>
      </c>
      <c r="C544" s="50" t="s">
        <v>1624</v>
      </c>
      <c r="D544" s="50" t="s">
        <v>1624</v>
      </c>
      <c r="E544" s="50" t="s">
        <v>2095</v>
      </c>
      <c r="F544" s="50" t="s">
        <v>2095</v>
      </c>
      <c r="G544" s="50" t="s">
        <v>2096</v>
      </c>
      <c r="H544" s="50" t="s">
        <v>2097</v>
      </c>
    </row>
    <row r="545" spans="1:8" hidden="1" x14ac:dyDescent="0.2">
      <c r="A545" s="63">
        <v>60550</v>
      </c>
      <c r="B545" s="50" t="s">
        <v>748</v>
      </c>
      <c r="C545" s="50" t="s">
        <v>1624</v>
      </c>
      <c r="D545" s="50" t="s">
        <v>1624</v>
      </c>
      <c r="E545" s="50" t="s">
        <v>2095</v>
      </c>
      <c r="F545" s="50" t="s">
        <v>2095</v>
      </c>
      <c r="G545" s="50" t="s">
        <v>2096</v>
      </c>
      <c r="H545" s="50" t="s">
        <v>2097</v>
      </c>
    </row>
    <row r="546" spans="1:8" hidden="1" x14ac:dyDescent="0.2">
      <c r="A546" s="63">
        <v>60555</v>
      </c>
      <c r="B546" s="50" t="s">
        <v>750</v>
      </c>
      <c r="C546" s="50" t="s">
        <v>1624</v>
      </c>
      <c r="D546" s="50" t="s">
        <v>1624</v>
      </c>
      <c r="E546" s="50" t="s">
        <v>2095</v>
      </c>
      <c r="F546" s="50" t="s">
        <v>2095</v>
      </c>
      <c r="G546" s="50" t="s">
        <v>2096</v>
      </c>
      <c r="H546" s="50" t="s">
        <v>2097</v>
      </c>
    </row>
    <row r="547" spans="1:8" hidden="1" x14ac:dyDescent="0.2">
      <c r="A547" s="63">
        <v>60560</v>
      </c>
      <c r="B547" s="50" t="s">
        <v>752</v>
      </c>
      <c r="C547" s="50" t="s">
        <v>1624</v>
      </c>
      <c r="D547" s="50" t="s">
        <v>1624</v>
      </c>
      <c r="E547" s="50" t="s">
        <v>2095</v>
      </c>
      <c r="F547" s="50" t="s">
        <v>2095</v>
      </c>
      <c r="G547" s="50" t="s">
        <v>2096</v>
      </c>
      <c r="H547" s="50" t="s">
        <v>2097</v>
      </c>
    </row>
    <row r="548" spans="1:8" hidden="1" x14ac:dyDescent="0.2">
      <c r="A548" s="63">
        <v>60565</v>
      </c>
      <c r="B548" s="50" t="s">
        <v>50</v>
      </c>
      <c r="C548" s="50" t="s">
        <v>1624</v>
      </c>
      <c r="D548" s="50" t="s">
        <v>1624</v>
      </c>
      <c r="E548" s="50" t="s">
        <v>2095</v>
      </c>
      <c r="F548" s="50" t="s">
        <v>2095</v>
      </c>
      <c r="G548" s="50" t="s">
        <v>2096</v>
      </c>
      <c r="H548" s="50" t="s">
        <v>2097</v>
      </c>
    </row>
    <row r="549" spans="1:8" hidden="1" x14ac:dyDescent="0.2">
      <c r="A549" s="63">
        <v>60570</v>
      </c>
      <c r="B549" s="50" t="s">
        <v>27</v>
      </c>
      <c r="C549" s="50" t="s">
        <v>1624</v>
      </c>
      <c r="D549" s="50" t="s">
        <v>1624</v>
      </c>
      <c r="E549" s="50" t="s">
        <v>2095</v>
      </c>
      <c r="F549" s="50" t="s">
        <v>2095</v>
      </c>
      <c r="G549" s="50" t="s">
        <v>2096</v>
      </c>
      <c r="H549" s="50" t="s">
        <v>2097</v>
      </c>
    </row>
    <row r="550" spans="1:8" hidden="1" x14ac:dyDescent="0.2">
      <c r="A550" s="63">
        <v>60575</v>
      </c>
      <c r="B550" s="50" t="s">
        <v>28</v>
      </c>
      <c r="C550" s="50" t="s">
        <v>1624</v>
      </c>
      <c r="D550" s="50" t="s">
        <v>1624</v>
      </c>
      <c r="E550" s="50" t="s">
        <v>2095</v>
      </c>
      <c r="F550" s="50" t="s">
        <v>2095</v>
      </c>
      <c r="G550" s="50" t="s">
        <v>2096</v>
      </c>
      <c r="H550" s="50" t="s">
        <v>2097</v>
      </c>
    </row>
    <row r="551" spans="1:8" hidden="1" x14ac:dyDescent="0.2">
      <c r="A551" s="63">
        <v>60580</v>
      </c>
      <c r="B551" s="50" t="s">
        <v>51</v>
      </c>
      <c r="C551" s="50" t="s">
        <v>1624</v>
      </c>
      <c r="D551" s="50" t="s">
        <v>1624</v>
      </c>
      <c r="E551" s="50" t="s">
        <v>2095</v>
      </c>
      <c r="F551" s="50" t="s">
        <v>2095</v>
      </c>
      <c r="G551" s="50" t="s">
        <v>2096</v>
      </c>
      <c r="H551" s="50" t="s">
        <v>2097</v>
      </c>
    </row>
    <row r="552" spans="1:8" hidden="1" x14ac:dyDescent="0.2">
      <c r="A552" s="63">
        <v>60585</v>
      </c>
      <c r="B552" s="50" t="s">
        <v>758</v>
      </c>
      <c r="C552" s="50" t="s">
        <v>1624</v>
      </c>
      <c r="D552" s="50" t="s">
        <v>1624</v>
      </c>
      <c r="E552" s="50" t="s">
        <v>2095</v>
      </c>
      <c r="F552" s="50" t="s">
        <v>2095</v>
      </c>
      <c r="G552" s="50" t="s">
        <v>2096</v>
      </c>
      <c r="H552" s="50" t="s">
        <v>2097</v>
      </c>
    </row>
    <row r="553" spans="1:8" hidden="1" x14ac:dyDescent="0.2">
      <c r="A553" s="63">
        <v>60590</v>
      </c>
      <c r="B553" s="50" t="s">
        <v>212</v>
      </c>
      <c r="C553" s="50" t="s">
        <v>1624</v>
      </c>
      <c r="D553" s="50" t="s">
        <v>1624</v>
      </c>
      <c r="E553" s="50" t="s">
        <v>2095</v>
      </c>
      <c r="F553" s="50" t="s">
        <v>2095</v>
      </c>
      <c r="G553" s="50" t="s">
        <v>2096</v>
      </c>
      <c r="H553" s="50" t="s">
        <v>2097</v>
      </c>
    </row>
    <row r="554" spans="1:8" hidden="1" x14ac:dyDescent="0.2">
      <c r="A554" s="63">
        <v>60595</v>
      </c>
      <c r="B554" s="50" t="s">
        <v>761</v>
      </c>
      <c r="C554" s="50" t="s">
        <v>1624</v>
      </c>
      <c r="D554" s="50" t="s">
        <v>1624</v>
      </c>
      <c r="E554" s="50" t="s">
        <v>2095</v>
      </c>
      <c r="F554" s="50" t="s">
        <v>2095</v>
      </c>
      <c r="G554" s="50" t="s">
        <v>2096</v>
      </c>
      <c r="H554" s="50" t="s">
        <v>2097</v>
      </c>
    </row>
    <row r="555" spans="1:8" hidden="1" x14ac:dyDescent="0.2">
      <c r="A555" s="63">
        <v>60600</v>
      </c>
      <c r="B555" s="50" t="s">
        <v>763</v>
      </c>
      <c r="C555" s="50" t="s">
        <v>1624</v>
      </c>
      <c r="D555" s="50" t="s">
        <v>1624</v>
      </c>
      <c r="E555" s="50" t="s">
        <v>2095</v>
      </c>
      <c r="F555" s="50" t="s">
        <v>2095</v>
      </c>
      <c r="G555" s="50" t="s">
        <v>2096</v>
      </c>
      <c r="H555" s="50" t="s">
        <v>2097</v>
      </c>
    </row>
    <row r="556" spans="1:8" hidden="1" x14ac:dyDescent="0.2">
      <c r="A556" s="63">
        <v>60605</v>
      </c>
      <c r="B556" s="50" t="s">
        <v>765</v>
      </c>
      <c r="C556" s="50" t="s">
        <v>1624</v>
      </c>
      <c r="D556" s="50" t="s">
        <v>1624</v>
      </c>
      <c r="E556" s="50" t="s">
        <v>2095</v>
      </c>
      <c r="F556" s="50" t="s">
        <v>2095</v>
      </c>
      <c r="G556" s="50" t="s">
        <v>2096</v>
      </c>
      <c r="H556" s="50" t="s">
        <v>2097</v>
      </c>
    </row>
    <row r="557" spans="1:8" hidden="1" x14ac:dyDescent="0.2">
      <c r="A557" s="63">
        <v>60610</v>
      </c>
      <c r="B557" s="50" t="s">
        <v>1549</v>
      </c>
      <c r="C557" s="50" t="s">
        <v>1624</v>
      </c>
      <c r="D557" s="50" t="s">
        <v>1624</v>
      </c>
      <c r="E557" s="50" t="s">
        <v>2095</v>
      </c>
      <c r="F557" s="50" t="s">
        <v>2095</v>
      </c>
      <c r="G557" s="50" t="s">
        <v>2096</v>
      </c>
      <c r="H557" s="50" t="s">
        <v>2097</v>
      </c>
    </row>
    <row r="558" spans="1:8" hidden="1" x14ac:dyDescent="0.2">
      <c r="A558" s="63">
        <v>60615</v>
      </c>
      <c r="B558" s="50" t="s">
        <v>1550</v>
      </c>
      <c r="C558" s="50" t="s">
        <v>1624</v>
      </c>
      <c r="D558" s="50" t="s">
        <v>1624</v>
      </c>
      <c r="E558" s="50" t="s">
        <v>2095</v>
      </c>
      <c r="F558" s="50" t="s">
        <v>2095</v>
      </c>
      <c r="G558" s="50" t="s">
        <v>2096</v>
      </c>
      <c r="H558" s="50" t="s">
        <v>2097</v>
      </c>
    </row>
    <row r="559" spans="1:8" hidden="1" x14ac:dyDescent="0.2">
      <c r="A559" s="63">
        <v>60620</v>
      </c>
      <c r="B559" s="50" t="s">
        <v>767</v>
      </c>
      <c r="C559" s="50" t="s">
        <v>1624</v>
      </c>
      <c r="D559" s="50" t="s">
        <v>1624</v>
      </c>
      <c r="E559" s="50" t="s">
        <v>2095</v>
      </c>
      <c r="F559" s="50" t="s">
        <v>2095</v>
      </c>
      <c r="G559" s="50" t="s">
        <v>2096</v>
      </c>
      <c r="H559" s="50" t="s">
        <v>2097</v>
      </c>
    </row>
    <row r="560" spans="1:8" hidden="1" x14ac:dyDescent="0.2">
      <c r="A560" s="63">
        <v>60625</v>
      </c>
      <c r="B560" s="50" t="s">
        <v>29</v>
      </c>
      <c r="C560" s="50" t="s">
        <v>1624</v>
      </c>
      <c r="D560" s="50" t="s">
        <v>1624</v>
      </c>
      <c r="E560" s="50" t="s">
        <v>2095</v>
      </c>
      <c r="F560" s="50" t="s">
        <v>2095</v>
      </c>
      <c r="G560" s="50" t="s">
        <v>2096</v>
      </c>
      <c r="H560" s="50" t="s">
        <v>2097</v>
      </c>
    </row>
    <row r="561" spans="1:8" hidden="1" x14ac:dyDescent="0.2">
      <c r="A561" s="63">
        <v>60630</v>
      </c>
      <c r="B561" s="50" t="s">
        <v>160</v>
      </c>
      <c r="C561" s="50" t="s">
        <v>1624</v>
      </c>
      <c r="D561" s="50" t="s">
        <v>1624</v>
      </c>
      <c r="E561" s="50" t="s">
        <v>2095</v>
      </c>
      <c r="F561" s="50" t="s">
        <v>2095</v>
      </c>
      <c r="G561" s="50" t="s">
        <v>2096</v>
      </c>
      <c r="H561" s="50" t="s">
        <v>2097</v>
      </c>
    </row>
    <row r="562" spans="1:8" hidden="1" x14ac:dyDescent="0.2">
      <c r="A562" s="63">
        <v>60635</v>
      </c>
      <c r="B562" s="50" t="s">
        <v>771</v>
      </c>
      <c r="C562" s="50" t="s">
        <v>1624</v>
      </c>
      <c r="D562" s="50" t="s">
        <v>1624</v>
      </c>
      <c r="E562" s="50" t="s">
        <v>2095</v>
      </c>
      <c r="F562" s="50" t="s">
        <v>2095</v>
      </c>
      <c r="G562" s="50" t="s">
        <v>2096</v>
      </c>
      <c r="H562" s="50" t="s">
        <v>2097</v>
      </c>
    </row>
    <row r="563" spans="1:8" hidden="1" x14ac:dyDescent="0.2">
      <c r="A563" s="63">
        <v>60640</v>
      </c>
      <c r="B563" s="50" t="s">
        <v>773</v>
      </c>
      <c r="C563" s="50" t="s">
        <v>1624</v>
      </c>
      <c r="D563" s="50" t="s">
        <v>1624</v>
      </c>
      <c r="E563" s="50" t="s">
        <v>2095</v>
      </c>
      <c r="F563" s="50" t="s">
        <v>2095</v>
      </c>
      <c r="G563" s="50" t="s">
        <v>2096</v>
      </c>
      <c r="H563" s="50" t="s">
        <v>2097</v>
      </c>
    </row>
    <row r="564" spans="1:8" hidden="1" x14ac:dyDescent="0.2">
      <c r="A564" s="63">
        <v>60645</v>
      </c>
      <c r="B564" s="50" t="s">
        <v>52</v>
      </c>
      <c r="C564" s="50" t="s">
        <v>1624</v>
      </c>
      <c r="D564" s="50" t="s">
        <v>1624</v>
      </c>
      <c r="E564" s="50" t="s">
        <v>2095</v>
      </c>
      <c r="F564" s="50" t="s">
        <v>2095</v>
      </c>
      <c r="G564" s="50" t="s">
        <v>2096</v>
      </c>
      <c r="H564" s="50" t="s">
        <v>2097</v>
      </c>
    </row>
    <row r="565" spans="1:8" hidden="1" x14ac:dyDescent="0.2">
      <c r="A565" s="63">
        <v>60650</v>
      </c>
      <c r="B565" s="50" t="s">
        <v>776</v>
      </c>
      <c r="C565" s="50" t="s">
        <v>1624</v>
      </c>
      <c r="D565" s="50" t="s">
        <v>1624</v>
      </c>
      <c r="E565" s="50" t="s">
        <v>2095</v>
      </c>
      <c r="F565" s="50" t="s">
        <v>2095</v>
      </c>
      <c r="G565" s="50" t="s">
        <v>2096</v>
      </c>
      <c r="H565" s="50" t="s">
        <v>2097</v>
      </c>
    </row>
    <row r="566" spans="1:8" hidden="1" x14ac:dyDescent="0.2">
      <c r="A566" s="63">
        <v>60655</v>
      </c>
      <c r="B566" s="50" t="s">
        <v>778</v>
      </c>
      <c r="C566" s="50" t="s">
        <v>1624</v>
      </c>
      <c r="D566" s="50" t="s">
        <v>1624</v>
      </c>
      <c r="E566" s="50" t="s">
        <v>2095</v>
      </c>
      <c r="F566" s="50" t="s">
        <v>2095</v>
      </c>
      <c r="G566" s="50" t="s">
        <v>2096</v>
      </c>
      <c r="H566" s="50" t="s">
        <v>2097</v>
      </c>
    </row>
    <row r="567" spans="1:8" hidden="1" x14ac:dyDescent="0.2">
      <c r="A567" s="63">
        <v>60660</v>
      </c>
      <c r="B567" s="50" t="s">
        <v>1551</v>
      </c>
      <c r="C567" s="50" t="s">
        <v>1624</v>
      </c>
      <c r="D567" s="50" t="s">
        <v>1624</v>
      </c>
      <c r="E567" s="50" t="s">
        <v>2095</v>
      </c>
      <c r="F567" s="50" t="s">
        <v>2095</v>
      </c>
      <c r="G567" s="50" t="s">
        <v>2096</v>
      </c>
      <c r="H567" s="50" t="s">
        <v>2097</v>
      </c>
    </row>
    <row r="568" spans="1:8" hidden="1" x14ac:dyDescent="0.2">
      <c r="A568" s="63">
        <v>60665</v>
      </c>
      <c r="B568" s="50" t="s">
        <v>1552</v>
      </c>
      <c r="C568" s="50" t="s">
        <v>1624</v>
      </c>
      <c r="D568" s="50" t="s">
        <v>1624</v>
      </c>
      <c r="E568" s="50" t="s">
        <v>2095</v>
      </c>
      <c r="F568" s="50" t="s">
        <v>2095</v>
      </c>
      <c r="G568" s="50" t="s">
        <v>2096</v>
      </c>
      <c r="H568" s="50" t="s">
        <v>2097</v>
      </c>
    </row>
    <row r="569" spans="1:8" hidden="1" x14ac:dyDescent="0.2">
      <c r="A569" s="63">
        <v>60670</v>
      </c>
      <c r="B569" s="50" t="s">
        <v>110</v>
      </c>
      <c r="C569" s="50" t="s">
        <v>1624</v>
      </c>
      <c r="D569" s="50" t="s">
        <v>1624</v>
      </c>
      <c r="E569" s="50" t="s">
        <v>2095</v>
      </c>
      <c r="F569" s="50" t="s">
        <v>2095</v>
      </c>
      <c r="G569" s="50" t="s">
        <v>2096</v>
      </c>
      <c r="H569" s="50" t="s">
        <v>2097</v>
      </c>
    </row>
    <row r="570" spans="1:8" hidden="1" x14ac:dyDescent="0.2">
      <c r="A570" s="63">
        <v>60675</v>
      </c>
      <c r="B570" s="50" t="s">
        <v>781</v>
      </c>
      <c r="C570" s="50" t="s">
        <v>1624</v>
      </c>
      <c r="D570" s="50" t="s">
        <v>1624</v>
      </c>
      <c r="E570" s="50" t="s">
        <v>2095</v>
      </c>
      <c r="F570" s="50" t="s">
        <v>2095</v>
      </c>
      <c r="G570" s="50" t="s">
        <v>2096</v>
      </c>
      <c r="H570" s="50" t="s">
        <v>2097</v>
      </c>
    </row>
    <row r="571" spans="1:8" hidden="1" x14ac:dyDescent="0.2">
      <c r="A571" s="63">
        <v>60680</v>
      </c>
      <c r="B571" s="50" t="s">
        <v>1553</v>
      </c>
      <c r="C571" s="50" t="s">
        <v>1624</v>
      </c>
      <c r="D571" s="50" t="s">
        <v>1624</v>
      </c>
      <c r="E571" s="50" t="s">
        <v>2095</v>
      </c>
      <c r="F571" s="50" t="s">
        <v>2095</v>
      </c>
      <c r="G571" s="50" t="s">
        <v>2096</v>
      </c>
      <c r="H571" s="50" t="s">
        <v>2097</v>
      </c>
    </row>
    <row r="572" spans="1:8" hidden="1" x14ac:dyDescent="0.2">
      <c r="A572" s="63">
        <v>60685</v>
      </c>
      <c r="B572" s="50" t="s">
        <v>785</v>
      </c>
      <c r="C572" s="50" t="s">
        <v>1624</v>
      </c>
      <c r="D572" s="50" t="s">
        <v>1624</v>
      </c>
      <c r="E572" s="50" t="s">
        <v>2095</v>
      </c>
      <c r="F572" s="50" t="s">
        <v>2095</v>
      </c>
      <c r="G572" s="50" t="s">
        <v>2096</v>
      </c>
      <c r="H572" s="50" t="s">
        <v>2097</v>
      </c>
    </row>
    <row r="573" spans="1:8" hidden="1" x14ac:dyDescent="0.2">
      <c r="A573" s="63">
        <v>60690</v>
      </c>
      <c r="B573" s="50" t="s">
        <v>787</v>
      </c>
      <c r="C573" s="50" t="s">
        <v>1624</v>
      </c>
      <c r="D573" s="50" t="s">
        <v>1624</v>
      </c>
      <c r="E573" s="50" t="s">
        <v>2095</v>
      </c>
      <c r="F573" s="50" t="s">
        <v>2095</v>
      </c>
      <c r="G573" s="50" t="s">
        <v>2096</v>
      </c>
      <c r="H573" s="50" t="s">
        <v>2097</v>
      </c>
    </row>
    <row r="574" spans="1:8" hidden="1" x14ac:dyDescent="0.2">
      <c r="A574" s="63">
        <v>60695</v>
      </c>
      <c r="B574" s="50" t="s">
        <v>789</v>
      </c>
      <c r="C574" s="50" t="s">
        <v>1624</v>
      </c>
      <c r="D574" s="50" t="s">
        <v>1624</v>
      </c>
      <c r="E574" s="50" t="s">
        <v>2095</v>
      </c>
      <c r="F574" s="50" t="s">
        <v>2095</v>
      </c>
      <c r="G574" s="50" t="s">
        <v>2096</v>
      </c>
      <c r="H574" s="50" t="s">
        <v>2097</v>
      </c>
    </row>
    <row r="575" spans="1:8" hidden="1" x14ac:dyDescent="0.2">
      <c r="A575" s="63">
        <v>60700</v>
      </c>
      <c r="B575" s="50" t="s">
        <v>53</v>
      </c>
      <c r="C575" s="50" t="s">
        <v>1624</v>
      </c>
      <c r="D575" s="50" t="s">
        <v>1624</v>
      </c>
      <c r="E575" s="50" t="s">
        <v>2095</v>
      </c>
      <c r="F575" s="50" t="s">
        <v>2095</v>
      </c>
      <c r="G575" s="50" t="s">
        <v>2096</v>
      </c>
      <c r="H575" s="50" t="s">
        <v>2097</v>
      </c>
    </row>
    <row r="576" spans="1:8" hidden="1" x14ac:dyDescent="0.2">
      <c r="A576" s="63">
        <v>60705</v>
      </c>
      <c r="B576" s="50" t="s">
        <v>1554</v>
      </c>
      <c r="C576" s="50" t="s">
        <v>1624</v>
      </c>
      <c r="D576" s="50" t="s">
        <v>1624</v>
      </c>
      <c r="E576" s="50" t="s">
        <v>2095</v>
      </c>
      <c r="F576" s="50" t="s">
        <v>2095</v>
      </c>
      <c r="G576" s="50" t="s">
        <v>2096</v>
      </c>
      <c r="H576" s="50" t="s">
        <v>2097</v>
      </c>
    </row>
    <row r="577" spans="1:8" hidden="1" x14ac:dyDescent="0.2">
      <c r="A577" s="63">
        <v>60710</v>
      </c>
      <c r="B577" s="50" t="s">
        <v>2099</v>
      </c>
      <c r="C577" s="50" t="s">
        <v>1624</v>
      </c>
      <c r="D577" s="50" t="s">
        <v>1624</v>
      </c>
      <c r="E577" s="50" t="s">
        <v>2095</v>
      </c>
      <c r="F577" s="50" t="s">
        <v>2095</v>
      </c>
      <c r="G577" s="50" t="s">
        <v>2096</v>
      </c>
      <c r="H577" s="50" t="s">
        <v>2097</v>
      </c>
    </row>
    <row r="578" spans="1:8" hidden="1" x14ac:dyDescent="0.2">
      <c r="A578" s="63">
        <v>60715</v>
      </c>
      <c r="B578" s="50" t="s">
        <v>54</v>
      </c>
      <c r="C578" s="50" t="s">
        <v>1624</v>
      </c>
      <c r="D578" s="50" t="s">
        <v>1624</v>
      </c>
      <c r="E578" s="50" t="s">
        <v>2095</v>
      </c>
      <c r="F578" s="50" t="s">
        <v>2095</v>
      </c>
      <c r="G578" s="50" t="s">
        <v>2096</v>
      </c>
      <c r="H578" s="50" t="s">
        <v>2097</v>
      </c>
    </row>
    <row r="579" spans="1:8" hidden="1" x14ac:dyDescent="0.2">
      <c r="A579" s="63">
        <v>60720</v>
      </c>
      <c r="B579" s="50" t="s">
        <v>55</v>
      </c>
      <c r="C579" s="50" t="s">
        <v>1624</v>
      </c>
      <c r="D579" s="50" t="s">
        <v>1624</v>
      </c>
      <c r="E579" s="50" t="s">
        <v>2095</v>
      </c>
      <c r="F579" s="50" t="s">
        <v>2095</v>
      </c>
      <c r="G579" s="50" t="s">
        <v>2096</v>
      </c>
      <c r="H579" s="50" t="s">
        <v>2097</v>
      </c>
    </row>
    <row r="580" spans="1:8" hidden="1" x14ac:dyDescent="0.2">
      <c r="A580" s="63">
        <v>60725</v>
      </c>
      <c r="B580" s="50" t="s">
        <v>2100</v>
      </c>
      <c r="C580" s="50" t="s">
        <v>1624</v>
      </c>
      <c r="D580" s="50" t="s">
        <v>1624</v>
      </c>
      <c r="E580" s="50" t="s">
        <v>2095</v>
      </c>
      <c r="F580" s="50" t="s">
        <v>2095</v>
      </c>
      <c r="G580" s="50" t="s">
        <v>2096</v>
      </c>
      <c r="H580" s="50" t="s">
        <v>2097</v>
      </c>
    </row>
    <row r="581" spans="1:8" hidden="1" x14ac:dyDescent="0.2">
      <c r="A581" s="63">
        <v>60730</v>
      </c>
      <c r="B581" s="50" t="s">
        <v>797</v>
      </c>
      <c r="C581" s="50" t="s">
        <v>1624</v>
      </c>
      <c r="D581" s="50" t="s">
        <v>1624</v>
      </c>
      <c r="E581" s="50" t="s">
        <v>2095</v>
      </c>
      <c r="F581" s="50" t="s">
        <v>2095</v>
      </c>
      <c r="G581" s="50" t="s">
        <v>2096</v>
      </c>
      <c r="H581" s="50" t="s">
        <v>2097</v>
      </c>
    </row>
    <row r="582" spans="1:8" hidden="1" x14ac:dyDescent="0.2">
      <c r="A582" s="63">
        <v>60735</v>
      </c>
      <c r="B582" s="50" t="s">
        <v>2101</v>
      </c>
      <c r="C582" s="50" t="s">
        <v>1624</v>
      </c>
      <c r="D582" s="50" t="s">
        <v>1624</v>
      </c>
      <c r="E582" s="50" t="s">
        <v>2095</v>
      </c>
      <c r="F582" s="50" t="s">
        <v>2095</v>
      </c>
      <c r="G582" s="50" t="s">
        <v>2102</v>
      </c>
      <c r="H582" s="50" t="s">
        <v>2102</v>
      </c>
    </row>
    <row r="583" spans="1:8" hidden="1" x14ac:dyDescent="0.2">
      <c r="A583" s="63">
        <v>70000</v>
      </c>
      <c r="B583" s="50" t="s">
        <v>862</v>
      </c>
      <c r="C583" s="50" t="s">
        <v>1624</v>
      </c>
      <c r="D583" s="50" t="s">
        <v>1624</v>
      </c>
      <c r="E583" s="50" t="s">
        <v>2103</v>
      </c>
      <c r="F583" s="50" t="s">
        <v>2103</v>
      </c>
      <c r="G583" s="50" t="s">
        <v>2104</v>
      </c>
      <c r="H583" s="50" t="s">
        <v>2105</v>
      </c>
    </row>
    <row r="584" spans="1:8" hidden="1" x14ac:dyDescent="0.2">
      <c r="A584" s="63">
        <v>70400</v>
      </c>
      <c r="B584" s="50" t="s">
        <v>250</v>
      </c>
      <c r="C584" s="50" t="s">
        <v>1624</v>
      </c>
      <c r="D584" s="50" t="s">
        <v>1624</v>
      </c>
      <c r="E584" s="50" t="s">
        <v>2103</v>
      </c>
      <c r="F584" s="50" t="s">
        <v>2103</v>
      </c>
      <c r="G584" s="50" t="s">
        <v>2104</v>
      </c>
      <c r="H584" s="50" t="s">
        <v>2105</v>
      </c>
    </row>
    <row r="585" spans="1:8" hidden="1" x14ac:dyDescent="0.2">
      <c r="A585" s="63">
        <v>75000</v>
      </c>
      <c r="B585" s="50" t="s">
        <v>248</v>
      </c>
      <c r="C585" s="50" t="s">
        <v>1624</v>
      </c>
      <c r="D585" s="50" t="s">
        <v>1624</v>
      </c>
      <c r="E585" s="50" t="s">
        <v>2103</v>
      </c>
      <c r="F585" s="50" t="s">
        <v>2103</v>
      </c>
      <c r="G585" s="50" t="s">
        <v>2104</v>
      </c>
      <c r="H585" s="50" t="s">
        <v>2105</v>
      </c>
    </row>
    <row r="586" spans="1:8" hidden="1" x14ac:dyDescent="0.2">
      <c r="A586" s="63">
        <v>75100</v>
      </c>
      <c r="B586" s="50" t="s">
        <v>30</v>
      </c>
      <c r="C586" s="50" t="s">
        <v>1624</v>
      </c>
      <c r="D586" s="50" t="s">
        <v>1624</v>
      </c>
      <c r="E586" s="50" t="s">
        <v>2103</v>
      </c>
      <c r="F586" s="50" t="s">
        <v>2103</v>
      </c>
      <c r="G586" s="50" t="s">
        <v>2104</v>
      </c>
      <c r="H586" s="50" t="s">
        <v>2105</v>
      </c>
    </row>
    <row r="587" spans="1:8" hidden="1" x14ac:dyDescent="0.2">
      <c r="A587" s="63">
        <v>75200</v>
      </c>
      <c r="B587" s="50" t="s">
        <v>249</v>
      </c>
      <c r="C587" s="50" t="s">
        <v>1624</v>
      </c>
      <c r="D587" s="50" t="s">
        <v>1624</v>
      </c>
      <c r="E587" s="50" t="s">
        <v>2103</v>
      </c>
      <c r="F587" s="50" t="s">
        <v>2103</v>
      </c>
      <c r="G587" s="50" t="s">
        <v>2104</v>
      </c>
      <c r="H587" s="50" t="s">
        <v>2105</v>
      </c>
    </row>
    <row r="588" spans="1:8" hidden="1" x14ac:dyDescent="0.2">
      <c r="A588" s="63">
        <v>75400</v>
      </c>
      <c r="B588" s="50" t="s">
        <v>250</v>
      </c>
      <c r="C588" s="50" t="s">
        <v>1624</v>
      </c>
      <c r="D588" s="50" t="s">
        <v>1624</v>
      </c>
      <c r="E588" s="50" t="s">
        <v>2103</v>
      </c>
      <c r="F588" s="50" t="s">
        <v>2103</v>
      </c>
      <c r="G588" s="50" t="s">
        <v>2104</v>
      </c>
      <c r="H588" s="50" t="s">
        <v>2105</v>
      </c>
    </row>
    <row r="589" spans="1:8" hidden="1" x14ac:dyDescent="0.2">
      <c r="A589" s="63">
        <v>80100</v>
      </c>
      <c r="B589" s="50" t="s">
        <v>1064</v>
      </c>
      <c r="C589" s="50" t="s">
        <v>1624</v>
      </c>
      <c r="D589" s="50" t="s">
        <v>1624</v>
      </c>
      <c r="E589" s="50" t="s">
        <v>2106</v>
      </c>
      <c r="F589" s="50" t="s">
        <v>2106</v>
      </c>
      <c r="G589" s="50" t="s">
        <v>2107</v>
      </c>
      <c r="H589" s="50" t="s">
        <v>2007</v>
      </c>
    </row>
    <row r="590" spans="1:8" hidden="1" x14ac:dyDescent="0.2">
      <c r="A590" s="63">
        <v>80200</v>
      </c>
      <c r="B590" s="50" t="s">
        <v>8</v>
      </c>
      <c r="C590" s="50" t="s">
        <v>1624</v>
      </c>
      <c r="D590" s="50" t="s">
        <v>1624</v>
      </c>
      <c r="E590" s="50" t="s">
        <v>2106</v>
      </c>
      <c r="F590" s="50" t="s">
        <v>2106</v>
      </c>
      <c r="G590" s="50" t="s">
        <v>2107</v>
      </c>
      <c r="H590" s="50" t="s">
        <v>2007</v>
      </c>
    </row>
    <row r="591" spans="1:8" hidden="1" x14ac:dyDescent="0.2">
      <c r="A591" s="63">
        <v>80300</v>
      </c>
      <c r="B591" s="50" t="s">
        <v>1074</v>
      </c>
      <c r="C591" s="50" t="s">
        <v>1624</v>
      </c>
      <c r="D591" s="50" t="s">
        <v>1624</v>
      </c>
      <c r="E591" s="50" t="s">
        <v>2106</v>
      </c>
      <c r="F591" s="50" t="s">
        <v>2106</v>
      </c>
      <c r="G591" s="50" t="s">
        <v>2107</v>
      </c>
      <c r="H591" s="50" t="s">
        <v>2007</v>
      </c>
    </row>
    <row r="592" spans="1:8" hidden="1" x14ac:dyDescent="0.2">
      <c r="A592" s="63">
        <v>81100</v>
      </c>
      <c r="B592" s="50" t="s">
        <v>252</v>
      </c>
      <c r="C592" s="50" t="s">
        <v>1624</v>
      </c>
      <c r="D592" s="50" t="s">
        <v>1624</v>
      </c>
      <c r="E592" s="50" t="s">
        <v>2106</v>
      </c>
      <c r="F592" s="50" t="s">
        <v>2106</v>
      </c>
      <c r="G592" s="50" t="s">
        <v>2107</v>
      </c>
      <c r="H592" s="50" t="s">
        <v>2007</v>
      </c>
    </row>
    <row r="593" spans="1:8" hidden="1" x14ac:dyDescent="0.2">
      <c r="A593" s="63">
        <v>81200</v>
      </c>
      <c r="B593" s="50" t="s">
        <v>253</v>
      </c>
      <c r="C593" s="50" t="s">
        <v>1624</v>
      </c>
      <c r="D593" s="50" t="s">
        <v>1624</v>
      </c>
      <c r="E593" s="50" t="s">
        <v>2106</v>
      </c>
      <c r="F593" s="50" t="s">
        <v>2106</v>
      </c>
      <c r="G593" s="50" t="s">
        <v>2107</v>
      </c>
      <c r="H593" s="50" t="s">
        <v>2007</v>
      </c>
    </row>
    <row r="594" spans="1:8" hidden="1" x14ac:dyDescent="0.2">
      <c r="A594" s="63">
        <v>82100</v>
      </c>
      <c r="B594" s="50" t="s">
        <v>818</v>
      </c>
      <c r="C594" s="50" t="s">
        <v>1624</v>
      </c>
      <c r="D594" s="50" t="s">
        <v>1624</v>
      </c>
      <c r="E594" s="50" t="s">
        <v>2106</v>
      </c>
      <c r="F594" s="50" t="s">
        <v>2106</v>
      </c>
      <c r="G594" s="50" t="s">
        <v>2107</v>
      </c>
      <c r="H594" s="50" t="s">
        <v>2007</v>
      </c>
    </row>
    <row r="595" spans="1:8" hidden="1" x14ac:dyDescent="0.2">
      <c r="A595" s="63">
        <v>82200</v>
      </c>
      <c r="B595" s="50" t="s">
        <v>820</v>
      </c>
      <c r="C595" s="50" t="s">
        <v>1624</v>
      </c>
      <c r="D595" s="50" t="s">
        <v>1624</v>
      </c>
      <c r="E595" s="50" t="s">
        <v>2106</v>
      </c>
      <c r="F595" s="50" t="s">
        <v>2106</v>
      </c>
      <c r="G595" s="50" t="s">
        <v>2107</v>
      </c>
      <c r="H595" s="50" t="s">
        <v>2007</v>
      </c>
    </row>
    <row r="596" spans="1:8" hidden="1" x14ac:dyDescent="0.2">
      <c r="A596" s="63">
        <v>82300</v>
      </c>
      <c r="B596" s="50" t="s">
        <v>822</v>
      </c>
      <c r="C596" s="50" t="s">
        <v>1624</v>
      </c>
      <c r="D596" s="50" t="s">
        <v>1624</v>
      </c>
      <c r="E596" s="50" t="s">
        <v>2106</v>
      </c>
      <c r="F596" s="50" t="s">
        <v>2106</v>
      </c>
      <c r="G596" s="50" t="s">
        <v>2107</v>
      </c>
      <c r="H596" s="50" t="s">
        <v>2007</v>
      </c>
    </row>
    <row r="597" spans="1:8" hidden="1" x14ac:dyDescent="0.2">
      <c r="A597" s="63">
        <v>82400</v>
      </c>
      <c r="B597" s="50" t="s">
        <v>256</v>
      </c>
      <c r="C597" s="50" t="s">
        <v>1624</v>
      </c>
      <c r="D597" s="50" t="s">
        <v>1624</v>
      </c>
      <c r="E597" s="50" t="s">
        <v>2106</v>
      </c>
      <c r="F597" s="50" t="s">
        <v>2106</v>
      </c>
      <c r="G597" s="50" t="s">
        <v>2107</v>
      </c>
      <c r="H597" s="50" t="s">
        <v>2007</v>
      </c>
    </row>
    <row r="598" spans="1:8" hidden="1" x14ac:dyDescent="0.2">
      <c r="A598" s="63">
        <v>83100</v>
      </c>
      <c r="B598" s="50" t="s">
        <v>1557</v>
      </c>
      <c r="C598" s="50" t="s">
        <v>1624</v>
      </c>
      <c r="D598" s="50" t="s">
        <v>1624</v>
      </c>
      <c r="E598" s="50" t="s">
        <v>2106</v>
      </c>
      <c r="F598" s="50" t="s">
        <v>2106</v>
      </c>
      <c r="G598" s="50" t="s">
        <v>2107</v>
      </c>
      <c r="H598" s="50" t="s">
        <v>2007</v>
      </c>
    </row>
    <row r="599" spans="1:8" hidden="1" x14ac:dyDescent="0.2">
      <c r="A599" s="63">
        <v>83200</v>
      </c>
      <c r="B599" s="50" t="s">
        <v>1558</v>
      </c>
      <c r="C599" s="50" t="s">
        <v>1624</v>
      </c>
      <c r="D599" s="50" t="s">
        <v>1624</v>
      </c>
      <c r="E599" s="50" t="s">
        <v>2106</v>
      </c>
      <c r="F599" s="50" t="s">
        <v>2106</v>
      </c>
      <c r="G599" s="50" t="s">
        <v>2107</v>
      </c>
      <c r="H599" s="50" t="s">
        <v>2007</v>
      </c>
    </row>
    <row r="600" spans="1:8" hidden="1" x14ac:dyDescent="0.2">
      <c r="A600" s="63">
        <v>83300</v>
      </c>
      <c r="B600" s="50" t="s">
        <v>1559</v>
      </c>
      <c r="C600" s="50" t="s">
        <v>1624</v>
      </c>
      <c r="D600" s="50" t="s">
        <v>1624</v>
      </c>
      <c r="E600" s="50" t="s">
        <v>2106</v>
      </c>
      <c r="F600" s="50" t="s">
        <v>2106</v>
      </c>
      <c r="G600" s="50" t="s">
        <v>2107</v>
      </c>
      <c r="H600" s="50" t="s">
        <v>2007</v>
      </c>
    </row>
    <row r="601" spans="1:8" hidden="1" x14ac:dyDescent="0.2">
      <c r="A601" s="63">
        <v>84100</v>
      </c>
      <c r="B601" s="50" t="s">
        <v>1065</v>
      </c>
      <c r="C601" s="50" t="s">
        <v>1624</v>
      </c>
      <c r="D601" s="50" t="s">
        <v>1624</v>
      </c>
      <c r="E601" s="50" t="s">
        <v>2106</v>
      </c>
      <c r="F601" s="50" t="s">
        <v>2106</v>
      </c>
      <c r="G601" s="50" t="s">
        <v>2107</v>
      </c>
      <c r="H601" s="50" t="s">
        <v>2007</v>
      </c>
    </row>
    <row r="602" spans="1:8" hidden="1" x14ac:dyDescent="0.2">
      <c r="A602" s="63">
        <v>84200</v>
      </c>
      <c r="B602" s="50" t="s">
        <v>825</v>
      </c>
      <c r="C602" s="50" t="s">
        <v>1624</v>
      </c>
      <c r="D602" s="50" t="s">
        <v>1624</v>
      </c>
      <c r="E602" s="50" t="s">
        <v>2106</v>
      </c>
      <c r="F602" s="50" t="s">
        <v>2106</v>
      </c>
      <c r="G602" s="50" t="s">
        <v>2107</v>
      </c>
      <c r="H602" s="50" t="s">
        <v>2007</v>
      </c>
    </row>
    <row r="603" spans="1:8" hidden="1" x14ac:dyDescent="0.2">
      <c r="A603" s="63">
        <v>84300</v>
      </c>
      <c r="B603" s="50" t="s">
        <v>827</v>
      </c>
      <c r="C603" s="50" t="s">
        <v>1624</v>
      </c>
      <c r="D603" s="50" t="s">
        <v>1624</v>
      </c>
      <c r="E603" s="50" t="s">
        <v>2106</v>
      </c>
      <c r="F603" s="50" t="s">
        <v>2106</v>
      </c>
      <c r="G603" s="50" t="s">
        <v>2107</v>
      </c>
      <c r="H603" s="50" t="s">
        <v>2007</v>
      </c>
    </row>
    <row r="604" spans="1:8" hidden="1" x14ac:dyDescent="0.2">
      <c r="A604" s="63">
        <v>84400</v>
      </c>
      <c r="B604" s="50" t="s">
        <v>829</v>
      </c>
      <c r="C604" s="50" t="s">
        <v>1624</v>
      </c>
      <c r="D604" s="50" t="s">
        <v>1624</v>
      </c>
      <c r="E604" s="50" t="s">
        <v>2106</v>
      </c>
      <c r="F604" s="50" t="s">
        <v>2106</v>
      </c>
      <c r="G604" s="50" t="s">
        <v>2107</v>
      </c>
      <c r="H604" s="50" t="s">
        <v>2007</v>
      </c>
    </row>
    <row r="605" spans="1:8" hidden="1" x14ac:dyDescent="0.2">
      <c r="A605" s="63">
        <v>85000</v>
      </c>
      <c r="B605" s="50" t="s">
        <v>281</v>
      </c>
      <c r="C605" s="50" t="s">
        <v>1624</v>
      </c>
      <c r="D605" s="50" t="s">
        <v>1624</v>
      </c>
      <c r="E605" s="50" t="s">
        <v>2106</v>
      </c>
      <c r="F605" s="50" t="s">
        <v>2106</v>
      </c>
      <c r="G605" s="50" t="s">
        <v>2107</v>
      </c>
      <c r="H605" s="50" t="s">
        <v>2007</v>
      </c>
    </row>
    <row r="606" spans="1:8" hidden="1" x14ac:dyDescent="0.2">
      <c r="A606" s="63">
        <v>90000</v>
      </c>
      <c r="B606" s="50" t="s">
        <v>2108</v>
      </c>
      <c r="C606" s="50" t="s">
        <v>1624</v>
      </c>
      <c r="D606" s="50" t="s">
        <v>1624</v>
      </c>
      <c r="E606" s="50" t="s">
        <v>2109</v>
      </c>
      <c r="F606" s="50" t="s">
        <v>2109</v>
      </c>
      <c r="G606" s="50" t="s">
        <v>2110</v>
      </c>
      <c r="H606" s="50" t="s">
        <v>2111</v>
      </c>
    </row>
    <row r="607" spans="1:8" hidden="1" x14ac:dyDescent="0.2">
      <c r="A607" s="63">
        <v>90010</v>
      </c>
      <c r="B607" s="50" t="s">
        <v>204</v>
      </c>
      <c r="C607" s="50" t="s">
        <v>1624</v>
      </c>
      <c r="D607" s="50" t="s">
        <v>1624</v>
      </c>
      <c r="E607" s="50" t="s">
        <v>2109</v>
      </c>
      <c r="F607" s="50" t="s">
        <v>2109</v>
      </c>
      <c r="G607" s="50" t="s">
        <v>2110</v>
      </c>
      <c r="H607" s="50" t="s">
        <v>2111</v>
      </c>
    </row>
    <row r="608" spans="1:8" hidden="1" x14ac:dyDescent="0.2">
      <c r="A608" s="63">
        <v>90020</v>
      </c>
      <c r="B608" s="50" t="s">
        <v>162</v>
      </c>
      <c r="C608" s="50" t="s">
        <v>1624</v>
      </c>
      <c r="D608" s="50" t="s">
        <v>1624</v>
      </c>
      <c r="E608" s="50" t="s">
        <v>2109</v>
      </c>
      <c r="F608" s="50" t="s">
        <v>2109</v>
      </c>
      <c r="G608" s="50" t="s">
        <v>2110</v>
      </c>
      <c r="H608" s="50" t="s">
        <v>2111</v>
      </c>
    </row>
    <row r="609" spans="1:8" hidden="1" x14ac:dyDescent="0.2">
      <c r="A609" s="63">
        <v>90030</v>
      </c>
      <c r="B609" s="50" t="s">
        <v>163</v>
      </c>
      <c r="C609" s="50" t="s">
        <v>1624</v>
      </c>
      <c r="D609" s="50" t="s">
        <v>1624</v>
      </c>
      <c r="E609" s="50" t="s">
        <v>2109</v>
      </c>
      <c r="F609" s="50" t="s">
        <v>2109</v>
      </c>
      <c r="G609" s="50" t="s">
        <v>2110</v>
      </c>
      <c r="H609" s="50" t="s">
        <v>2111</v>
      </c>
    </row>
    <row r="610" spans="1:8" hidden="1" x14ac:dyDescent="0.2">
      <c r="A610" s="63">
        <v>90040</v>
      </c>
      <c r="B610" s="50" t="s">
        <v>207</v>
      </c>
      <c r="C610" s="50" t="s">
        <v>1624</v>
      </c>
      <c r="D610" s="50" t="s">
        <v>1624</v>
      </c>
      <c r="E610" s="50" t="s">
        <v>2109</v>
      </c>
      <c r="F610" s="50" t="s">
        <v>2109</v>
      </c>
      <c r="G610" s="50" t="s">
        <v>2110</v>
      </c>
      <c r="H610" s="50" t="s">
        <v>2111</v>
      </c>
    </row>
    <row r="611" spans="1:8" hidden="1" x14ac:dyDescent="0.2">
      <c r="A611" s="63">
        <v>90050</v>
      </c>
      <c r="B611" s="50" t="s">
        <v>944</v>
      </c>
      <c r="C611" s="50" t="s">
        <v>1624</v>
      </c>
      <c r="D611" s="50" t="s">
        <v>1624</v>
      </c>
      <c r="E611" s="50" t="s">
        <v>2109</v>
      </c>
      <c r="F611" s="50" t="s">
        <v>2109</v>
      </c>
      <c r="G611" s="50" t="s">
        <v>2110</v>
      </c>
      <c r="H611" s="50" t="s">
        <v>2111</v>
      </c>
    </row>
    <row r="612" spans="1:8" hidden="1" x14ac:dyDescent="0.2">
      <c r="A612" s="63">
        <v>90060</v>
      </c>
      <c r="B612" s="50" t="s">
        <v>205</v>
      </c>
      <c r="C612" s="50" t="s">
        <v>1624</v>
      </c>
      <c r="D612" s="50" t="s">
        <v>1624</v>
      </c>
      <c r="E612" s="50" t="s">
        <v>2109</v>
      </c>
      <c r="F612" s="50" t="s">
        <v>2109</v>
      </c>
      <c r="G612" s="50" t="s">
        <v>2110</v>
      </c>
      <c r="H612" s="50" t="s">
        <v>2111</v>
      </c>
    </row>
    <row r="613" spans="1:8" hidden="1" x14ac:dyDescent="0.2">
      <c r="A613" s="63">
        <v>90070</v>
      </c>
      <c r="B613" s="50" t="s">
        <v>203</v>
      </c>
      <c r="C613" s="50" t="s">
        <v>1624</v>
      </c>
      <c r="D613" s="50" t="s">
        <v>1624</v>
      </c>
      <c r="E613" s="50" t="s">
        <v>2109</v>
      </c>
      <c r="F613" s="50" t="s">
        <v>2109</v>
      </c>
      <c r="G613" s="50" t="s">
        <v>2110</v>
      </c>
      <c r="H613" s="50" t="s">
        <v>2111</v>
      </c>
    </row>
    <row r="614" spans="1:8" hidden="1" x14ac:dyDescent="0.2">
      <c r="A614" s="63">
        <v>90080</v>
      </c>
      <c r="B614" s="50" t="s">
        <v>209</v>
      </c>
      <c r="C614" s="50" t="s">
        <v>1624</v>
      </c>
      <c r="D614" s="50" t="s">
        <v>1624</v>
      </c>
      <c r="E614" s="50" t="s">
        <v>2109</v>
      </c>
      <c r="F614" s="50" t="s">
        <v>2109</v>
      </c>
      <c r="G614" s="50" t="s">
        <v>2110</v>
      </c>
      <c r="H614" s="50" t="s">
        <v>2111</v>
      </c>
    </row>
    <row r="615" spans="1:8" hidden="1" x14ac:dyDescent="0.2">
      <c r="A615" s="63">
        <v>90090</v>
      </c>
      <c r="B615" s="50" t="s">
        <v>208</v>
      </c>
      <c r="C615" s="50" t="s">
        <v>1624</v>
      </c>
      <c r="D615" s="50" t="s">
        <v>1624</v>
      </c>
      <c r="E615" s="50" t="s">
        <v>2109</v>
      </c>
      <c r="F615" s="50" t="s">
        <v>2109</v>
      </c>
      <c r="G615" s="50" t="s">
        <v>2110</v>
      </c>
      <c r="H615" s="50" t="s">
        <v>2111</v>
      </c>
    </row>
    <row r="616" spans="1:8" hidden="1" x14ac:dyDescent="0.2">
      <c r="A616" s="63">
        <v>90100</v>
      </c>
      <c r="B616" s="50" t="s">
        <v>206</v>
      </c>
      <c r="C616" s="50" t="s">
        <v>1624</v>
      </c>
      <c r="D616" s="50" t="s">
        <v>1624</v>
      </c>
      <c r="E616" s="50" t="s">
        <v>2109</v>
      </c>
      <c r="F616" s="50" t="s">
        <v>2109</v>
      </c>
      <c r="G616" s="50" t="s">
        <v>2110</v>
      </c>
      <c r="H616" s="50" t="s">
        <v>2111</v>
      </c>
    </row>
    <row r="617" spans="1:8" hidden="1" x14ac:dyDescent="0.2">
      <c r="A617" s="63">
        <v>90110</v>
      </c>
      <c r="B617" s="50" t="s">
        <v>210</v>
      </c>
      <c r="C617" s="50" t="s">
        <v>1624</v>
      </c>
      <c r="D617" s="50" t="s">
        <v>1624</v>
      </c>
      <c r="E617" s="50" t="s">
        <v>2109</v>
      </c>
      <c r="F617" s="50" t="s">
        <v>2109</v>
      </c>
      <c r="G617" s="50" t="s">
        <v>2110</v>
      </c>
      <c r="H617" s="50" t="s">
        <v>2111</v>
      </c>
    </row>
    <row r="618" spans="1:8" hidden="1" x14ac:dyDescent="0.2">
      <c r="A618" s="63">
        <v>91010</v>
      </c>
      <c r="B618" s="50" t="s">
        <v>952</v>
      </c>
      <c r="C618" s="50" t="s">
        <v>1624</v>
      </c>
      <c r="D618" s="50" t="s">
        <v>1624</v>
      </c>
      <c r="E618" s="50" t="s">
        <v>2112</v>
      </c>
      <c r="F618" s="50" t="s">
        <v>2112</v>
      </c>
      <c r="G618" s="50" t="s">
        <v>2113</v>
      </c>
      <c r="H618" s="50" t="s">
        <v>2111</v>
      </c>
    </row>
    <row r="619" spans="1:8" hidden="1" x14ac:dyDescent="0.2">
      <c r="A619" s="63">
        <v>91020</v>
      </c>
      <c r="B619" s="50" t="s">
        <v>161</v>
      </c>
      <c r="C619" s="50" t="s">
        <v>1624</v>
      </c>
      <c r="D619" s="50" t="s">
        <v>1624</v>
      </c>
      <c r="E619" s="50" t="s">
        <v>2112</v>
      </c>
      <c r="F619" s="50" t="s">
        <v>2112</v>
      </c>
      <c r="G619" s="50" t="s">
        <v>2113</v>
      </c>
      <c r="H619" s="50" t="s">
        <v>2111</v>
      </c>
    </row>
    <row r="620" spans="1:8" hidden="1" x14ac:dyDescent="0.2">
      <c r="A620" s="63">
        <v>91030</v>
      </c>
      <c r="B620" s="50" t="s">
        <v>955</v>
      </c>
      <c r="C620" s="50" t="s">
        <v>1624</v>
      </c>
      <c r="D620" s="50" t="s">
        <v>1624</v>
      </c>
      <c r="E620" s="50" t="s">
        <v>2112</v>
      </c>
      <c r="F620" s="50" t="s">
        <v>2112</v>
      </c>
      <c r="G620" s="50" t="s">
        <v>2113</v>
      </c>
      <c r="H620" s="50" t="s">
        <v>2111</v>
      </c>
    </row>
    <row r="621" spans="1:8" hidden="1" x14ac:dyDescent="0.2">
      <c r="A621" s="63">
        <v>91040</v>
      </c>
      <c r="B621" s="50" t="s">
        <v>957</v>
      </c>
      <c r="C621" s="50" t="s">
        <v>1624</v>
      </c>
      <c r="D621" s="50" t="s">
        <v>1624</v>
      </c>
      <c r="E621" s="50" t="s">
        <v>2112</v>
      </c>
      <c r="F621" s="50" t="s">
        <v>2112</v>
      </c>
      <c r="G621" s="50" t="s">
        <v>2113</v>
      </c>
      <c r="H621" s="50" t="s">
        <v>2111</v>
      </c>
    </row>
    <row r="622" spans="1:8" hidden="1" x14ac:dyDescent="0.2">
      <c r="A622" s="63">
        <v>91050</v>
      </c>
      <c r="B622" s="50" t="s">
        <v>959</v>
      </c>
      <c r="C622" s="50" t="s">
        <v>1624</v>
      </c>
      <c r="D622" s="50" t="s">
        <v>1624</v>
      </c>
      <c r="E622" s="50" t="s">
        <v>2112</v>
      </c>
      <c r="F622" s="50" t="s">
        <v>2112</v>
      </c>
      <c r="G622" s="50" t="s">
        <v>2113</v>
      </c>
      <c r="H622" s="50" t="s">
        <v>2111</v>
      </c>
    </row>
    <row r="623" spans="1:8" hidden="1" x14ac:dyDescent="0.2">
      <c r="A623" s="63">
        <v>91060</v>
      </c>
      <c r="B623" s="50" t="s">
        <v>961</v>
      </c>
      <c r="C623" s="50" t="s">
        <v>1624</v>
      </c>
      <c r="D623" s="50" t="s">
        <v>1624</v>
      </c>
      <c r="E623" s="50" t="s">
        <v>2112</v>
      </c>
      <c r="F623" s="50" t="s">
        <v>2112</v>
      </c>
      <c r="G623" s="50" t="s">
        <v>2113</v>
      </c>
      <c r="H623" s="50" t="s">
        <v>2111</v>
      </c>
    </row>
    <row r="624" spans="1:8" hidden="1" x14ac:dyDescent="0.2">
      <c r="A624" s="63">
        <v>91070</v>
      </c>
      <c r="B624" s="50" t="s">
        <v>963</v>
      </c>
      <c r="C624" s="50" t="s">
        <v>1624</v>
      </c>
      <c r="D624" s="50" t="s">
        <v>1624</v>
      </c>
      <c r="E624" s="50" t="s">
        <v>2112</v>
      </c>
      <c r="F624" s="50" t="s">
        <v>2112</v>
      </c>
      <c r="G624" s="50" t="s">
        <v>2113</v>
      </c>
      <c r="H624" s="50" t="s">
        <v>2111</v>
      </c>
    </row>
    <row r="625" spans="1:8" hidden="1" x14ac:dyDescent="0.2">
      <c r="A625" s="63">
        <v>91080</v>
      </c>
      <c r="B625" s="50" t="s">
        <v>965</v>
      </c>
      <c r="C625" s="50" t="s">
        <v>1624</v>
      </c>
      <c r="D625" s="50" t="s">
        <v>1624</v>
      </c>
      <c r="E625" s="50" t="s">
        <v>2112</v>
      </c>
      <c r="F625" s="50" t="s">
        <v>2112</v>
      </c>
      <c r="G625" s="50" t="s">
        <v>2113</v>
      </c>
      <c r="H625" s="50" t="s">
        <v>2111</v>
      </c>
    </row>
    <row r="626" spans="1:8" hidden="1" x14ac:dyDescent="0.2">
      <c r="A626" s="63">
        <v>91090</v>
      </c>
      <c r="B626" s="50" t="s">
        <v>967</v>
      </c>
      <c r="C626" s="50" t="s">
        <v>1624</v>
      </c>
      <c r="D626" s="50" t="s">
        <v>1624</v>
      </c>
      <c r="E626" s="50" t="s">
        <v>2112</v>
      </c>
      <c r="F626" s="50" t="s">
        <v>2112</v>
      </c>
      <c r="G626" s="50" t="s">
        <v>2113</v>
      </c>
      <c r="H626" s="50" t="s">
        <v>2111</v>
      </c>
    </row>
    <row r="627" spans="1:8" hidden="1" x14ac:dyDescent="0.2">
      <c r="A627" s="63">
        <v>91100</v>
      </c>
      <c r="B627" s="50" t="s">
        <v>969</v>
      </c>
      <c r="C627" s="50" t="s">
        <v>1624</v>
      </c>
      <c r="D627" s="50" t="s">
        <v>1624</v>
      </c>
      <c r="E627" s="50" t="s">
        <v>2112</v>
      </c>
      <c r="F627" s="50" t="s">
        <v>2112</v>
      </c>
      <c r="G627" s="50" t="s">
        <v>2113</v>
      </c>
      <c r="H627" s="50" t="s">
        <v>2111</v>
      </c>
    </row>
    <row r="628" spans="1:8" hidden="1" x14ac:dyDescent="0.2">
      <c r="A628" s="63">
        <v>91110</v>
      </c>
      <c r="B628" s="50" t="s">
        <v>971</v>
      </c>
      <c r="C628" s="50" t="s">
        <v>1624</v>
      </c>
      <c r="D628" s="50" t="s">
        <v>1624</v>
      </c>
      <c r="E628" s="50" t="s">
        <v>2112</v>
      </c>
      <c r="F628" s="50" t="s">
        <v>2112</v>
      </c>
      <c r="G628" s="50" t="s">
        <v>2113</v>
      </c>
      <c r="H628" s="50" t="s">
        <v>2111</v>
      </c>
    </row>
    <row r="629" spans="1:8" hidden="1" x14ac:dyDescent="0.2">
      <c r="A629" s="63">
        <v>91120</v>
      </c>
      <c r="B629" s="50" t="s">
        <v>973</v>
      </c>
      <c r="C629" s="50" t="s">
        <v>1624</v>
      </c>
      <c r="D629" s="50" t="s">
        <v>1624</v>
      </c>
      <c r="E629" s="50" t="s">
        <v>2112</v>
      </c>
      <c r="F629" s="50" t="s">
        <v>2112</v>
      </c>
      <c r="G629" s="50" t="s">
        <v>2113</v>
      </c>
      <c r="H629" s="50" t="s">
        <v>2111</v>
      </c>
    </row>
    <row r="630" spans="1:8" hidden="1" x14ac:dyDescent="0.2">
      <c r="A630" s="63">
        <v>91130</v>
      </c>
      <c r="B630" s="50" t="s">
        <v>975</v>
      </c>
      <c r="C630" s="50" t="s">
        <v>1624</v>
      </c>
      <c r="D630" s="50" t="s">
        <v>1624</v>
      </c>
      <c r="E630" s="50" t="s">
        <v>2112</v>
      </c>
      <c r="F630" s="50" t="s">
        <v>2112</v>
      </c>
      <c r="G630" s="50" t="s">
        <v>2113</v>
      </c>
      <c r="H630" s="50" t="s">
        <v>2111</v>
      </c>
    </row>
    <row r="631" spans="1:8" hidden="1" x14ac:dyDescent="0.2">
      <c r="A631" s="63">
        <v>91140</v>
      </c>
      <c r="B631" s="50" t="s">
        <v>181</v>
      </c>
      <c r="C631" s="50" t="s">
        <v>1624</v>
      </c>
      <c r="D631" s="50" t="s">
        <v>1624</v>
      </c>
      <c r="E631" s="50" t="s">
        <v>2112</v>
      </c>
      <c r="F631" s="50" t="s">
        <v>2112</v>
      </c>
      <c r="G631" s="50" t="s">
        <v>2113</v>
      </c>
      <c r="H631" s="50" t="s">
        <v>2111</v>
      </c>
    </row>
    <row r="632" spans="1:8" hidden="1" x14ac:dyDescent="0.2">
      <c r="A632" s="63">
        <v>91150</v>
      </c>
      <c r="B632" s="50" t="s">
        <v>182</v>
      </c>
      <c r="C632" s="50" t="s">
        <v>1624</v>
      </c>
      <c r="D632" s="50" t="s">
        <v>1624</v>
      </c>
      <c r="E632" s="50" t="s">
        <v>2112</v>
      </c>
      <c r="F632" s="50" t="s">
        <v>2112</v>
      </c>
      <c r="G632" s="50" t="s">
        <v>2113</v>
      </c>
      <c r="H632" s="50" t="s">
        <v>2111</v>
      </c>
    </row>
    <row r="633" spans="1:8" hidden="1" x14ac:dyDescent="0.2">
      <c r="A633" s="63">
        <v>91160</v>
      </c>
      <c r="B633" s="50" t="s">
        <v>979</v>
      </c>
      <c r="C633" s="50" t="s">
        <v>1624</v>
      </c>
      <c r="D633" s="50" t="s">
        <v>1624</v>
      </c>
      <c r="E633" s="50" t="s">
        <v>2112</v>
      </c>
      <c r="F633" s="50" t="s">
        <v>2112</v>
      </c>
      <c r="G633" s="50" t="s">
        <v>2113</v>
      </c>
      <c r="H633" s="50" t="s">
        <v>2111</v>
      </c>
    </row>
    <row r="634" spans="1:8" hidden="1" x14ac:dyDescent="0.2">
      <c r="A634" s="63">
        <v>91170</v>
      </c>
      <c r="B634" s="50" t="s">
        <v>981</v>
      </c>
      <c r="C634" s="50" t="s">
        <v>1624</v>
      </c>
      <c r="D634" s="50" t="s">
        <v>1624</v>
      </c>
      <c r="E634" s="50" t="s">
        <v>2112</v>
      </c>
      <c r="F634" s="50" t="s">
        <v>2112</v>
      </c>
      <c r="G634" s="50" t="s">
        <v>2113</v>
      </c>
      <c r="H634" s="50" t="s">
        <v>2111</v>
      </c>
    </row>
    <row r="635" spans="1:8" hidden="1" x14ac:dyDescent="0.2">
      <c r="A635" s="63">
        <v>91180</v>
      </c>
      <c r="B635" s="50" t="s">
        <v>983</v>
      </c>
      <c r="C635" s="50" t="s">
        <v>1624</v>
      </c>
      <c r="D635" s="50" t="s">
        <v>1624</v>
      </c>
      <c r="E635" s="50" t="s">
        <v>2112</v>
      </c>
      <c r="F635" s="50" t="s">
        <v>2112</v>
      </c>
      <c r="G635" s="50" t="s">
        <v>2113</v>
      </c>
      <c r="H635" s="50" t="s">
        <v>2111</v>
      </c>
    </row>
    <row r="636" spans="1:8" hidden="1" x14ac:dyDescent="0.2">
      <c r="A636" s="63">
        <v>91190</v>
      </c>
      <c r="B636" s="50" t="s">
        <v>985</v>
      </c>
      <c r="C636" s="50" t="s">
        <v>1624</v>
      </c>
      <c r="D636" s="50" t="s">
        <v>1624</v>
      </c>
      <c r="E636" s="50" t="s">
        <v>2112</v>
      </c>
      <c r="F636" s="50" t="s">
        <v>2112</v>
      </c>
      <c r="G636" s="50" t="s">
        <v>2113</v>
      </c>
      <c r="H636" s="50" t="s">
        <v>2111</v>
      </c>
    </row>
    <row r="637" spans="1:8" hidden="1" x14ac:dyDescent="0.2">
      <c r="A637" s="63">
        <v>91200</v>
      </c>
      <c r="B637" s="50" t="s">
        <v>987</v>
      </c>
      <c r="C637" s="50" t="s">
        <v>1624</v>
      </c>
      <c r="D637" s="50" t="s">
        <v>1624</v>
      </c>
      <c r="E637" s="50" t="s">
        <v>2112</v>
      </c>
      <c r="F637" s="50" t="s">
        <v>2112</v>
      </c>
      <c r="G637" s="50" t="s">
        <v>2113</v>
      </c>
      <c r="H637" s="50" t="s">
        <v>2111</v>
      </c>
    </row>
    <row r="638" spans="1:8" hidden="1" x14ac:dyDescent="0.2">
      <c r="A638" s="63">
        <v>91210</v>
      </c>
      <c r="B638" s="50" t="s">
        <v>1561</v>
      </c>
      <c r="C638" s="50" t="s">
        <v>1624</v>
      </c>
      <c r="D638" s="50" t="s">
        <v>1624</v>
      </c>
      <c r="E638" s="50" t="s">
        <v>2112</v>
      </c>
      <c r="F638" s="50" t="s">
        <v>2112</v>
      </c>
      <c r="G638" s="50" t="s">
        <v>2113</v>
      </c>
      <c r="H638" s="50" t="s">
        <v>2111</v>
      </c>
    </row>
    <row r="639" spans="1:8" hidden="1" x14ac:dyDescent="0.2">
      <c r="A639" s="63">
        <v>91220</v>
      </c>
      <c r="B639" s="50" t="s">
        <v>111</v>
      </c>
      <c r="C639" s="50" t="s">
        <v>1624</v>
      </c>
      <c r="D639" s="50" t="s">
        <v>1624</v>
      </c>
      <c r="E639" s="50" t="s">
        <v>2112</v>
      </c>
      <c r="F639" s="50" t="s">
        <v>2112</v>
      </c>
      <c r="G639" s="50" t="s">
        <v>2113</v>
      </c>
      <c r="H639" s="50" t="s">
        <v>2111</v>
      </c>
    </row>
    <row r="640" spans="1:8" hidden="1" x14ac:dyDescent="0.2">
      <c r="A640" s="63">
        <v>92010</v>
      </c>
      <c r="B640" s="50" t="s">
        <v>75</v>
      </c>
      <c r="C640" s="50" t="s">
        <v>1624</v>
      </c>
      <c r="D640" s="50" t="s">
        <v>1624</v>
      </c>
      <c r="E640" s="50" t="s">
        <v>2114</v>
      </c>
      <c r="F640" s="50" t="s">
        <v>2114</v>
      </c>
      <c r="G640" s="50" t="s">
        <v>2115</v>
      </c>
      <c r="H640" s="50" t="s">
        <v>2111</v>
      </c>
    </row>
    <row r="641" spans="1:8" hidden="1" x14ac:dyDescent="0.2">
      <c r="A641" s="63">
        <v>92020</v>
      </c>
      <c r="B641" s="50" t="s">
        <v>202</v>
      </c>
      <c r="C641" s="50" t="s">
        <v>1624</v>
      </c>
      <c r="D641" s="50" t="s">
        <v>1624</v>
      </c>
      <c r="E641" s="50" t="s">
        <v>2114</v>
      </c>
      <c r="F641" s="50" t="s">
        <v>2114</v>
      </c>
      <c r="G641" s="50" t="s">
        <v>2115</v>
      </c>
      <c r="H641" s="50" t="s">
        <v>2111</v>
      </c>
    </row>
    <row r="642" spans="1:8" hidden="1" x14ac:dyDescent="0.2">
      <c r="A642" s="63">
        <v>92030</v>
      </c>
      <c r="B642" s="50" t="s">
        <v>199</v>
      </c>
      <c r="C642" s="50" t="s">
        <v>1624</v>
      </c>
      <c r="D642" s="50" t="s">
        <v>1624</v>
      </c>
      <c r="E642" s="50" t="s">
        <v>2114</v>
      </c>
      <c r="F642" s="50" t="s">
        <v>2114</v>
      </c>
      <c r="G642" s="50" t="s">
        <v>2115</v>
      </c>
      <c r="H642" s="50" t="s">
        <v>2111</v>
      </c>
    </row>
    <row r="643" spans="1:8" hidden="1" x14ac:dyDescent="0.2">
      <c r="A643" s="63">
        <v>92040</v>
      </c>
      <c r="B643" s="50" t="s">
        <v>198</v>
      </c>
      <c r="C643" s="50" t="s">
        <v>1624</v>
      </c>
      <c r="D643" s="50" t="s">
        <v>1624</v>
      </c>
      <c r="E643" s="50" t="s">
        <v>2114</v>
      </c>
      <c r="F643" s="50" t="s">
        <v>2114</v>
      </c>
      <c r="G643" s="50" t="s">
        <v>2115</v>
      </c>
      <c r="H643" s="50" t="s">
        <v>2111</v>
      </c>
    </row>
    <row r="644" spans="1:8" hidden="1" x14ac:dyDescent="0.2">
      <c r="A644" s="63">
        <v>92050</v>
      </c>
      <c r="B644" s="50" t="s">
        <v>996</v>
      </c>
      <c r="C644" s="50" t="s">
        <v>1624</v>
      </c>
      <c r="D644" s="50" t="s">
        <v>1624</v>
      </c>
      <c r="E644" s="50" t="s">
        <v>2114</v>
      </c>
      <c r="F644" s="50" t="s">
        <v>2114</v>
      </c>
      <c r="G644" s="50" t="s">
        <v>2115</v>
      </c>
      <c r="H644" s="50" t="s">
        <v>2111</v>
      </c>
    </row>
    <row r="645" spans="1:8" hidden="1" x14ac:dyDescent="0.2">
      <c r="A645" s="63">
        <v>92060</v>
      </c>
      <c r="B645" s="50" t="s">
        <v>998</v>
      </c>
      <c r="C645" s="50" t="s">
        <v>1624</v>
      </c>
      <c r="D645" s="50" t="s">
        <v>1624</v>
      </c>
      <c r="E645" s="50" t="s">
        <v>2114</v>
      </c>
      <c r="F645" s="50" t="s">
        <v>2114</v>
      </c>
      <c r="G645" s="50" t="s">
        <v>2115</v>
      </c>
      <c r="H645" s="50" t="s">
        <v>2111</v>
      </c>
    </row>
    <row r="646" spans="1:8" hidden="1" x14ac:dyDescent="0.2">
      <c r="A646" s="63">
        <v>92070</v>
      </c>
      <c r="B646" s="50" t="s">
        <v>1000</v>
      </c>
      <c r="C646" s="50" t="s">
        <v>1624</v>
      </c>
      <c r="D646" s="50" t="s">
        <v>1624</v>
      </c>
      <c r="E646" s="50" t="s">
        <v>2114</v>
      </c>
      <c r="F646" s="50" t="s">
        <v>2114</v>
      </c>
      <c r="G646" s="50" t="s">
        <v>2115</v>
      </c>
      <c r="H646" s="50" t="s">
        <v>2111</v>
      </c>
    </row>
    <row r="647" spans="1:8" hidden="1" x14ac:dyDescent="0.2">
      <c r="A647" s="63">
        <v>92080</v>
      </c>
      <c r="B647" s="50" t="s">
        <v>1562</v>
      </c>
      <c r="C647" s="50" t="s">
        <v>1624</v>
      </c>
      <c r="D647" s="50" t="s">
        <v>1624</v>
      </c>
      <c r="E647" s="50" t="s">
        <v>2114</v>
      </c>
      <c r="F647" s="50" t="s">
        <v>2114</v>
      </c>
      <c r="G647" s="50" t="s">
        <v>2115</v>
      </c>
      <c r="H647" s="50" t="s">
        <v>2111</v>
      </c>
    </row>
    <row r="648" spans="1:8" hidden="1" x14ac:dyDescent="0.2">
      <c r="A648" s="63">
        <v>92090</v>
      </c>
      <c r="B648" s="50" t="s">
        <v>200</v>
      </c>
      <c r="C648" s="50" t="s">
        <v>1624</v>
      </c>
      <c r="D648" s="50" t="s">
        <v>1624</v>
      </c>
      <c r="E648" s="50" t="s">
        <v>2114</v>
      </c>
      <c r="F648" s="50" t="s">
        <v>2114</v>
      </c>
      <c r="G648" s="50" t="s">
        <v>2115</v>
      </c>
      <c r="H648" s="50" t="s">
        <v>2111</v>
      </c>
    </row>
    <row r="649" spans="1:8" hidden="1" x14ac:dyDescent="0.2">
      <c r="A649" s="63">
        <v>93010</v>
      </c>
      <c r="B649" s="50" t="s">
        <v>112</v>
      </c>
      <c r="C649" s="50" t="s">
        <v>1624</v>
      </c>
      <c r="D649" s="50" t="s">
        <v>1624</v>
      </c>
      <c r="E649" s="50" t="s">
        <v>2116</v>
      </c>
      <c r="F649" s="50" t="s">
        <v>2116</v>
      </c>
      <c r="G649" s="50" t="s">
        <v>2117</v>
      </c>
      <c r="H649" s="50" t="s">
        <v>2111</v>
      </c>
    </row>
    <row r="650" spans="1:8" hidden="1" x14ac:dyDescent="0.2">
      <c r="A650" s="63">
        <v>94010</v>
      </c>
      <c r="B650" s="50" t="s">
        <v>113</v>
      </c>
      <c r="C650" s="50" t="s">
        <v>1624</v>
      </c>
      <c r="D650" s="50" t="s">
        <v>1624</v>
      </c>
      <c r="E650" s="50" t="s">
        <v>2118</v>
      </c>
      <c r="F650" s="50" t="s">
        <v>2118</v>
      </c>
      <c r="G650" s="50" t="s">
        <v>2119</v>
      </c>
      <c r="H650" s="50" t="s">
        <v>2111</v>
      </c>
    </row>
    <row r="651" spans="1:8" hidden="1" x14ac:dyDescent="0.2">
      <c r="A651" s="63">
        <v>95010</v>
      </c>
      <c r="B651" s="50" t="s">
        <v>76</v>
      </c>
      <c r="C651" s="50" t="s">
        <v>1624</v>
      </c>
      <c r="D651" s="50" t="s">
        <v>1624</v>
      </c>
      <c r="E651" s="50" t="s">
        <v>2120</v>
      </c>
      <c r="F651" s="50" t="s">
        <v>2120</v>
      </c>
      <c r="G651" s="50" t="s">
        <v>2121</v>
      </c>
      <c r="H651" s="50" t="s">
        <v>2111</v>
      </c>
    </row>
    <row r="652" spans="1:8" hidden="1" x14ac:dyDescent="0.2">
      <c r="A652" s="63">
        <v>95020</v>
      </c>
      <c r="B652" s="50" t="s">
        <v>77</v>
      </c>
      <c r="C652" s="50" t="s">
        <v>1624</v>
      </c>
      <c r="D652" s="50" t="s">
        <v>1624</v>
      </c>
      <c r="E652" s="50" t="s">
        <v>2120</v>
      </c>
      <c r="F652" s="50" t="s">
        <v>2120</v>
      </c>
      <c r="G652" s="50" t="s">
        <v>2121</v>
      </c>
      <c r="H652" s="50" t="s">
        <v>2111</v>
      </c>
    </row>
    <row r="653" spans="1:8" hidden="1" x14ac:dyDescent="0.2">
      <c r="A653" s="63">
        <v>95030</v>
      </c>
      <c r="B653" s="50" t="s">
        <v>197</v>
      </c>
      <c r="C653" s="50" t="s">
        <v>1624</v>
      </c>
      <c r="D653" s="50" t="s">
        <v>1624</v>
      </c>
      <c r="E653" s="50" t="s">
        <v>2120</v>
      </c>
      <c r="F653" s="50" t="s">
        <v>2120</v>
      </c>
      <c r="G653" s="50" t="s">
        <v>2121</v>
      </c>
      <c r="H653" s="50" t="s">
        <v>2111</v>
      </c>
    </row>
    <row r="654" spans="1:8" hidden="1" x14ac:dyDescent="0.2">
      <c r="A654" s="63">
        <v>95040</v>
      </c>
      <c r="B654" s="50" t="s">
        <v>196</v>
      </c>
      <c r="C654" s="50" t="s">
        <v>1624</v>
      </c>
      <c r="D654" s="50" t="s">
        <v>1624</v>
      </c>
      <c r="E654" s="50" t="s">
        <v>2120</v>
      </c>
      <c r="F654" s="50" t="s">
        <v>2120</v>
      </c>
      <c r="G654" s="50" t="s">
        <v>2121</v>
      </c>
      <c r="H654" s="50" t="s">
        <v>2111</v>
      </c>
    </row>
    <row r="655" spans="1:8" hidden="1" x14ac:dyDescent="0.2">
      <c r="A655" s="63">
        <v>95050</v>
      </c>
      <c r="B655" s="50" t="s">
        <v>195</v>
      </c>
      <c r="C655" s="50" t="s">
        <v>1624</v>
      </c>
      <c r="D655" s="50" t="s">
        <v>1624</v>
      </c>
      <c r="E655" s="50" t="s">
        <v>2120</v>
      </c>
      <c r="F655" s="50" t="s">
        <v>2120</v>
      </c>
      <c r="G655" s="50" t="s">
        <v>2121</v>
      </c>
      <c r="H655" s="50" t="s">
        <v>2111</v>
      </c>
    </row>
    <row r="656" spans="1:8" hidden="1" x14ac:dyDescent="0.2">
      <c r="A656" s="63">
        <v>95060</v>
      </c>
      <c r="B656" s="50" t="s">
        <v>194</v>
      </c>
      <c r="C656" s="50" t="s">
        <v>1624</v>
      </c>
      <c r="D656" s="50" t="s">
        <v>1624</v>
      </c>
      <c r="E656" s="50" t="s">
        <v>2120</v>
      </c>
      <c r="F656" s="50" t="s">
        <v>2120</v>
      </c>
      <c r="G656" s="50" t="s">
        <v>2121</v>
      </c>
      <c r="H656" s="50" t="s">
        <v>2111</v>
      </c>
    </row>
    <row r="657" spans="1:8" hidden="1" x14ac:dyDescent="0.2">
      <c r="A657" s="63">
        <v>95070</v>
      </c>
      <c r="B657" s="50" t="s">
        <v>193</v>
      </c>
      <c r="C657" s="50" t="s">
        <v>1624</v>
      </c>
      <c r="D657" s="50" t="s">
        <v>1624</v>
      </c>
      <c r="E657" s="50" t="s">
        <v>2120</v>
      </c>
      <c r="F657" s="50" t="s">
        <v>2120</v>
      </c>
      <c r="G657" s="50" t="s">
        <v>2121</v>
      </c>
      <c r="H657" s="50" t="s">
        <v>2111</v>
      </c>
    </row>
    <row r="658" spans="1:8" hidden="1" x14ac:dyDescent="0.2">
      <c r="A658" s="63">
        <v>95080</v>
      </c>
      <c r="B658" s="50" t="s">
        <v>192</v>
      </c>
      <c r="C658" s="50" t="s">
        <v>1624</v>
      </c>
      <c r="D658" s="50" t="s">
        <v>1624</v>
      </c>
      <c r="E658" s="50" t="s">
        <v>2120</v>
      </c>
      <c r="F658" s="50" t="s">
        <v>2120</v>
      </c>
      <c r="G658" s="50" t="s">
        <v>2121</v>
      </c>
      <c r="H658" s="50" t="s">
        <v>2111</v>
      </c>
    </row>
    <row r="659" spans="1:8" hidden="1" x14ac:dyDescent="0.2">
      <c r="A659" s="63">
        <v>95090</v>
      </c>
      <c r="B659" s="50" t="s">
        <v>191</v>
      </c>
      <c r="C659" s="50" t="s">
        <v>1624</v>
      </c>
      <c r="D659" s="50" t="s">
        <v>1624</v>
      </c>
      <c r="E659" s="50" t="s">
        <v>2120</v>
      </c>
      <c r="F659" s="50" t="s">
        <v>2120</v>
      </c>
      <c r="G659" s="50" t="s">
        <v>2121</v>
      </c>
      <c r="H659" s="50" t="s">
        <v>2111</v>
      </c>
    </row>
    <row r="660" spans="1:8" hidden="1" x14ac:dyDescent="0.2">
      <c r="A660" s="63">
        <v>95100</v>
      </c>
      <c r="B660" s="50" t="s">
        <v>190</v>
      </c>
      <c r="C660" s="50" t="s">
        <v>1624</v>
      </c>
      <c r="D660" s="50" t="s">
        <v>1624</v>
      </c>
      <c r="E660" s="50" t="s">
        <v>2120</v>
      </c>
      <c r="F660" s="50" t="s">
        <v>2120</v>
      </c>
      <c r="G660" s="50" t="s">
        <v>2121</v>
      </c>
      <c r="H660" s="50" t="s">
        <v>2111</v>
      </c>
    </row>
    <row r="661" spans="1:8" hidden="1" x14ac:dyDescent="0.2">
      <c r="A661" s="63">
        <v>95110</v>
      </c>
      <c r="B661" s="50" t="s">
        <v>189</v>
      </c>
      <c r="C661" s="50" t="s">
        <v>1624</v>
      </c>
      <c r="D661" s="50" t="s">
        <v>1624</v>
      </c>
      <c r="E661" s="50" t="s">
        <v>2120</v>
      </c>
      <c r="F661" s="50" t="s">
        <v>2120</v>
      </c>
      <c r="G661" s="50" t="s">
        <v>2121</v>
      </c>
      <c r="H661" s="50" t="s">
        <v>2111</v>
      </c>
    </row>
    <row r="662" spans="1:8" hidden="1" x14ac:dyDescent="0.2">
      <c r="A662" s="63">
        <v>95120</v>
      </c>
      <c r="B662" s="50" t="s">
        <v>188</v>
      </c>
      <c r="C662" s="50" t="s">
        <v>1624</v>
      </c>
      <c r="D662" s="50" t="s">
        <v>1624</v>
      </c>
      <c r="E662" s="50" t="s">
        <v>2120</v>
      </c>
      <c r="F662" s="50" t="s">
        <v>2120</v>
      </c>
      <c r="G662" s="50" t="s">
        <v>2121</v>
      </c>
      <c r="H662" s="50" t="s">
        <v>2111</v>
      </c>
    </row>
    <row r="663" spans="1:8" hidden="1" x14ac:dyDescent="0.2">
      <c r="A663" s="63">
        <v>95130</v>
      </c>
      <c r="B663" s="50" t="s">
        <v>187</v>
      </c>
      <c r="C663" s="50" t="s">
        <v>1624</v>
      </c>
      <c r="D663" s="50" t="s">
        <v>1624</v>
      </c>
      <c r="E663" s="50" t="s">
        <v>2120</v>
      </c>
      <c r="F663" s="50" t="s">
        <v>2120</v>
      </c>
      <c r="G663" s="50" t="s">
        <v>2121</v>
      </c>
      <c r="H663" s="50" t="s">
        <v>2111</v>
      </c>
    </row>
    <row r="664" spans="1:8" hidden="1" x14ac:dyDescent="0.2">
      <c r="A664" s="63">
        <v>95140</v>
      </c>
      <c r="B664" s="50" t="s">
        <v>186</v>
      </c>
      <c r="C664" s="50" t="s">
        <v>1624</v>
      </c>
      <c r="D664" s="50" t="s">
        <v>1624</v>
      </c>
      <c r="E664" s="50" t="s">
        <v>2120</v>
      </c>
      <c r="F664" s="50" t="s">
        <v>2120</v>
      </c>
      <c r="G664" s="50" t="s">
        <v>2121</v>
      </c>
      <c r="H664" s="50" t="s">
        <v>2111</v>
      </c>
    </row>
    <row r="665" spans="1:8" hidden="1" x14ac:dyDescent="0.2">
      <c r="A665" s="63">
        <v>95150</v>
      </c>
      <c r="B665" s="50" t="s">
        <v>180</v>
      </c>
      <c r="C665" s="50" t="s">
        <v>1624</v>
      </c>
      <c r="D665" s="50" t="s">
        <v>1624</v>
      </c>
      <c r="E665" s="50" t="s">
        <v>2120</v>
      </c>
      <c r="F665" s="50" t="s">
        <v>2120</v>
      </c>
      <c r="G665" s="50" t="s">
        <v>2121</v>
      </c>
      <c r="H665" s="50" t="s">
        <v>2111</v>
      </c>
    </row>
    <row r="666" spans="1:8" hidden="1" x14ac:dyDescent="0.2">
      <c r="A666" s="63">
        <v>95160</v>
      </c>
      <c r="B666" s="50" t="s">
        <v>179</v>
      </c>
      <c r="C666" s="50" t="s">
        <v>1624</v>
      </c>
      <c r="D666" s="50" t="s">
        <v>1624</v>
      </c>
      <c r="E666" s="50" t="s">
        <v>2120</v>
      </c>
      <c r="F666" s="50" t="s">
        <v>2120</v>
      </c>
      <c r="G666" s="50" t="s">
        <v>2121</v>
      </c>
      <c r="H666" s="50" t="s">
        <v>2111</v>
      </c>
    </row>
    <row r="667" spans="1:8" hidden="1" x14ac:dyDescent="0.2">
      <c r="A667" s="63">
        <v>95170</v>
      </c>
      <c r="B667" s="50" t="s">
        <v>178</v>
      </c>
      <c r="C667" s="50" t="s">
        <v>1624</v>
      </c>
      <c r="D667" s="50" t="s">
        <v>1624</v>
      </c>
      <c r="E667" s="50" t="s">
        <v>2120</v>
      </c>
      <c r="F667" s="50" t="s">
        <v>2120</v>
      </c>
      <c r="G667" s="50" t="s">
        <v>2121</v>
      </c>
      <c r="H667" s="50" t="s">
        <v>2111</v>
      </c>
    </row>
    <row r="668" spans="1:8" hidden="1" x14ac:dyDescent="0.2">
      <c r="A668" s="63">
        <v>95180</v>
      </c>
      <c r="B668" s="50" t="s">
        <v>177</v>
      </c>
      <c r="C668" s="50" t="s">
        <v>1624</v>
      </c>
      <c r="D668" s="50" t="s">
        <v>1624</v>
      </c>
      <c r="E668" s="50" t="s">
        <v>2120</v>
      </c>
      <c r="F668" s="50" t="s">
        <v>2120</v>
      </c>
      <c r="G668" s="50" t="s">
        <v>2121</v>
      </c>
      <c r="H668" s="50" t="s">
        <v>2111</v>
      </c>
    </row>
    <row r="669" spans="1:8" hidden="1" x14ac:dyDescent="0.2">
      <c r="A669" s="63">
        <v>95190</v>
      </c>
      <c r="B669" s="50" t="s">
        <v>176</v>
      </c>
      <c r="C669" s="50" t="s">
        <v>1624</v>
      </c>
      <c r="D669" s="50" t="s">
        <v>1624</v>
      </c>
      <c r="E669" s="50" t="s">
        <v>2120</v>
      </c>
      <c r="F669" s="50" t="s">
        <v>2120</v>
      </c>
      <c r="G669" s="50" t="s">
        <v>2121</v>
      </c>
      <c r="H669" s="50" t="s">
        <v>2111</v>
      </c>
    </row>
    <row r="670" spans="1:8" hidden="1" x14ac:dyDescent="0.2">
      <c r="A670" s="63">
        <v>95200</v>
      </c>
      <c r="B670" s="50" t="s">
        <v>175</v>
      </c>
      <c r="C670" s="50" t="s">
        <v>1624</v>
      </c>
      <c r="D670" s="50" t="s">
        <v>1624</v>
      </c>
      <c r="E670" s="50" t="s">
        <v>2120</v>
      </c>
      <c r="F670" s="50" t="s">
        <v>2120</v>
      </c>
      <c r="G670" s="50" t="s">
        <v>2121</v>
      </c>
      <c r="H670" s="50" t="s">
        <v>2111</v>
      </c>
    </row>
    <row r="671" spans="1:8" hidden="1" x14ac:dyDescent="0.2">
      <c r="A671" s="63">
        <v>95210</v>
      </c>
      <c r="B671" s="50" t="s">
        <v>174</v>
      </c>
      <c r="C671" s="50" t="s">
        <v>1624</v>
      </c>
      <c r="D671" s="50" t="s">
        <v>1624</v>
      </c>
      <c r="E671" s="50" t="s">
        <v>2120</v>
      </c>
      <c r="F671" s="50" t="s">
        <v>2120</v>
      </c>
      <c r="G671" s="50" t="s">
        <v>2121</v>
      </c>
      <c r="H671" s="50" t="s">
        <v>2111</v>
      </c>
    </row>
    <row r="672" spans="1:8" hidden="1" x14ac:dyDescent="0.2">
      <c r="A672" s="63">
        <v>95220</v>
      </c>
      <c r="B672" s="50" t="s">
        <v>173</v>
      </c>
      <c r="C672" s="50" t="s">
        <v>1624</v>
      </c>
      <c r="D672" s="50" t="s">
        <v>1624</v>
      </c>
      <c r="E672" s="50" t="s">
        <v>2120</v>
      </c>
      <c r="F672" s="50" t="s">
        <v>2120</v>
      </c>
      <c r="G672" s="50" t="s">
        <v>2121</v>
      </c>
      <c r="H672" s="50" t="s">
        <v>2111</v>
      </c>
    </row>
    <row r="673" spans="1:8" hidden="1" x14ac:dyDescent="0.2">
      <c r="A673" s="63">
        <v>96010</v>
      </c>
      <c r="B673" s="50" t="s">
        <v>1028</v>
      </c>
      <c r="C673" s="50" t="s">
        <v>1624</v>
      </c>
      <c r="D673" s="50" t="s">
        <v>1624</v>
      </c>
      <c r="E673" s="50" t="s">
        <v>2120</v>
      </c>
      <c r="F673" s="50" t="s">
        <v>2120</v>
      </c>
      <c r="G673" s="50" t="s">
        <v>2121</v>
      </c>
      <c r="H673" s="50" t="s">
        <v>2111</v>
      </c>
    </row>
    <row r="674" spans="1:8" hidden="1" x14ac:dyDescent="0.2">
      <c r="A674" s="63">
        <v>96020</v>
      </c>
      <c r="B674" s="50" t="s">
        <v>1030</v>
      </c>
      <c r="C674" s="50" t="s">
        <v>1624</v>
      </c>
      <c r="D674" s="50" t="s">
        <v>1624</v>
      </c>
      <c r="E674" s="50" t="s">
        <v>2122</v>
      </c>
      <c r="F674" s="50" t="s">
        <v>2122</v>
      </c>
      <c r="G674" s="50" t="s">
        <v>2123</v>
      </c>
      <c r="H674" s="50" t="s">
        <v>2111</v>
      </c>
    </row>
    <row r="675" spans="1:8" hidden="1" x14ac:dyDescent="0.2">
      <c r="A675" s="63">
        <v>96030</v>
      </c>
      <c r="B675" s="50" t="s">
        <v>1032</v>
      </c>
      <c r="C675" s="50" t="s">
        <v>1624</v>
      </c>
      <c r="D675" s="50" t="s">
        <v>1624</v>
      </c>
      <c r="E675" s="50" t="s">
        <v>2122</v>
      </c>
      <c r="F675" s="50" t="s">
        <v>2122</v>
      </c>
      <c r="G675" s="50" t="s">
        <v>2123</v>
      </c>
      <c r="H675" s="50" t="s">
        <v>2111</v>
      </c>
    </row>
    <row r="676" spans="1:8" hidden="1" x14ac:dyDescent="0.2">
      <c r="A676" s="63">
        <v>96040</v>
      </c>
      <c r="B676" s="50" t="s">
        <v>1034</v>
      </c>
      <c r="C676" s="50" t="s">
        <v>1624</v>
      </c>
      <c r="D676" s="50" t="s">
        <v>1624</v>
      </c>
      <c r="E676" s="50" t="s">
        <v>2122</v>
      </c>
      <c r="F676" s="50" t="s">
        <v>2122</v>
      </c>
      <c r="G676" s="50" t="s">
        <v>2123</v>
      </c>
      <c r="H676" s="50" t="s">
        <v>2111</v>
      </c>
    </row>
    <row r="677" spans="1:8" hidden="1" x14ac:dyDescent="0.2">
      <c r="A677" s="63">
        <v>96050</v>
      </c>
      <c r="B677" s="50" t="s">
        <v>1036</v>
      </c>
      <c r="C677" s="50" t="s">
        <v>1624</v>
      </c>
      <c r="D677" s="50" t="s">
        <v>1624</v>
      </c>
      <c r="E677" s="50" t="s">
        <v>2122</v>
      </c>
      <c r="F677" s="50" t="s">
        <v>2122</v>
      </c>
      <c r="G677" s="50" t="s">
        <v>2123</v>
      </c>
      <c r="H677" s="50" t="s">
        <v>2111</v>
      </c>
    </row>
    <row r="678" spans="1:8" hidden="1" x14ac:dyDescent="0.2">
      <c r="A678" s="63">
        <v>96060</v>
      </c>
      <c r="B678" s="50" t="s">
        <v>1038</v>
      </c>
      <c r="C678" s="50" t="s">
        <v>1624</v>
      </c>
      <c r="D678" s="50" t="s">
        <v>1624</v>
      </c>
      <c r="E678" s="50" t="s">
        <v>2122</v>
      </c>
      <c r="F678" s="50" t="s">
        <v>2122</v>
      </c>
      <c r="G678" s="50" t="s">
        <v>2123</v>
      </c>
      <c r="H678" s="50" t="s">
        <v>2111</v>
      </c>
    </row>
    <row r="679" spans="1:8" hidden="1" x14ac:dyDescent="0.2">
      <c r="A679" s="63">
        <v>96070</v>
      </c>
      <c r="B679" s="50" t="s">
        <v>1040</v>
      </c>
      <c r="C679" s="50" t="s">
        <v>1624</v>
      </c>
      <c r="D679" s="50" t="s">
        <v>1624</v>
      </c>
      <c r="E679" s="50" t="s">
        <v>2122</v>
      </c>
      <c r="F679" s="50" t="s">
        <v>2122</v>
      </c>
      <c r="G679" s="50" t="s">
        <v>2123</v>
      </c>
      <c r="H679" s="50" t="s">
        <v>2111</v>
      </c>
    </row>
    <row r="680" spans="1:8" hidden="1" x14ac:dyDescent="0.2">
      <c r="A680" s="63">
        <v>96080</v>
      </c>
      <c r="B680" s="50" t="s">
        <v>1042</v>
      </c>
      <c r="C680" s="50" t="s">
        <v>1624</v>
      </c>
      <c r="D680" s="50" t="s">
        <v>1624</v>
      </c>
      <c r="E680" s="50" t="s">
        <v>2122</v>
      </c>
      <c r="F680" s="50" t="s">
        <v>2122</v>
      </c>
      <c r="G680" s="50" t="s">
        <v>2123</v>
      </c>
      <c r="H680" s="50" t="s">
        <v>2111</v>
      </c>
    </row>
    <row r="681" spans="1:8" hidden="1" x14ac:dyDescent="0.2">
      <c r="A681" s="63">
        <v>96090</v>
      </c>
      <c r="B681" s="50" t="s">
        <v>2124</v>
      </c>
      <c r="C681" s="50" t="s">
        <v>1624</v>
      </c>
      <c r="D681" s="50" t="s">
        <v>1624</v>
      </c>
      <c r="E681" s="50" t="s">
        <v>2122</v>
      </c>
      <c r="F681" s="50" t="s">
        <v>2122</v>
      </c>
      <c r="G681" s="50" t="s">
        <v>2123</v>
      </c>
      <c r="H681" s="50" t="s">
        <v>2111</v>
      </c>
    </row>
    <row r="682" spans="1:8" hidden="1" x14ac:dyDescent="0.2">
      <c r="A682" s="63">
        <v>96100</v>
      </c>
      <c r="B682" s="50" t="s">
        <v>2125</v>
      </c>
      <c r="C682" s="50" t="s">
        <v>1624</v>
      </c>
      <c r="D682" s="50" t="s">
        <v>1624</v>
      </c>
      <c r="E682" s="50" t="s">
        <v>2122</v>
      </c>
      <c r="F682" s="50" t="s">
        <v>2122</v>
      </c>
      <c r="G682" s="50" t="s">
        <v>2123</v>
      </c>
      <c r="H682" s="50" t="s">
        <v>2111</v>
      </c>
    </row>
    <row r="683" spans="1:8" hidden="1" x14ac:dyDescent="0.2">
      <c r="A683" s="63">
        <v>96110</v>
      </c>
      <c r="B683" s="50" t="s">
        <v>185</v>
      </c>
      <c r="C683" s="50" t="s">
        <v>1624</v>
      </c>
      <c r="D683" s="50" t="s">
        <v>1624</v>
      </c>
      <c r="E683" s="50" t="s">
        <v>2122</v>
      </c>
      <c r="F683" s="50" t="s">
        <v>2122</v>
      </c>
      <c r="G683" s="50" t="s">
        <v>2123</v>
      </c>
      <c r="H683" s="50" t="s">
        <v>2111</v>
      </c>
    </row>
    <row r="684" spans="1:8" hidden="1" x14ac:dyDescent="0.2">
      <c r="A684" s="63">
        <v>96120</v>
      </c>
      <c r="B684" s="50" t="s">
        <v>184</v>
      </c>
      <c r="C684" s="50" t="s">
        <v>1624</v>
      </c>
      <c r="D684" s="50" t="s">
        <v>1624</v>
      </c>
      <c r="E684" s="50" t="s">
        <v>2122</v>
      </c>
      <c r="F684" s="50" t="s">
        <v>2122</v>
      </c>
      <c r="G684" s="50" t="s">
        <v>2123</v>
      </c>
      <c r="H684" s="50" t="s">
        <v>2111</v>
      </c>
    </row>
    <row r="685" spans="1:8" hidden="1" x14ac:dyDescent="0.2">
      <c r="A685" s="63">
        <v>96130</v>
      </c>
      <c r="B685" s="50" t="s">
        <v>183</v>
      </c>
      <c r="C685" s="50" t="s">
        <v>1624</v>
      </c>
      <c r="D685" s="50" t="s">
        <v>1624</v>
      </c>
      <c r="E685" s="50" t="s">
        <v>2122</v>
      </c>
      <c r="F685" s="50" t="s">
        <v>2122</v>
      </c>
      <c r="G685" s="50" t="s">
        <v>2123</v>
      </c>
      <c r="H685" s="50" t="s">
        <v>2111</v>
      </c>
    </row>
    <row r="686" spans="1:8" hidden="1" x14ac:dyDescent="0.2">
      <c r="A686" s="63">
        <v>97010</v>
      </c>
      <c r="B686" s="50" t="s">
        <v>238</v>
      </c>
      <c r="C686" s="50" t="s">
        <v>1624</v>
      </c>
      <c r="D686" s="50" t="s">
        <v>1624</v>
      </c>
      <c r="E686" s="50" t="s">
        <v>2126</v>
      </c>
      <c r="F686" s="50" t="s">
        <v>2126</v>
      </c>
      <c r="G686" s="50" t="s">
        <v>2127</v>
      </c>
      <c r="H686" s="50" t="s">
        <v>2111</v>
      </c>
    </row>
    <row r="687" spans="1:8" hidden="1" x14ac:dyDescent="0.2">
      <c r="A687" s="63">
        <v>97020</v>
      </c>
      <c r="B687" s="50" t="s">
        <v>239</v>
      </c>
      <c r="C687" s="50" t="s">
        <v>1624</v>
      </c>
      <c r="D687" s="50" t="s">
        <v>1624</v>
      </c>
      <c r="E687" s="50" t="s">
        <v>2126</v>
      </c>
      <c r="F687" s="50" t="s">
        <v>2126</v>
      </c>
      <c r="G687" s="50" t="s">
        <v>2127</v>
      </c>
      <c r="H687" s="50" t="s">
        <v>2111</v>
      </c>
    </row>
    <row r="688" spans="1:8" hidden="1" x14ac:dyDescent="0.2">
      <c r="A688" s="63">
        <v>97030</v>
      </c>
      <c r="B688" s="50" t="s">
        <v>240</v>
      </c>
      <c r="C688" s="50" t="s">
        <v>1624</v>
      </c>
      <c r="D688" s="50" t="s">
        <v>1624</v>
      </c>
      <c r="E688" s="50" t="s">
        <v>2126</v>
      </c>
      <c r="F688" s="50" t="s">
        <v>2126</v>
      </c>
      <c r="G688" s="50" t="s">
        <v>2127</v>
      </c>
      <c r="H688" s="50" t="s">
        <v>2111</v>
      </c>
    </row>
    <row r="689" spans="1:8" hidden="1" x14ac:dyDescent="0.2">
      <c r="A689" s="63">
        <v>97040</v>
      </c>
      <c r="B689" s="50" t="s">
        <v>241</v>
      </c>
      <c r="C689" s="50" t="s">
        <v>1624</v>
      </c>
      <c r="D689" s="50" t="s">
        <v>1624</v>
      </c>
      <c r="E689" s="50" t="s">
        <v>2126</v>
      </c>
      <c r="F689" s="50" t="s">
        <v>2126</v>
      </c>
      <c r="G689" s="50" t="s">
        <v>2127</v>
      </c>
      <c r="H689" s="50" t="s">
        <v>2111</v>
      </c>
    </row>
    <row r="690" spans="1:8" hidden="1" x14ac:dyDescent="0.2">
      <c r="A690" s="63">
        <v>98000</v>
      </c>
      <c r="B690" s="50" t="s">
        <v>172</v>
      </c>
      <c r="C690" s="50" t="s">
        <v>1624</v>
      </c>
      <c r="D690" s="50" t="s">
        <v>1624</v>
      </c>
      <c r="E690" s="50" t="s">
        <v>2128</v>
      </c>
      <c r="F690" s="50" t="s">
        <v>2128</v>
      </c>
      <c r="G690" s="50" t="s">
        <v>2129</v>
      </c>
      <c r="H690" s="50" t="s">
        <v>2111</v>
      </c>
    </row>
    <row r="691" spans="1:8" hidden="1" x14ac:dyDescent="0.2">
      <c r="A691" s="63">
        <v>99000</v>
      </c>
      <c r="B691" s="50" t="s">
        <v>171</v>
      </c>
      <c r="C691" s="50" t="s">
        <v>1624</v>
      </c>
      <c r="D691" s="50" t="s">
        <v>1624</v>
      </c>
      <c r="E691" s="50" t="s">
        <v>2130</v>
      </c>
      <c r="F691" s="50" t="s">
        <v>2130</v>
      </c>
      <c r="G691" s="50" t="s">
        <v>2131</v>
      </c>
      <c r="H691" s="50" t="s">
        <v>2111</v>
      </c>
    </row>
    <row r="692" spans="1:8" hidden="1" x14ac:dyDescent="0.2">
      <c r="A692" s="63">
        <v>99999</v>
      </c>
      <c r="B692" s="50" t="s">
        <v>2132</v>
      </c>
      <c r="C692" s="50" t="s">
        <v>1812</v>
      </c>
      <c r="D692" s="50" t="s">
        <v>1624</v>
      </c>
      <c r="E692" s="50" t="s">
        <v>2102</v>
      </c>
      <c r="F692" s="50" t="s">
        <v>2102</v>
      </c>
      <c r="G692" s="50" t="s">
        <v>2102</v>
      </c>
      <c r="H692" s="50" t="s">
        <v>2102</v>
      </c>
    </row>
    <row r="693" spans="1:8" hidden="1" x14ac:dyDescent="0.2">
      <c r="A693" s="64" t="s">
        <v>1622</v>
      </c>
      <c r="B693" s="50" t="s">
        <v>1623</v>
      </c>
      <c r="C693" s="50" t="s">
        <v>1624</v>
      </c>
      <c r="D693" s="50" t="s">
        <v>1624</v>
      </c>
      <c r="E693" s="50" t="s">
        <v>1625</v>
      </c>
      <c r="F693" s="50" t="s">
        <v>1626</v>
      </c>
      <c r="G693" s="50" t="s">
        <v>1627</v>
      </c>
      <c r="H693" s="50" t="s">
        <v>1628</v>
      </c>
    </row>
    <row r="694" spans="1:8" hidden="1" x14ac:dyDescent="0.2">
      <c r="A694" s="64" t="s">
        <v>1629</v>
      </c>
      <c r="B694" s="50" t="s">
        <v>1630</v>
      </c>
      <c r="C694" s="50" t="s">
        <v>1624</v>
      </c>
      <c r="D694" s="50" t="s">
        <v>1624</v>
      </c>
      <c r="E694" s="50" t="s">
        <v>1625</v>
      </c>
      <c r="F694" s="50" t="s">
        <v>1626</v>
      </c>
      <c r="G694" s="50" t="s">
        <v>1627</v>
      </c>
      <c r="H694" s="50" t="s">
        <v>1628</v>
      </c>
    </row>
    <row r="695" spans="1:8" hidden="1" x14ac:dyDescent="0.2">
      <c r="A695" s="64" t="s">
        <v>1631</v>
      </c>
      <c r="B695" s="50" t="s">
        <v>1632</v>
      </c>
      <c r="C695" s="50" t="s">
        <v>1624</v>
      </c>
      <c r="D695" s="50" t="s">
        <v>1624</v>
      </c>
      <c r="E695" s="50" t="s">
        <v>1625</v>
      </c>
      <c r="F695" s="50" t="s">
        <v>1626</v>
      </c>
      <c r="G695" s="50" t="s">
        <v>1627</v>
      </c>
      <c r="H695" s="50" t="s">
        <v>1628</v>
      </c>
    </row>
    <row r="696" spans="1:8" hidden="1" x14ac:dyDescent="0.2">
      <c r="A696" s="64" t="s">
        <v>1633</v>
      </c>
      <c r="B696" s="50" t="s">
        <v>1634</v>
      </c>
      <c r="C696" s="50" t="s">
        <v>1624</v>
      </c>
      <c r="D696" s="50" t="s">
        <v>1624</v>
      </c>
      <c r="E696" s="50" t="s">
        <v>1625</v>
      </c>
      <c r="F696" s="50" t="s">
        <v>1626</v>
      </c>
      <c r="G696" s="50" t="s">
        <v>1627</v>
      </c>
      <c r="H696" s="50" t="s">
        <v>1628</v>
      </c>
    </row>
    <row r="697" spans="1:8" hidden="1" x14ac:dyDescent="0.2">
      <c r="A697" s="64" t="s">
        <v>1635</v>
      </c>
      <c r="B697" s="50" t="s">
        <v>1636</v>
      </c>
      <c r="C697" s="50" t="s">
        <v>1624</v>
      </c>
      <c r="D697" s="50" t="s">
        <v>1624</v>
      </c>
      <c r="E697" s="50" t="s">
        <v>1625</v>
      </c>
      <c r="F697" s="50" t="s">
        <v>1626</v>
      </c>
      <c r="G697" s="50" t="s">
        <v>1627</v>
      </c>
      <c r="H697" s="50" t="s">
        <v>1628</v>
      </c>
    </row>
    <row r="698" spans="1:8" hidden="1" x14ac:dyDescent="0.2">
      <c r="A698" s="64" t="s">
        <v>1637</v>
      </c>
      <c r="B698" s="50" t="s">
        <v>1638</v>
      </c>
      <c r="C698" s="50" t="s">
        <v>1624</v>
      </c>
      <c r="D698" s="50" t="s">
        <v>1624</v>
      </c>
      <c r="E698" s="50" t="s">
        <v>1625</v>
      </c>
      <c r="F698" s="50" t="s">
        <v>1626</v>
      </c>
      <c r="G698" s="50" t="s">
        <v>1627</v>
      </c>
      <c r="H698" s="50" t="s">
        <v>1628</v>
      </c>
    </row>
    <row r="699" spans="1:8" hidden="1" x14ac:dyDescent="0.2">
      <c r="A699" s="64" t="s">
        <v>1639</v>
      </c>
      <c r="B699" s="50" t="s">
        <v>1640</v>
      </c>
      <c r="C699" s="50" t="s">
        <v>1624</v>
      </c>
      <c r="D699" s="50" t="s">
        <v>1624</v>
      </c>
      <c r="E699" s="50" t="s">
        <v>1625</v>
      </c>
      <c r="F699" s="50" t="s">
        <v>1626</v>
      </c>
      <c r="G699" s="50" t="s">
        <v>1627</v>
      </c>
      <c r="H699" s="50" t="s">
        <v>1628</v>
      </c>
    </row>
    <row r="700" spans="1:8" hidden="1" x14ac:dyDescent="0.2">
      <c r="A700" s="64" t="s">
        <v>1641</v>
      </c>
      <c r="B700" s="50" t="s">
        <v>1642</v>
      </c>
      <c r="C700" s="50" t="s">
        <v>1624</v>
      </c>
      <c r="D700" s="50" t="s">
        <v>1624</v>
      </c>
      <c r="E700" s="50" t="s">
        <v>1625</v>
      </c>
      <c r="F700" s="50" t="s">
        <v>1626</v>
      </c>
      <c r="G700" s="50" t="s">
        <v>1627</v>
      </c>
      <c r="H700" s="50" t="s">
        <v>1628</v>
      </c>
    </row>
    <row r="701" spans="1:8" hidden="1" x14ac:dyDescent="0.2">
      <c r="A701" s="64" t="s">
        <v>1643</v>
      </c>
      <c r="B701" s="50" t="s">
        <v>1644</v>
      </c>
      <c r="C701" s="50" t="s">
        <v>1624</v>
      </c>
      <c r="D701" s="50" t="s">
        <v>1624</v>
      </c>
      <c r="E701" s="50" t="s">
        <v>1625</v>
      </c>
      <c r="F701" s="50" t="s">
        <v>1626</v>
      </c>
      <c r="G701" s="50" t="s">
        <v>1627</v>
      </c>
      <c r="H701" s="50" t="s">
        <v>1628</v>
      </c>
    </row>
    <row r="702" spans="1:8" hidden="1" x14ac:dyDescent="0.2">
      <c r="A702" s="64" t="s">
        <v>1645</v>
      </c>
      <c r="B702" s="50" t="s">
        <v>1646</v>
      </c>
      <c r="C702" s="50" t="s">
        <v>1624</v>
      </c>
      <c r="D702" s="50" t="s">
        <v>1624</v>
      </c>
      <c r="E702" s="50" t="s">
        <v>1625</v>
      </c>
      <c r="F702" s="50" t="s">
        <v>1626</v>
      </c>
      <c r="G702" s="50" t="s">
        <v>1627</v>
      </c>
      <c r="H702" s="50" t="s">
        <v>1628</v>
      </c>
    </row>
    <row r="703" spans="1:8" hidden="1" x14ac:dyDescent="0.2">
      <c r="A703" s="64" t="s">
        <v>1647</v>
      </c>
      <c r="B703" s="50" t="s">
        <v>1648</v>
      </c>
      <c r="C703" s="50" t="s">
        <v>1624</v>
      </c>
      <c r="D703" s="50" t="s">
        <v>1624</v>
      </c>
      <c r="E703" s="50" t="s">
        <v>1625</v>
      </c>
      <c r="F703" s="50" t="s">
        <v>1626</v>
      </c>
      <c r="G703" s="50" t="s">
        <v>1627</v>
      </c>
      <c r="H703" s="50" t="s">
        <v>1628</v>
      </c>
    </row>
    <row r="704" spans="1:8" hidden="1" x14ac:dyDescent="0.2">
      <c r="A704" s="64" t="s">
        <v>1649</v>
      </c>
      <c r="B704" s="50" t="s">
        <v>1650</v>
      </c>
      <c r="C704" s="50" t="s">
        <v>1624</v>
      </c>
      <c r="D704" s="50" t="s">
        <v>1624</v>
      </c>
      <c r="E704" s="50" t="s">
        <v>1625</v>
      </c>
      <c r="F704" s="50" t="s">
        <v>1626</v>
      </c>
      <c r="G704" s="50" t="s">
        <v>1627</v>
      </c>
      <c r="H704" s="50" t="s">
        <v>1628</v>
      </c>
    </row>
    <row r="705" spans="1:8" hidden="1" x14ac:dyDescent="0.2">
      <c r="A705" s="64" t="s">
        <v>1651</v>
      </c>
      <c r="B705" s="50" t="s">
        <v>1652</v>
      </c>
      <c r="C705" s="50" t="s">
        <v>1624</v>
      </c>
      <c r="D705" s="50" t="s">
        <v>1624</v>
      </c>
      <c r="E705" s="50" t="s">
        <v>1625</v>
      </c>
      <c r="F705" s="50" t="s">
        <v>1626</v>
      </c>
      <c r="G705" s="50" t="s">
        <v>1627</v>
      </c>
      <c r="H705" s="50" t="s">
        <v>1628</v>
      </c>
    </row>
    <row r="706" spans="1:8" hidden="1" x14ac:dyDescent="0.2">
      <c r="A706" s="64" t="s">
        <v>1653</v>
      </c>
      <c r="B706" s="50" t="s">
        <v>1654</v>
      </c>
      <c r="C706" s="50" t="s">
        <v>1624</v>
      </c>
      <c r="D706" s="50" t="s">
        <v>1624</v>
      </c>
      <c r="E706" s="50" t="s">
        <v>1625</v>
      </c>
      <c r="F706" s="50" t="s">
        <v>1626</v>
      </c>
      <c r="G706" s="50" t="s">
        <v>1627</v>
      </c>
      <c r="H706" s="50" t="s">
        <v>1628</v>
      </c>
    </row>
    <row r="707" spans="1:8" hidden="1" x14ac:dyDescent="0.2">
      <c r="A707" s="64" t="s">
        <v>1655</v>
      </c>
      <c r="B707" s="50" t="s">
        <v>1656</v>
      </c>
      <c r="C707" s="50" t="s">
        <v>1624</v>
      </c>
      <c r="D707" s="50" t="s">
        <v>1624</v>
      </c>
      <c r="E707" s="50" t="s">
        <v>1625</v>
      </c>
      <c r="F707" s="50" t="s">
        <v>1626</v>
      </c>
      <c r="G707" s="50" t="s">
        <v>1627</v>
      </c>
      <c r="H707" s="50" t="s">
        <v>1628</v>
      </c>
    </row>
    <row r="708" spans="1:8" hidden="1" x14ac:dyDescent="0.2">
      <c r="A708" s="64" t="s">
        <v>1657</v>
      </c>
      <c r="B708" s="50" t="s">
        <v>1658</v>
      </c>
      <c r="C708" s="50" t="s">
        <v>1624</v>
      </c>
      <c r="D708" s="50" t="s">
        <v>1624</v>
      </c>
      <c r="E708" s="50" t="s">
        <v>1625</v>
      </c>
      <c r="F708" s="50" t="s">
        <v>1626</v>
      </c>
      <c r="G708" s="50" t="s">
        <v>1627</v>
      </c>
      <c r="H708" s="50" t="s">
        <v>1628</v>
      </c>
    </row>
    <row r="709" spans="1:8" hidden="1" x14ac:dyDescent="0.2">
      <c r="A709" s="64" t="s">
        <v>1659</v>
      </c>
      <c r="B709" s="50" t="s">
        <v>1660</v>
      </c>
      <c r="C709" s="50" t="s">
        <v>1624</v>
      </c>
      <c r="D709" s="50" t="s">
        <v>1624</v>
      </c>
      <c r="E709" s="50" t="s">
        <v>1625</v>
      </c>
      <c r="F709" s="50" t="s">
        <v>1626</v>
      </c>
      <c r="G709" s="50" t="s">
        <v>1627</v>
      </c>
      <c r="H709" s="50" t="s">
        <v>1628</v>
      </c>
    </row>
    <row r="710" spans="1:8" hidden="1" x14ac:dyDescent="0.2">
      <c r="A710" s="64" t="s">
        <v>1661</v>
      </c>
      <c r="B710" s="50" t="s">
        <v>1662</v>
      </c>
      <c r="C710" s="50" t="s">
        <v>1624</v>
      </c>
      <c r="D710" s="50" t="s">
        <v>1624</v>
      </c>
      <c r="E710" s="50" t="s">
        <v>1625</v>
      </c>
      <c r="F710" s="50" t="s">
        <v>1626</v>
      </c>
      <c r="G710" s="50" t="s">
        <v>1627</v>
      </c>
      <c r="H710" s="50" t="s">
        <v>1628</v>
      </c>
    </row>
    <row r="711" spans="1:8" hidden="1" x14ac:dyDescent="0.2">
      <c r="A711" s="64" t="s">
        <v>1663</v>
      </c>
      <c r="B711" s="50" t="s">
        <v>1664</v>
      </c>
      <c r="C711" s="50" t="s">
        <v>1624</v>
      </c>
      <c r="D711" s="50" t="s">
        <v>1624</v>
      </c>
      <c r="E711" s="50" t="s">
        <v>1625</v>
      </c>
      <c r="F711" s="50" t="s">
        <v>1626</v>
      </c>
      <c r="G711" s="50" t="s">
        <v>1627</v>
      </c>
      <c r="H711" s="50" t="s">
        <v>1628</v>
      </c>
    </row>
    <row r="712" spans="1:8" hidden="1" x14ac:dyDescent="0.2">
      <c r="A712" s="64" t="s">
        <v>1665</v>
      </c>
      <c r="B712" s="50" t="s">
        <v>1666</v>
      </c>
      <c r="C712" s="50" t="s">
        <v>1624</v>
      </c>
      <c r="D712" s="50" t="s">
        <v>1624</v>
      </c>
      <c r="E712" s="50" t="s">
        <v>1625</v>
      </c>
      <c r="F712" s="50" t="s">
        <v>1626</v>
      </c>
      <c r="G712" s="50" t="s">
        <v>1627</v>
      </c>
      <c r="H712" s="50" t="s">
        <v>1628</v>
      </c>
    </row>
    <row r="713" spans="1:8" hidden="1" x14ac:dyDescent="0.2">
      <c r="A713" s="64" t="s">
        <v>1667</v>
      </c>
      <c r="B713" s="50" t="s">
        <v>1668</v>
      </c>
      <c r="C713" s="50" t="s">
        <v>1624</v>
      </c>
      <c r="D713" s="50" t="s">
        <v>1624</v>
      </c>
      <c r="E713" s="50" t="s">
        <v>1625</v>
      </c>
      <c r="F713" s="50" t="s">
        <v>1626</v>
      </c>
      <c r="G713" s="50" t="s">
        <v>1627</v>
      </c>
      <c r="H713" s="50" t="s">
        <v>1628</v>
      </c>
    </row>
    <row r="714" spans="1:8" hidden="1" x14ac:dyDescent="0.2">
      <c r="A714" s="64" t="s">
        <v>1669</v>
      </c>
      <c r="B714" s="50" t="s">
        <v>1670</v>
      </c>
      <c r="C714" s="50" t="s">
        <v>1624</v>
      </c>
      <c r="D714" s="50" t="s">
        <v>1624</v>
      </c>
      <c r="E714" s="50" t="s">
        <v>1625</v>
      </c>
      <c r="F714" s="50" t="s">
        <v>1626</v>
      </c>
      <c r="G714" s="50" t="s">
        <v>1627</v>
      </c>
      <c r="H714" s="50" t="s">
        <v>1628</v>
      </c>
    </row>
    <row r="715" spans="1:8" hidden="1" x14ac:dyDescent="0.2">
      <c r="A715" s="64" t="s">
        <v>1671</v>
      </c>
      <c r="B715" s="50" t="s">
        <v>2329</v>
      </c>
      <c r="C715" s="50" t="s">
        <v>1624</v>
      </c>
      <c r="D715" s="50" t="s">
        <v>1624</v>
      </c>
      <c r="E715" s="50" t="s">
        <v>1625</v>
      </c>
      <c r="F715" s="50" t="s">
        <v>1626</v>
      </c>
      <c r="G715" s="50" t="s">
        <v>1627</v>
      </c>
      <c r="H715" s="50" t="s">
        <v>1628</v>
      </c>
    </row>
    <row r="716" spans="1:8" hidden="1" x14ac:dyDescent="0.2">
      <c r="A716" s="64" t="s">
        <v>1672</v>
      </c>
      <c r="B716" s="50" t="s">
        <v>1673</v>
      </c>
      <c r="C716" s="50" t="s">
        <v>1624</v>
      </c>
      <c r="D716" s="50" t="s">
        <v>1624</v>
      </c>
      <c r="E716" s="50" t="s">
        <v>1625</v>
      </c>
      <c r="F716" s="50" t="s">
        <v>1626</v>
      </c>
      <c r="G716" s="50" t="s">
        <v>1627</v>
      </c>
      <c r="H716" s="50" t="s">
        <v>1628</v>
      </c>
    </row>
    <row r="717" spans="1:8" hidden="1" x14ac:dyDescent="0.2">
      <c r="A717" s="64" t="s">
        <v>1674</v>
      </c>
      <c r="B717" s="50" t="s">
        <v>1675</v>
      </c>
      <c r="C717" s="50" t="s">
        <v>1624</v>
      </c>
      <c r="D717" s="50" t="s">
        <v>1624</v>
      </c>
      <c r="E717" s="50" t="s">
        <v>1625</v>
      </c>
      <c r="F717" s="50" t="s">
        <v>1626</v>
      </c>
      <c r="G717" s="50" t="s">
        <v>1627</v>
      </c>
      <c r="H717" s="50" t="s">
        <v>1628</v>
      </c>
    </row>
    <row r="718" spans="1:8" hidden="1" x14ac:dyDescent="0.2">
      <c r="A718" s="64" t="s">
        <v>1676</v>
      </c>
      <c r="B718" s="50" t="s">
        <v>1677</v>
      </c>
      <c r="C718" s="50" t="s">
        <v>1624</v>
      </c>
      <c r="D718" s="50" t="s">
        <v>1624</v>
      </c>
      <c r="E718" s="50" t="s">
        <v>1625</v>
      </c>
      <c r="F718" s="50" t="s">
        <v>1626</v>
      </c>
      <c r="G718" s="50" t="s">
        <v>1627</v>
      </c>
      <c r="H718" s="50" t="s">
        <v>1628</v>
      </c>
    </row>
    <row r="719" spans="1:8" hidden="1" x14ac:dyDescent="0.2">
      <c r="A719" s="64" t="s">
        <v>1678</v>
      </c>
      <c r="B719" s="50" t="s">
        <v>1679</v>
      </c>
      <c r="C719" s="50" t="s">
        <v>1624</v>
      </c>
      <c r="D719" s="50" t="s">
        <v>1624</v>
      </c>
      <c r="E719" s="50" t="s">
        <v>1625</v>
      </c>
      <c r="F719" s="50" t="s">
        <v>1626</v>
      </c>
      <c r="G719" s="50" t="s">
        <v>1627</v>
      </c>
      <c r="H719" s="50" t="s">
        <v>1628</v>
      </c>
    </row>
    <row r="720" spans="1:8" hidden="1" x14ac:dyDescent="0.2">
      <c r="A720" s="64" t="s">
        <v>1680</v>
      </c>
      <c r="B720" s="50" t="s">
        <v>1681</v>
      </c>
      <c r="C720" s="50" t="s">
        <v>1624</v>
      </c>
      <c r="D720" s="50" t="s">
        <v>1624</v>
      </c>
      <c r="E720" s="50" t="s">
        <v>1625</v>
      </c>
      <c r="F720" s="50" t="s">
        <v>1626</v>
      </c>
      <c r="G720" s="50" t="s">
        <v>1627</v>
      </c>
      <c r="H720" s="50" t="s">
        <v>1628</v>
      </c>
    </row>
    <row r="721" spans="1:8" hidden="1" x14ac:dyDescent="0.2">
      <c r="A721" s="64" t="s">
        <v>1682</v>
      </c>
      <c r="B721" s="50" t="s">
        <v>1683</v>
      </c>
      <c r="C721" s="50" t="s">
        <v>1624</v>
      </c>
      <c r="D721" s="50" t="s">
        <v>1624</v>
      </c>
      <c r="E721" s="50" t="s">
        <v>1625</v>
      </c>
      <c r="F721" s="50" t="s">
        <v>1626</v>
      </c>
      <c r="G721" s="50" t="s">
        <v>1627</v>
      </c>
      <c r="H721" s="50" t="s">
        <v>1628</v>
      </c>
    </row>
    <row r="722" spans="1:8" hidden="1" x14ac:dyDescent="0.2">
      <c r="A722" s="64" t="s">
        <v>1684</v>
      </c>
      <c r="B722" s="50" t="s">
        <v>1685</v>
      </c>
      <c r="C722" s="50" t="s">
        <v>1624</v>
      </c>
      <c r="D722" s="50" t="s">
        <v>1624</v>
      </c>
      <c r="E722" s="50" t="s">
        <v>1625</v>
      </c>
      <c r="F722" s="50" t="s">
        <v>1626</v>
      </c>
      <c r="G722" s="50" t="s">
        <v>1627</v>
      </c>
      <c r="H722" s="50" t="s">
        <v>1628</v>
      </c>
    </row>
    <row r="723" spans="1:8" hidden="1" x14ac:dyDescent="0.2">
      <c r="A723" s="64" t="s">
        <v>1686</v>
      </c>
      <c r="B723" s="50" t="s">
        <v>1687</v>
      </c>
      <c r="C723" s="50" t="s">
        <v>1624</v>
      </c>
      <c r="D723" s="50" t="s">
        <v>1624</v>
      </c>
      <c r="E723" s="50" t="s">
        <v>1625</v>
      </c>
      <c r="F723" s="50" t="s">
        <v>1626</v>
      </c>
      <c r="G723" s="50" t="s">
        <v>1627</v>
      </c>
      <c r="H723" s="50" t="s">
        <v>1628</v>
      </c>
    </row>
    <row r="724" spans="1:8" hidden="1" x14ac:dyDescent="0.2">
      <c r="A724" s="64" t="s">
        <v>1688</v>
      </c>
      <c r="B724" s="50" t="s">
        <v>1689</v>
      </c>
      <c r="C724" s="50" t="s">
        <v>1624</v>
      </c>
      <c r="D724" s="50" t="s">
        <v>1624</v>
      </c>
      <c r="E724" s="50" t="s">
        <v>1625</v>
      </c>
      <c r="F724" s="50" t="s">
        <v>1626</v>
      </c>
      <c r="G724" s="50" t="s">
        <v>1627</v>
      </c>
      <c r="H724" s="50" t="s">
        <v>1628</v>
      </c>
    </row>
    <row r="725" spans="1:8" hidden="1" x14ac:dyDescent="0.2">
      <c r="A725" s="64" t="s">
        <v>1690</v>
      </c>
      <c r="B725" s="50" t="s">
        <v>1691</v>
      </c>
      <c r="C725" s="50" t="s">
        <v>1624</v>
      </c>
      <c r="D725" s="50" t="s">
        <v>1624</v>
      </c>
      <c r="E725" s="50" t="s">
        <v>1625</v>
      </c>
      <c r="F725" s="50" t="s">
        <v>1626</v>
      </c>
      <c r="G725" s="50" t="s">
        <v>1627</v>
      </c>
      <c r="H725" s="50" t="s">
        <v>1628</v>
      </c>
    </row>
    <row r="726" spans="1:8" hidden="1" x14ac:dyDescent="0.2">
      <c r="A726" s="64" t="s">
        <v>1692</v>
      </c>
      <c r="B726" s="50" t="s">
        <v>1693</v>
      </c>
      <c r="C726" s="50" t="s">
        <v>1624</v>
      </c>
      <c r="D726" s="50" t="s">
        <v>1624</v>
      </c>
      <c r="E726" s="50" t="s">
        <v>1625</v>
      </c>
      <c r="F726" s="50" t="s">
        <v>1626</v>
      </c>
      <c r="G726" s="50" t="s">
        <v>1627</v>
      </c>
      <c r="H726" s="50" t="s">
        <v>1628</v>
      </c>
    </row>
    <row r="727" spans="1:8" hidden="1" x14ac:dyDescent="0.2">
      <c r="A727" s="64" t="s">
        <v>1694</v>
      </c>
      <c r="B727" s="50" t="s">
        <v>1695</v>
      </c>
      <c r="C727" s="50" t="s">
        <v>1624</v>
      </c>
      <c r="D727" s="50" t="s">
        <v>1624</v>
      </c>
      <c r="E727" s="50" t="s">
        <v>1625</v>
      </c>
      <c r="F727" s="50" t="s">
        <v>1626</v>
      </c>
      <c r="G727" s="50" t="s">
        <v>1627</v>
      </c>
      <c r="H727" s="50" t="s">
        <v>1628</v>
      </c>
    </row>
    <row r="728" spans="1:8" hidden="1" x14ac:dyDescent="0.2">
      <c r="A728" s="64" t="s">
        <v>1696</v>
      </c>
      <c r="B728" s="50" t="s">
        <v>1697</v>
      </c>
      <c r="C728" s="50" t="s">
        <v>1624</v>
      </c>
      <c r="D728" s="50" t="s">
        <v>1624</v>
      </c>
      <c r="E728" s="50" t="s">
        <v>1625</v>
      </c>
      <c r="F728" s="50" t="s">
        <v>1626</v>
      </c>
      <c r="G728" s="50" t="s">
        <v>1627</v>
      </c>
      <c r="H728" s="50" t="s">
        <v>1628</v>
      </c>
    </row>
    <row r="729" spans="1:8" hidden="1" x14ac:dyDescent="0.2">
      <c r="A729" s="64" t="s">
        <v>1698</v>
      </c>
      <c r="B729" s="50" t="s">
        <v>1699</v>
      </c>
      <c r="C729" s="50" t="s">
        <v>1624</v>
      </c>
      <c r="D729" s="50" t="s">
        <v>1624</v>
      </c>
      <c r="E729" s="50" t="s">
        <v>1625</v>
      </c>
      <c r="F729" s="50" t="s">
        <v>1626</v>
      </c>
      <c r="G729" s="50" t="s">
        <v>1627</v>
      </c>
      <c r="H729" s="50" t="s">
        <v>1628</v>
      </c>
    </row>
    <row r="730" spans="1:8" hidden="1" x14ac:dyDescent="0.2">
      <c r="A730" s="64" t="s">
        <v>1700</v>
      </c>
      <c r="B730" s="50" t="s">
        <v>1701</v>
      </c>
      <c r="C730" s="50" t="s">
        <v>1624</v>
      </c>
      <c r="D730" s="50" t="s">
        <v>1624</v>
      </c>
      <c r="E730" s="50" t="s">
        <v>1625</v>
      </c>
      <c r="F730" s="50" t="s">
        <v>1626</v>
      </c>
      <c r="G730" s="50" t="s">
        <v>1627</v>
      </c>
      <c r="H730" s="50" t="s">
        <v>1628</v>
      </c>
    </row>
    <row r="731" spans="1:8" hidden="1" x14ac:dyDescent="0.2">
      <c r="A731" s="64" t="s">
        <v>1702</v>
      </c>
      <c r="B731" s="50" t="s">
        <v>1703</v>
      </c>
      <c r="C731" s="50" t="s">
        <v>1624</v>
      </c>
      <c r="D731" s="50" t="s">
        <v>1624</v>
      </c>
      <c r="E731" s="50" t="s">
        <v>1625</v>
      </c>
      <c r="F731" s="50" t="s">
        <v>1626</v>
      </c>
      <c r="G731" s="50" t="s">
        <v>1627</v>
      </c>
      <c r="H731" s="50" t="s">
        <v>1628</v>
      </c>
    </row>
    <row r="732" spans="1:8" hidden="1" x14ac:dyDescent="0.2">
      <c r="A732" s="64" t="s">
        <v>1704</v>
      </c>
      <c r="B732" s="50" t="s">
        <v>1705</v>
      </c>
      <c r="C732" s="50" t="s">
        <v>1624</v>
      </c>
      <c r="D732" s="50" t="s">
        <v>1624</v>
      </c>
      <c r="E732" s="50" t="s">
        <v>1625</v>
      </c>
      <c r="F732" s="50" t="s">
        <v>1626</v>
      </c>
      <c r="G732" s="50" t="s">
        <v>1627</v>
      </c>
      <c r="H732" s="50" t="s">
        <v>1628</v>
      </c>
    </row>
    <row r="733" spans="1:8" hidden="1" x14ac:dyDescent="0.2">
      <c r="A733" s="64" t="s">
        <v>1706</v>
      </c>
      <c r="B733" s="50" t="s">
        <v>1707</v>
      </c>
      <c r="C733" s="50" t="s">
        <v>1624</v>
      </c>
      <c r="D733" s="50" t="s">
        <v>1624</v>
      </c>
      <c r="E733" s="50" t="s">
        <v>1625</v>
      </c>
      <c r="F733" s="50" t="s">
        <v>1626</v>
      </c>
      <c r="G733" s="50" t="s">
        <v>1627</v>
      </c>
      <c r="H733" s="50" t="s">
        <v>1628</v>
      </c>
    </row>
    <row r="734" spans="1:8" hidden="1" x14ac:dyDescent="0.2">
      <c r="A734" s="64" t="s">
        <v>1708</v>
      </c>
      <c r="B734" s="50" t="s">
        <v>2318</v>
      </c>
      <c r="C734" s="50" t="s">
        <v>1624</v>
      </c>
      <c r="D734" s="50" t="s">
        <v>1624</v>
      </c>
      <c r="E734" s="50" t="s">
        <v>1625</v>
      </c>
      <c r="F734" s="50" t="s">
        <v>1626</v>
      </c>
      <c r="G734" s="50" t="s">
        <v>1627</v>
      </c>
      <c r="H734" s="50" t="s">
        <v>1628</v>
      </c>
    </row>
    <row r="735" spans="1:8" hidden="1" x14ac:dyDescent="0.2">
      <c r="A735" s="64" t="s">
        <v>1709</v>
      </c>
      <c r="B735" s="50" t="s">
        <v>1710</v>
      </c>
      <c r="C735" s="50" t="s">
        <v>1624</v>
      </c>
      <c r="D735" s="50" t="s">
        <v>1624</v>
      </c>
      <c r="E735" s="50" t="s">
        <v>1625</v>
      </c>
      <c r="F735" s="50" t="s">
        <v>1626</v>
      </c>
      <c r="G735" s="50" t="s">
        <v>1627</v>
      </c>
      <c r="H735" s="50" t="s">
        <v>1628</v>
      </c>
    </row>
    <row r="736" spans="1:8" hidden="1" x14ac:dyDescent="0.2">
      <c r="A736" s="64" t="s">
        <v>1711</v>
      </c>
      <c r="B736" s="50" t="s">
        <v>1712</v>
      </c>
      <c r="C736" s="50" t="s">
        <v>1624</v>
      </c>
      <c r="D736" s="50" t="s">
        <v>1624</v>
      </c>
      <c r="E736" s="50" t="s">
        <v>1625</v>
      </c>
      <c r="F736" s="50" t="s">
        <v>1626</v>
      </c>
      <c r="G736" s="50" t="s">
        <v>1627</v>
      </c>
      <c r="H736" s="50" t="s">
        <v>1628</v>
      </c>
    </row>
    <row r="737" spans="1:8" hidden="1" x14ac:dyDescent="0.2">
      <c r="A737" s="64" t="s">
        <v>1713</v>
      </c>
      <c r="B737" s="50" t="s">
        <v>1714</v>
      </c>
      <c r="C737" s="50" t="s">
        <v>1624</v>
      </c>
      <c r="D737" s="50" t="s">
        <v>1624</v>
      </c>
      <c r="E737" s="50" t="s">
        <v>1625</v>
      </c>
      <c r="F737" s="50" t="s">
        <v>1626</v>
      </c>
      <c r="G737" s="50" t="s">
        <v>1627</v>
      </c>
      <c r="H737" s="50" t="s">
        <v>1628</v>
      </c>
    </row>
    <row r="738" spans="1:8" hidden="1" x14ac:dyDescent="0.2">
      <c r="A738" s="64" t="s">
        <v>1715</v>
      </c>
      <c r="B738" s="50" t="s">
        <v>1716</v>
      </c>
      <c r="C738" s="50" t="s">
        <v>1624</v>
      </c>
      <c r="D738" s="50" t="s">
        <v>1624</v>
      </c>
      <c r="E738" s="50" t="s">
        <v>1625</v>
      </c>
      <c r="F738" s="50" t="s">
        <v>1626</v>
      </c>
      <c r="G738" s="50" t="s">
        <v>1627</v>
      </c>
      <c r="H738" s="50" t="s">
        <v>1628</v>
      </c>
    </row>
    <row r="739" spans="1:8" hidden="1" x14ac:dyDescent="0.2">
      <c r="A739" s="64" t="s">
        <v>1717</v>
      </c>
      <c r="B739" s="50" t="s">
        <v>1718</v>
      </c>
      <c r="C739" s="50" t="s">
        <v>1624</v>
      </c>
      <c r="D739" s="50" t="s">
        <v>1624</v>
      </c>
      <c r="E739" s="50" t="s">
        <v>1625</v>
      </c>
      <c r="F739" s="50" t="s">
        <v>1626</v>
      </c>
      <c r="G739" s="50" t="s">
        <v>1627</v>
      </c>
      <c r="H739" s="50" t="s">
        <v>1628</v>
      </c>
    </row>
    <row r="740" spans="1:8" hidden="1" x14ac:dyDescent="0.2">
      <c r="A740" s="64" t="s">
        <v>1719</v>
      </c>
      <c r="B740" s="50" t="s">
        <v>2311</v>
      </c>
      <c r="C740" s="50" t="s">
        <v>1624</v>
      </c>
      <c r="D740" s="50" t="s">
        <v>1624</v>
      </c>
      <c r="E740" s="50" t="s">
        <v>1625</v>
      </c>
      <c r="F740" s="50" t="s">
        <v>1626</v>
      </c>
      <c r="G740" s="50" t="s">
        <v>1627</v>
      </c>
      <c r="H740" s="50" t="s">
        <v>1628</v>
      </c>
    </row>
    <row r="741" spans="1:8" hidden="1" x14ac:dyDescent="0.2">
      <c r="A741" s="64" t="s">
        <v>1720</v>
      </c>
      <c r="B741" s="50" t="s">
        <v>1721</v>
      </c>
      <c r="C741" s="50" t="s">
        <v>1624</v>
      </c>
      <c r="D741" s="50" t="s">
        <v>1624</v>
      </c>
      <c r="E741" s="50" t="s">
        <v>1625</v>
      </c>
      <c r="F741" s="50" t="s">
        <v>1626</v>
      </c>
      <c r="G741" s="50" t="s">
        <v>1627</v>
      </c>
      <c r="H741" s="50" t="s">
        <v>1628</v>
      </c>
    </row>
    <row r="742" spans="1:8" hidden="1" x14ac:dyDescent="0.2">
      <c r="A742" s="64" t="s">
        <v>1722</v>
      </c>
      <c r="B742" s="50" t="s">
        <v>1723</v>
      </c>
      <c r="C742" s="50" t="s">
        <v>1624</v>
      </c>
      <c r="D742" s="50" t="s">
        <v>1624</v>
      </c>
      <c r="E742" s="50" t="s">
        <v>1625</v>
      </c>
      <c r="F742" s="50" t="s">
        <v>1626</v>
      </c>
      <c r="G742" s="50" t="s">
        <v>1627</v>
      </c>
      <c r="H742" s="50" t="s">
        <v>1628</v>
      </c>
    </row>
    <row r="743" spans="1:8" hidden="1" x14ac:dyDescent="0.2">
      <c r="A743" s="64" t="s">
        <v>1724</v>
      </c>
      <c r="B743" s="50" t="s">
        <v>2330</v>
      </c>
      <c r="C743" s="50" t="s">
        <v>1624</v>
      </c>
      <c r="D743" s="50" t="s">
        <v>1624</v>
      </c>
      <c r="E743" s="50" t="s">
        <v>1625</v>
      </c>
      <c r="F743" s="50" t="s">
        <v>1626</v>
      </c>
      <c r="G743" s="50" t="s">
        <v>1627</v>
      </c>
      <c r="H743" s="50" t="s">
        <v>1628</v>
      </c>
    </row>
    <row r="744" spans="1:8" hidden="1" x14ac:dyDescent="0.2">
      <c r="A744" s="64" t="s">
        <v>1725</v>
      </c>
      <c r="B744" s="50" t="s">
        <v>1726</v>
      </c>
      <c r="C744" s="50" t="s">
        <v>1624</v>
      </c>
      <c r="D744" s="50" t="s">
        <v>1624</v>
      </c>
      <c r="E744" s="50" t="s">
        <v>1625</v>
      </c>
      <c r="F744" s="50" t="s">
        <v>1626</v>
      </c>
      <c r="G744" s="50" t="s">
        <v>1627</v>
      </c>
      <c r="H744" s="50" t="s">
        <v>1628</v>
      </c>
    </row>
    <row r="745" spans="1:8" hidden="1" x14ac:dyDescent="0.2">
      <c r="A745" s="64" t="s">
        <v>1727</v>
      </c>
      <c r="B745" s="50" t="s">
        <v>1728</v>
      </c>
      <c r="C745" s="50" t="s">
        <v>1624</v>
      </c>
      <c r="D745" s="50" t="s">
        <v>1624</v>
      </c>
      <c r="E745" s="50" t="s">
        <v>1625</v>
      </c>
      <c r="F745" s="50" t="s">
        <v>1626</v>
      </c>
      <c r="G745" s="50" t="s">
        <v>1627</v>
      </c>
      <c r="H745" s="50" t="s">
        <v>1628</v>
      </c>
    </row>
    <row r="746" spans="1:8" hidden="1" x14ac:dyDescent="0.2">
      <c r="A746" s="64" t="s">
        <v>1729</v>
      </c>
      <c r="B746" s="50" t="s">
        <v>1730</v>
      </c>
      <c r="C746" s="50" t="s">
        <v>1624</v>
      </c>
      <c r="D746" s="50" t="s">
        <v>1624</v>
      </c>
      <c r="E746" s="50" t="s">
        <v>1625</v>
      </c>
      <c r="F746" s="50" t="s">
        <v>1626</v>
      </c>
      <c r="G746" s="50" t="s">
        <v>1627</v>
      </c>
      <c r="H746" s="50" t="s">
        <v>1628</v>
      </c>
    </row>
    <row r="747" spans="1:8" hidden="1" x14ac:dyDescent="0.2">
      <c r="A747" s="64" t="s">
        <v>1731</v>
      </c>
      <c r="B747" s="50" t="s">
        <v>1732</v>
      </c>
      <c r="C747" s="50" t="s">
        <v>1624</v>
      </c>
      <c r="D747" s="50" t="s">
        <v>1624</v>
      </c>
      <c r="E747" s="50" t="s">
        <v>1625</v>
      </c>
      <c r="F747" s="50" t="s">
        <v>1626</v>
      </c>
      <c r="G747" s="50" t="s">
        <v>1627</v>
      </c>
      <c r="H747" s="50" t="s">
        <v>1628</v>
      </c>
    </row>
    <row r="748" spans="1:8" hidden="1" x14ac:dyDescent="0.2">
      <c r="A748" s="64" t="s">
        <v>1733</v>
      </c>
      <c r="B748" s="50" t="s">
        <v>1734</v>
      </c>
      <c r="C748" s="50" t="s">
        <v>1624</v>
      </c>
      <c r="D748" s="50" t="s">
        <v>1624</v>
      </c>
      <c r="E748" s="50" t="s">
        <v>1625</v>
      </c>
      <c r="F748" s="50" t="s">
        <v>1626</v>
      </c>
      <c r="G748" s="50" t="s">
        <v>1627</v>
      </c>
      <c r="H748" s="50" t="s">
        <v>1628</v>
      </c>
    </row>
    <row r="749" spans="1:8" hidden="1" x14ac:dyDescent="0.2">
      <c r="A749" s="64" t="s">
        <v>1735</v>
      </c>
      <c r="B749" s="50" t="s">
        <v>1736</v>
      </c>
      <c r="C749" s="50" t="s">
        <v>1624</v>
      </c>
      <c r="D749" s="50" t="s">
        <v>1624</v>
      </c>
      <c r="E749" s="50" t="s">
        <v>1625</v>
      </c>
      <c r="F749" s="50" t="s">
        <v>1626</v>
      </c>
      <c r="G749" s="50" t="s">
        <v>1627</v>
      </c>
      <c r="H749" s="50" t="s">
        <v>1628</v>
      </c>
    </row>
    <row r="750" spans="1:8" hidden="1" x14ac:dyDescent="0.2">
      <c r="A750" s="64" t="s">
        <v>1737</v>
      </c>
      <c r="B750" s="50" t="s">
        <v>1738</v>
      </c>
      <c r="C750" s="50" t="s">
        <v>1624</v>
      </c>
      <c r="D750" s="50" t="s">
        <v>1624</v>
      </c>
      <c r="E750" s="50" t="s">
        <v>1625</v>
      </c>
      <c r="F750" s="50" t="s">
        <v>1626</v>
      </c>
      <c r="G750" s="50" t="s">
        <v>1627</v>
      </c>
      <c r="H750" s="50" t="s">
        <v>1628</v>
      </c>
    </row>
    <row r="751" spans="1:8" hidden="1" x14ac:dyDescent="0.2">
      <c r="A751" s="64" t="s">
        <v>1739</v>
      </c>
      <c r="B751" s="50" t="s">
        <v>1740</v>
      </c>
      <c r="C751" s="50" t="s">
        <v>1624</v>
      </c>
      <c r="D751" s="50" t="s">
        <v>1624</v>
      </c>
      <c r="E751" s="50" t="s">
        <v>1625</v>
      </c>
      <c r="F751" s="50" t="s">
        <v>1626</v>
      </c>
      <c r="G751" s="50" t="s">
        <v>1627</v>
      </c>
      <c r="H751" s="50" t="s">
        <v>1628</v>
      </c>
    </row>
    <row r="752" spans="1:8" hidden="1" x14ac:dyDescent="0.2">
      <c r="A752" s="64" t="s">
        <v>1741</v>
      </c>
      <c r="B752" s="50" t="s">
        <v>1742</v>
      </c>
      <c r="C752" s="50" t="s">
        <v>1624</v>
      </c>
      <c r="D752" s="50" t="s">
        <v>1624</v>
      </c>
      <c r="E752" s="50" t="s">
        <v>1625</v>
      </c>
      <c r="F752" s="50" t="s">
        <v>1626</v>
      </c>
      <c r="G752" s="50" t="s">
        <v>1627</v>
      </c>
      <c r="H752" s="50" t="s">
        <v>1628</v>
      </c>
    </row>
    <row r="753" spans="1:8" hidden="1" x14ac:dyDescent="0.2">
      <c r="A753" s="64" t="s">
        <v>1743</v>
      </c>
      <c r="B753" s="50" t="s">
        <v>1744</v>
      </c>
      <c r="C753" s="50" t="s">
        <v>1624</v>
      </c>
      <c r="D753" s="50" t="s">
        <v>1624</v>
      </c>
      <c r="E753" s="50" t="s">
        <v>1625</v>
      </c>
      <c r="F753" s="50" t="s">
        <v>1626</v>
      </c>
      <c r="G753" s="50" t="s">
        <v>1627</v>
      </c>
      <c r="H753" s="50" t="s">
        <v>1628</v>
      </c>
    </row>
    <row r="754" spans="1:8" hidden="1" x14ac:dyDescent="0.2">
      <c r="A754" s="64" t="s">
        <v>1745</v>
      </c>
      <c r="B754" s="50" t="s">
        <v>1746</v>
      </c>
      <c r="C754" s="50" t="s">
        <v>1624</v>
      </c>
      <c r="D754" s="50" t="s">
        <v>1624</v>
      </c>
      <c r="E754" s="50" t="s">
        <v>1625</v>
      </c>
      <c r="F754" s="50" t="s">
        <v>1626</v>
      </c>
      <c r="G754" s="50" t="s">
        <v>1627</v>
      </c>
      <c r="H754" s="50" t="s">
        <v>1628</v>
      </c>
    </row>
    <row r="755" spans="1:8" hidden="1" x14ac:dyDescent="0.2">
      <c r="A755" s="64" t="s">
        <v>1747</v>
      </c>
      <c r="B755" s="50" t="s">
        <v>1748</v>
      </c>
      <c r="C755" s="50" t="s">
        <v>1624</v>
      </c>
      <c r="D755" s="50" t="s">
        <v>1624</v>
      </c>
      <c r="E755" s="50" t="s">
        <v>1625</v>
      </c>
      <c r="F755" s="50" t="s">
        <v>1626</v>
      </c>
      <c r="G755" s="50" t="s">
        <v>1627</v>
      </c>
      <c r="H755" s="50" t="s">
        <v>1628</v>
      </c>
    </row>
    <row r="756" spans="1:8" hidden="1" x14ac:dyDescent="0.2">
      <c r="A756" s="64" t="s">
        <v>1749</v>
      </c>
      <c r="B756" s="50" t="s">
        <v>2331</v>
      </c>
      <c r="C756" s="50" t="s">
        <v>1624</v>
      </c>
      <c r="D756" s="50" t="s">
        <v>1624</v>
      </c>
      <c r="E756" s="50" t="s">
        <v>1625</v>
      </c>
      <c r="F756" s="50" t="s">
        <v>1626</v>
      </c>
      <c r="G756" s="50" t="s">
        <v>1627</v>
      </c>
      <c r="H756" s="50" t="s">
        <v>1628</v>
      </c>
    </row>
    <row r="757" spans="1:8" hidden="1" x14ac:dyDescent="0.2">
      <c r="A757" s="64" t="s">
        <v>1750</v>
      </c>
      <c r="B757" s="50" t="s">
        <v>1751</v>
      </c>
      <c r="C757" s="50" t="s">
        <v>1624</v>
      </c>
      <c r="D757" s="50" t="s">
        <v>1624</v>
      </c>
      <c r="E757" s="50" t="s">
        <v>1625</v>
      </c>
      <c r="F757" s="50" t="s">
        <v>1626</v>
      </c>
      <c r="G757" s="50" t="s">
        <v>1627</v>
      </c>
      <c r="H757" s="50" t="s">
        <v>1628</v>
      </c>
    </row>
    <row r="758" spans="1:8" hidden="1" x14ac:dyDescent="0.2">
      <c r="A758" s="64" t="s">
        <v>1752</v>
      </c>
      <c r="B758" s="50" t="s">
        <v>1753</v>
      </c>
      <c r="C758" s="50" t="s">
        <v>1624</v>
      </c>
      <c r="D758" s="50" t="s">
        <v>1624</v>
      </c>
      <c r="E758" s="50" t="s">
        <v>1625</v>
      </c>
      <c r="F758" s="50" t="s">
        <v>1626</v>
      </c>
      <c r="G758" s="50" t="s">
        <v>1627</v>
      </c>
      <c r="H758" s="50" t="s">
        <v>1628</v>
      </c>
    </row>
    <row r="759" spans="1:8" hidden="1" x14ac:dyDescent="0.2">
      <c r="A759" s="64" t="s">
        <v>1754</v>
      </c>
      <c r="B759" s="50" t="s">
        <v>1755</v>
      </c>
      <c r="C759" s="50" t="s">
        <v>1624</v>
      </c>
      <c r="D759" s="50" t="s">
        <v>1624</v>
      </c>
      <c r="E759" s="50" t="s">
        <v>1625</v>
      </c>
      <c r="F759" s="50" t="s">
        <v>1626</v>
      </c>
      <c r="G759" s="50" t="s">
        <v>1627</v>
      </c>
      <c r="H759" s="50" t="s">
        <v>1628</v>
      </c>
    </row>
    <row r="760" spans="1:8" hidden="1" x14ac:dyDescent="0.2">
      <c r="A760" s="64" t="s">
        <v>1756</v>
      </c>
      <c r="B760" s="50" t="s">
        <v>1757</v>
      </c>
      <c r="C760" s="50" t="s">
        <v>1624</v>
      </c>
      <c r="D760" s="50" t="s">
        <v>1624</v>
      </c>
      <c r="E760" s="50" t="s">
        <v>1625</v>
      </c>
      <c r="F760" s="50" t="s">
        <v>1626</v>
      </c>
      <c r="G760" s="50" t="s">
        <v>1627</v>
      </c>
      <c r="H760" s="50" t="s">
        <v>1628</v>
      </c>
    </row>
    <row r="761" spans="1:8" hidden="1" x14ac:dyDescent="0.2">
      <c r="A761" s="64" t="s">
        <v>1758</v>
      </c>
      <c r="B761" s="50" t="s">
        <v>1759</v>
      </c>
      <c r="C761" s="50" t="s">
        <v>1624</v>
      </c>
      <c r="D761" s="50" t="s">
        <v>1624</v>
      </c>
      <c r="E761" s="50" t="s">
        <v>1625</v>
      </c>
      <c r="F761" s="50" t="s">
        <v>1626</v>
      </c>
      <c r="G761" s="50" t="s">
        <v>1627</v>
      </c>
      <c r="H761" s="50" t="s">
        <v>1628</v>
      </c>
    </row>
    <row r="762" spans="1:8" hidden="1" x14ac:dyDescent="0.2">
      <c r="A762" s="64" t="s">
        <v>1760</v>
      </c>
      <c r="B762" s="50" t="s">
        <v>1761</v>
      </c>
      <c r="C762" s="50" t="s">
        <v>1624</v>
      </c>
      <c r="D762" s="50" t="s">
        <v>1624</v>
      </c>
      <c r="E762" s="50" t="s">
        <v>1625</v>
      </c>
      <c r="F762" s="50" t="s">
        <v>1626</v>
      </c>
      <c r="G762" s="50" t="s">
        <v>1627</v>
      </c>
      <c r="H762" s="50" t="s">
        <v>1628</v>
      </c>
    </row>
    <row r="763" spans="1:8" hidden="1" x14ac:dyDescent="0.2">
      <c r="A763" s="64" t="s">
        <v>1762</v>
      </c>
      <c r="B763" s="50" t="s">
        <v>1763</v>
      </c>
      <c r="C763" s="50" t="s">
        <v>1624</v>
      </c>
      <c r="D763" s="50" t="s">
        <v>1624</v>
      </c>
      <c r="E763" s="50" t="s">
        <v>1625</v>
      </c>
      <c r="F763" s="50" t="s">
        <v>1626</v>
      </c>
      <c r="G763" s="50" t="s">
        <v>1627</v>
      </c>
      <c r="H763" s="50" t="s">
        <v>1628</v>
      </c>
    </row>
    <row r="764" spans="1:8" hidden="1" x14ac:dyDescent="0.2">
      <c r="A764" s="64" t="s">
        <v>1764</v>
      </c>
      <c r="B764" s="50" t="s">
        <v>1765</v>
      </c>
      <c r="C764" s="50" t="s">
        <v>1624</v>
      </c>
      <c r="D764" s="50" t="s">
        <v>1624</v>
      </c>
      <c r="E764" s="50" t="s">
        <v>1625</v>
      </c>
      <c r="F764" s="50" t="s">
        <v>1626</v>
      </c>
      <c r="G764" s="50" t="s">
        <v>1627</v>
      </c>
      <c r="H764" s="50" t="s">
        <v>1628</v>
      </c>
    </row>
    <row r="765" spans="1:8" hidden="1" x14ac:dyDescent="0.2">
      <c r="A765" s="64" t="s">
        <v>1766</v>
      </c>
      <c r="B765" s="50" t="s">
        <v>1767</v>
      </c>
      <c r="C765" s="50" t="s">
        <v>1624</v>
      </c>
      <c r="D765" s="50" t="s">
        <v>1624</v>
      </c>
      <c r="E765" s="50" t="s">
        <v>1625</v>
      </c>
      <c r="F765" s="50" t="s">
        <v>1626</v>
      </c>
      <c r="G765" s="50" t="s">
        <v>1627</v>
      </c>
      <c r="H765" s="50" t="s">
        <v>1628</v>
      </c>
    </row>
    <row r="766" spans="1:8" hidden="1" x14ac:dyDescent="0.2">
      <c r="A766" s="64" t="s">
        <v>1768</v>
      </c>
      <c r="B766" s="50" t="s">
        <v>1769</v>
      </c>
      <c r="C766" s="50" t="s">
        <v>1624</v>
      </c>
      <c r="D766" s="50" t="s">
        <v>1624</v>
      </c>
      <c r="E766" s="50" t="s">
        <v>1625</v>
      </c>
      <c r="F766" s="50" t="s">
        <v>1626</v>
      </c>
      <c r="G766" s="50" t="s">
        <v>1627</v>
      </c>
      <c r="H766" s="50" t="s">
        <v>1628</v>
      </c>
    </row>
    <row r="767" spans="1:8" hidden="1" x14ac:dyDescent="0.2">
      <c r="A767" s="64" t="s">
        <v>1770</v>
      </c>
      <c r="B767" s="50" t="s">
        <v>1771</v>
      </c>
      <c r="C767" s="50" t="s">
        <v>1624</v>
      </c>
      <c r="D767" s="50" t="s">
        <v>1624</v>
      </c>
      <c r="E767" s="50" t="s">
        <v>1625</v>
      </c>
      <c r="F767" s="50" t="s">
        <v>1626</v>
      </c>
      <c r="G767" s="50" t="s">
        <v>1627</v>
      </c>
      <c r="H767" s="50" t="s">
        <v>1628</v>
      </c>
    </row>
    <row r="768" spans="1:8" hidden="1" x14ac:dyDescent="0.2">
      <c r="A768" s="64" t="s">
        <v>1772</v>
      </c>
      <c r="B768" s="50" t="s">
        <v>1773</v>
      </c>
      <c r="C768" s="50" t="s">
        <v>1624</v>
      </c>
      <c r="D768" s="50" t="s">
        <v>1624</v>
      </c>
      <c r="E768" s="50" t="s">
        <v>1625</v>
      </c>
      <c r="F768" s="50" t="s">
        <v>1626</v>
      </c>
      <c r="G768" s="50" t="s">
        <v>1627</v>
      </c>
      <c r="H768" s="50" t="s">
        <v>1628</v>
      </c>
    </row>
    <row r="769" spans="1:8" hidden="1" x14ac:dyDescent="0.2">
      <c r="A769" s="64" t="s">
        <v>1774</v>
      </c>
      <c r="B769" s="50" t="s">
        <v>1775</v>
      </c>
      <c r="C769" s="50" t="s">
        <v>1624</v>
      </c>
      <c r="D769" s="50" t="s">
        <v>1624</v>
      </c>
      <c r="E769" s="50" t="s">
        <v>1625</v>
      </c>
      <c r="F769" s="50" t="s">
        <v>1626</v>
      </c>
      <c r="G769" s="50" t="s">
        <v>1627</v>
      </c>
      <c r="H769" s="50" t="s">
        <v>1628</v>
      </c>
    </row>
    <row r="770" spans="1:8" hidden="1" x14ac:dyDescent="0.2">
      <c r="A770" s="64" t="s">
        <v>1776</v>
      </c>
      <c r="B770" s="50" t="s">
        <v>1777</v>
      </c>
      <c r="C770" s="50" t="s">
        <v>1624</v>
      </c>
      <c r="D770" s="50" t="s">
        <v>1624</v>
      </c>
      <c r="E770" s="50" t="s">
        <v>1625</v>
      </c>
      <c r="F770" s="50" t="s">
        <v>1626</v>
      </c>
      <c r="G770" s="50" t="s">
        <v>1627</v>
      </c>
      <c r="H770" s="50" t="s">
        <v>1628</v>
      </c>
    </row>
    <row r="771" spans="1:8" hidden="1" x14ac:dyDescent="0.2">
      <c r="A771" s="64" t="s">
        <v>1778</v>
      </c>
      <c r="B771" s="50" t="s">
        <v>1779</v>
      </c>
      <c r="C771" s="50" t="s">
        <v>1624</v>
      </c>
      <c r="D771" s="50" t="s">
        <v>1624</v>
      </c>
      <c r="E771" s="50" t="s">
        <v>1625</v>
      </c>
      <c r="F771" s="50" t="s">
        <v>1626</v>
      </c>
      <c r="G771" s="50" t="s">
        <v>1627</v>
      </c>
      <c r="H771" s="50" t="s">
        <v>1628</v>
      </c>
    </row>
    <row r="772" spans="1:8" hidden="1" x14ac:dyDescent="0.2">
      <c r="A772" s="64" t="s">
        <v>1780</v>
      </c>
      <c r="B772" s="50" t="s">
        <v>1781</v>
      </c>
      <c r="C772" s="50" t="s">
        <v>1624</v>
      </c>
      <c r="D772" s="50" t="s">
        <v>1624</v>
      </c>
      <c r="E772" s="50" t="s">
        <v>1625</v>
      </c>
      <c r="F772" s="50" t="s">
        <v>1626</v>
      </c>
      <c r="G772" s="50" t="s">
        <v>1627</v>
      </c>
      <c r="H772" s="50" t="s">
        <v>1628</v>
      </c>
    </row>
    <row r="773" spans="1:8" hidden="1" x14ac:dyDescent="0.2">
      <c r="A773" s="64" t="s">
        <v>1782</v>
      </c>
      <c r="B773" s="50" t="s">
        <v>1783</v>
      </c>
      <c r="C773" s="50" t="s">
        <v>1624</v>
      </c>
      <c r="D773" s="50" t="s">
        <v>1624</v>
      </c>
      <c r="E773" s="50" t="s">
        <v>1625</v>
      </c>
      <c r="F773" s="50" t="s">
        <v>1626</v>
      </c>
      <c r="G773" s="50" t="s">
        <v>1627</v>
      </c>
      <c r="H773" s="50" t="s">
        <v>1628</v>
      </c>
    </row>
    <row r="774" spans="1:8" hidden="1" x14ac:dyDescent="0.2">
      <c r="A774" s="64" t="s">
        <v>1784</v>
      </c>
      <c r="B774" s="50" t="s">
        <v>1785</v>
      </c>
      <c r="C774" s="50" t="s">
        <v>1624</v>
      </c>
      <c r="D774" s="50" t="s">
        <v>1624</v>
      </c>
      <c r="E774" s="50" t="s">
        <v>1625</v>
      </c>
      <c r="F774" s="50" t="s">
        <v>1626</v>
      </c>
      <c r="G774" s="50" t="s">
        <v>1627</v>
      </c>
      <c r="H774" s="50" t="s">
        <v>1628</v>
      </c>
    </row>
    <row r="775" spans="1:8" hidden="1" x14ac:dyDescent="0.2">
      <c r="A775" s="64" t="s">
        <v>1786</v>
      </c>
      <c r="B775" s="50" t="s">
        <v>1787</v>
      </c>
      <c r="C775" s="50" t="s">
        <v>1624</v>
      </c>
      <c r="D775" s="50" t="s">
        <v>1624</v>
      </c>
      <c r="E775" s="50" t="s">
        <v>1625</v>
      </c>
      <c r="F775" s="50" t="s">
        <v>1626</v>
      </c>
      <c r="G775" s="50" t="s">
        <v>1627</v>
      </c>
      <c r="H775" s="50" t="s">
        <v>1628</v>
      </c>
    </row>
    <row r="776" spans="1:8" hidden="1" x14ac:dyDescent="0.2">
      <c r="A776" s="64" t="s">
        <v>1788</v>
      </c>
      <c r="B776" s="50" t="s">
        <v>1789</v>
      </c>
      <c r="C776" s="50" t="s">
        <v>1624</v>
      </c>
      <c r="D776" s="50" t="s">
        <v>1624</v>
      </c>
      <c r="E776" s="50" t="s">
        <v>1625</v>
      </c>
      <c r="F776" s="50" t="s">
        <v>1626</v>
      </c>
      <c r="G776" s="50" t="s">
        <v>1627</v>
      </c>
      <c r="H776" s="50" t="s">
        <v>1628</v>
      </c>
    </row>
    <row r="777" spans="1:8" hidden="1" x14ac:dyDescent="0.2">
      <c r="A777" s="64" t="s">
        <v>1790</v>
      </c>
      <c r="B777" s="50" t="s">
        <v>1791</v>
      </c>
      <c r="C777" s="50" t="s">
        <v>1624</v>
      </c>
      <c r="D777" s="50" t="s">
        <v>1624</v>
      </c>
      <c r="E777" s="50" t="s">
        <v>1625</v>
      </c>
      <c r="F777" s="50" t="s">
        <v>1626</v>
      </c>
      <c r="G777" s="50" t="s">
        <v>1627</v>
      </c>
      <c r="H777" s="50" t="s">
        <v>1628</v>
      </c>
    </row>
    <row r="778" spans="1:8" hidden="1" x14ac:dyDescent="0.2">
      <c r="A778" s="64" t="s">
        <v>1792</v>
      </c>
      <c r="B778" s="50" t="s">
        <v>1793</v>
      </c>
      <c r="C778" s="50" t="s">
        <v>1624</v>
      </c>
      <c r="D778" s="50" t="s">
        <v>1624</v>
      </c>
      <c r="E778" s="50" t="s">
        <v>1625</v>
      </c>
      <c r="F778" s="50" t="s">
        <v>1626</v>
      </c>
      <c r="G778" s="50" t="s">
        <v>1627</v>
      </c>
      <c r="H778" s="50" t="s">
        <v>1628</v>
      </c>
    </row>
    <row r="779" spans="1:8" hidden="1" x14ac:dyDescent="0.2">
      <c r="A779" s="64" t="s">
        <v>1794</v>
      </c>
      <c r="B779" s="50" t="s">
        <v>1795</v>
      </c>
      <c r="C779" s="50" t="s">
        <v>1624</v>
      </c>
      <c r="D779" s="50" t="s">
        <v>1624</v>
      </c>
      <c r="E779" s="50" t="s">
        <v>1625</v>
      </c>
      <c r="F779" s="50" t="s">
        <v>1626</v>
      </c>
      <c r="G779" s="50" t="s">
        <v>1627</v>
      </c>
      <c r="H779" s="50" t="s">
        <v>1628</v>
      </c>
    </row>
    <row r="780" spans="1:8" hidden="1" x14ac:dyDescent="0.2">
      <c r="A780" s="64" t="s">
        <v>1796</v>
      </c>
      <c r="B780" s="50" t="s">
        <v>2332</v>
      </c>
      <c r="C780" s="50" t="s">
        <v>1624</v>
      </c>
      <c r="D780" s="50" t="s">
        <v>1624</v>
      </c>
      <c r="E780" s="50" t="s">
        <v>1625</v>
      </c>
      <c r="F780" s="50" t="s">
        <v>1626</v>
      </c>
      <c r="G780" s="50" t="s">
        <v>1627</v>
      </c>
      <c r="H780" s="50" t="s">
        <v>1628</v>
      </c>
    </row>
    <row r="781" spans="1:8" hidden="1" x14ac:dyDescent="0.2">
      <c r="A781" s="64" t="s">
        <v>1797</v>
      </c>
      <c r="B781" s="50" t="s">
        <v>1798</v>
      </c>
      <c r="C781" s="50" t="s">
        <v>1624</v>
      </c>
      <c r="D781" s="50" t="s">
        <v>1624</v>
      </c>
      <c r="E781" s="50" t="s">
        <v>1625</v>
      </c>
      <c r="F781" s="50" t="s">
        <v>1626</v>
      </c>
      <c r="G781" s="50" t="s">
        <v>1627</v>
      </c>
      <c r="H781" s="50" t="s">
        <v>1628</v>
      </c>
    </row>
    <row r="782" spans="1:8" hidden="1" x14ac:dyDescent="0.2">
      <c r="A782" s="64" t="s">
        <v>1799</v>
      </c>
      <c r="B782" s="50" t="s">
        <v>1800</v>
      </c>
      <c r="C782" s="50" t="s">
        <v>1624</v>
      </c>
      <c r="D782" s="50" t="s">
        <v>1624</v>
      </c>
      <c r="E782" s="50" t="s">
        <v>1625</v>
      </c>
      <c r="F782" s="50" t="s">
        <v>1626</v>
      </c>
      <c r="G782" s="50" t="s">
        <v>1627</v>
      </c>
      <c r="H782" s="50" t="s">
        <v>1628</v>
      </c>
    </row>
    <row r="783" spans="1:8" hidden="1" x14ac:dyDescent="0.2">
      <c r="A783" s="64" t="s">
        <v>1801</v>
      </c>
      <c r="B783" s="50" t="s">
        <v>1802</v>
      </c>
      <c r="C783" s="50" t="s">
        <v>1624</v>
      </c>
      <c r="D783" s="50" t="s">
        <v>1624</v>
      </c>
      <c r="E783" s="50" t="s">
        <v>1625</v>
      </c>
      <c r="F783" s="50" t="s">
        <v>1626</v>
      </c>
      <c r="G783" s="50" t="s">
        <v>1627</v>
      </c>
      <c r="H783" s="50" t="s">
        <v>1628</v>
      </c>
    </row>
    <row r="784" spans="1:8" hidden="1" x14ac:dyDescent="0.2">
      <c r="A784" s="64" t="s">
        <v>1803</v>
      </c>
      <c r="B784" s="50" t="s">
        <v>2333</v>
      </c>
      <c r="C784" s="50" t="s">
        <v>1624</v>
      </c>
      <c r="D784" s="50" t="s">
        <v>1624</v>
      </c>
      <c r="E784" s="50" t="s">
        <v>1625</v>
      </c>
      <c r="F784" s="50" t="s">
        <v>1626</v>
      </c>
      <c r="G784" s="50" t="s">
        <v>1627</v>
      </c>
      <c r="H784" s="50" t="s">
        <v>1628</v>
      </c>
    </row>
    <row r="785" spans="1:8" hidden="1" x14ac:dyDescent="0.2">
      <c r="A785" s="64" t="s">
        <v>1804</v>
      </c>
      <c r="B785" s="50" t="s">
        <v>1805</v>
      </c>
      <c r="C785" s="50" t="s">
        <v>1624</v>
      </c>
      <c r="D785" s="50" t="s">
        <v>1624</v>
      </c>
      <c r="E785" s="50" t="s">
        <v>1625</v>
      </c>
      <c r="F785" s="50" t="s">
        <v>1626</v>
      </c>
      <c r="G785" s="50" t="s">
        <v>1627</v>
      </c>
      <c r="H785" s="50" t="s">
        <v>1628</v>
      </c>
    </row>
    <row r="786" spans="1:8" hidden="1" x14ac:dyDescent="0.2">
      <c r="A786" s="64" t="s">
        <v>1806</v>
      </c>
      <c r="B786" s="50" t="s">
        <v>1807</v>
      </c>
      <c r="C786" s="50" t="s">
        <v>1624</v>
      </c>
      <c r="D786" s="50" t="s">
        <v>1624</v>
      </c>
      <c r="E786" s="50" t="s">
        <v>1625</v>
      </c>
      <c r="F786" s="50" t="s">
        <v>1626</v>
      </c>
      <c r="G786" s="50" t="s">
        <v>1627</v>
      </c>
      <c r="H786" s="50" t="s">
        <v>1628</v>
      </c>
    </row>
    <row r="787" spans="1:8" hidden="1" x14ac:dyDescent="0.2">
      <c r="A787" s="64" t="s">
        <v>1808</v>
      </c>
      <c r="B787" s="50" t="s">
        <v>1809</v>
      </c>
      <c r="C787" s="50" t="s">
        <v>1624</v>
      </c>
      <c r="D787" s="50" t="s">
        <v>1624</v>
      </c>
      <c r="E787" s="50" t="s">
        <v>1625</v>
      </c>
      <c r="F787" s="50" t="s">
        <v>1626</v>
      </c>
      <c r="G787" s="50" t="s">
        <v>1627</v>
      </c>
      <c r="H787" s="50" t="s">
        <v>1628</v>
      </c>
    </row>
    <row r="788" spans="1:8" hidden="1" x14ac:dyDescent="0.2">
      <c r="A788" s="64" t="s">
        <v>1810</v>
      </c>
      <c r="B788" s="50" t="s">
        <v>1811</v>
      </c>
      <c r="C788" s="50" t="s">
        <v>1812</v>
      </c>
      <c r="D788" s="50" t="s">
        <v>1624</v>
      </c>
      <c r="E788" s="50" t="s">
        <v>1625</v>
      </c>
      <c r="F788" s="50" t="s">
        <v>1626</v>
      </c>
      <c r="G788" s="50" t="s">
        <v>1627</v>
      </c>
      <c r="H788" s="50" t="s">
        <v>1628</v>
      </c>
    </row>
    <row r="789" spans="1:8" hidden="1" x14ac:dyDescent="0.2">
      <c r="A789" s="64" t="s">
        <v>1813</v>
      </c>
      <c r="B789" s="50" t="s">
        <v>1814</v>
      </c>
      <c r="C789" s="50" t="s">
        <v>1812</v>
      </c>
      <c r="D789" s="50" t="s">
        <v>1624</v>
      </c>
      <c r="E789" s="50" t="s">
        <v>1625</v>
      </c>
      <c r="F789" s="50" t="s">
        <v>1626</v>
      </c>
      <c r="G789" s="50" t="s">
        <v>1627</v>
      </c>
      <c r="H789" s="50" t="s">
        <v>1628</v>
      </c>
    </row>
    <row r="790" spans="1:8" hidden="1" x14ac:dyDescent="0.2">
      <c r="A790" s="64" t="s">
        <v>2312</v>
      </c>
      <c r="B790" s="50" t="s">
        <v>2334</v>
      </c>
      <c r="C790" s="50" t="s">
        <v>1812</v>
      </c>
      <c r="D790" s="50" t="s">
        <v>1624</v>
      </c>
      <c r="E790" s="50" t="s">
        <v>1957</v>
      </c>
      <c r="F790" s="50" t="s">
        <v>1628</v>
      </c>
      <c r="G790" s="50" t="s">
        <v>1627</v>
      </c>
      <c r="H790" s="50" t="s">
        <v>1628</v>
      </c>
    </row>
    <row r="791" spans="1:8" hidden="1" x14ac:dyDescent="0.2">
      <c r="A791" s="64" t="s">
        <v>2313</v>
      </c>
      <c r="B791" s="50" t="s">
        <v>2314</v>
      </c>
      <c r="C791" s="50" t="s">
        <v>1812</v>
      </c>
      <c r="D791" s="50" t="s">
        <v>1624</v>
      </c>
      <c r="E791" s="50" t="s">
        <v>1957</v>
      </c>
      <c r="F791" s="50" t="s">
        <v>1628</v>
      </c>
      <c r="G791" s="50" t="s">
        <v>1627</v>
      </c>
      <c r="H791" s="50" t="s">
        <v>1628</v>
      </c>
    </row>
    <row r="792" spans="1:8" hidden="1" x14ac:dyDescent="0.2">
      <c r="A792" s="64" t="s">
        <v>2315</v>
      </c>
      <c r="B792" s="50" t="s">
        <v>2316</v>
      </c>
      <c r="C792" s="50" t="s">
        <v>1812</v>
      </c>
      <c r="D792" s="50" t="s">
        <v>1624</v>
      </c>
      <c r="E792" s="50" t="s">
        <v>1625</v>
      </c>
      <c r="F792" s="50" t="s">
        <v>1626</v>
      </c>
      <c r="G792" s="50" t="s">
        <v>1627</v>
      </c>
      <c r="H792" s="50" t="s">
        <v>1628</v>
      </c>
    </row>
    <row r="793" spans="1:8" hidden="1" x14ac:dyDescent="0.2">
      <c r="A793" s="64" t="s">
        <v>2319</v>
      </c>
      <c r="B793" s="50" t="s">
        <v>2320</v>
      </c>
      <c r="C793" s="50" t="s">
        <v>1812</v>
      </c>
      <c r="D793" s="50" t="s">
        <v>1624</v>
      </c>
      <c r="E793" s="50" t="s">
        <v>1625</v>
      </c>
      <c r="F793" s="50" t="s">
        <v>1626</v>
      </c>
      <c r="G793" s="50" t="s">
        <v>1627</v>
      </c>
      <c r="H793" s="50" t="s">
        <v>1628</v>
      </c>
    </row>
    <row r="794" spans="1:8" hidden="1" x14ac:dyDescent="0.2">
      <c r="A794" s="64" t="s">
        <v>2321</v>
      </c>
      <c r="B794" s="50" t="s">
        <v>2322</v>
      </c>
      <c r="C794" s="50" t="s">
        <v>1812</v>
      </c>
      <c r="D794" s="50" t="s">
        <v>1624</v>
      </c>
      <c r="E794" s="50" t="s">
        <v>1625</v>
      </c>
      <c r="F794" s="50" t="s">
        <v>1626</v>
      </c>
      <c r="G794" s="50" t="s">
        <v>1627</v>
      </c>
      <c r="H794" s="50" t="s">
        <v>1628</v>
      </c>
    </row>
    <row r="795" spans="1:8" hidden="1" x14ac:dyDescent="0.2">
      <c r="A795" s="64" t="s">
        <v>2323</v>
      </c>
      <c r="B795" s="50" t="s">
        <v>2324</v>
      </c>
      <c r="C795" s="50" t="s">
        <v>1812</v>
      </c>
      <c r="D795" s="50" t="s">
        <v>1624</v>
      </c>
      <c r="E795" s="50" t="s">
        <v>1625</v>
      </c>
      <c r="F795" s="50" t="s">
        <v>1626</v>
      </c>
      <c r="G795" s="50" t="s">
        <v>1627</v>
      </c>
      <c r="H795" s="50" t="s">
        <v>1628</v>
      </c>
    </row>
    <row r="796" spans="1:8" hidden="1" x14ac:dyDescent="0.2">
      <c r="A796" s="64" t="s">
        <v>2325</v>
      </c>
      <c r="B796" s="50" t="s">
        <v>2326</v>
      </c>
      <c r="C796" s="50" t="s">
        <v>1812</v>
      </c>
      <c r="D796" s="50" t="s">
        <v>1624</v>
      </c>
      <c r="E796" s="50" t="s">
        <v>1625</v>
      </c>
      <c r="F796" s="50" t="s">
        <v>1626</v>
      </c>
      <c r="G796" s="50" t="s">
        <v>1627</v>
      </c>
      <c r="H796" s="50" t="s">
        <v>1628</v>
      </c>
    </row>
    <row r="797" spans="1:8" hidden="1" x14ac:dyDescent="0.2">
      <c r="A797" s="64" t="s">
        <v>2335</v>
      </c>
      <c r="B797" s="50" t="s">
        <v>2336</v>
      </c>
      <c r="C797" s="50" t="s">
        <v>1812</v>
      </c>
      <c r="D797" s="50" t="s">
        <v>1624</v>
      </c>
      <c r="E797" s="50" t="s">
        <v>1625</v>
      </c>
      <c r="F797" s="50" t="s">
        <v>1626</v>
      </c>
      <c r="G797" s="50" t="s">
        <v>1627</v>
      </c>
      <c r="H797" s="50" t="s">
        <v>1628</v>
      </c>
    </row>
    <row r="798" spans="1:8" hidden="1" x14ac:dyDescent="0.2">
      <c r="A798" s="64" t="s">
        <v>2337</v>
      </c>
      <c r="B798" s="50" t="s">
        <v>2338</v>
      </c>
      <c r="C798" s="50" t="s">
        <v>1812</v>
      </c>
      <c r="D798" s="50" t="s">
        <v>1624</v>
      </c>
      <c r="E798" s="50" t="s">
        <v>1625</v>
      </c>
      <c r="F798" s="50" t="s">
        <v>1626</v>
      </c>
      <c r="G798" s="50" t="s">
        <v>1627</v>
      </c>
      <c r="H798" s="50" t="s">
        <v>1628</v>
      </c>
    </row>
    <row r="799" spans="1:8" hidden="1" x14ac:dyDescent="0.2">
      <c r="A799" s="64" t="s">
        <v>2339</v>
      </c>
      <c r="B799" s="50" t="s">
        <v>2360</v>
      </c>
      <c r="C799" s="50" t="s">
        <v>1812</v>
      </c>
      <c r="D799" s="50" t="s">
        <v>1624</v>
      </c>
      <c r="E799" s="50" t="s">
        <v>1625</v>
      </c>
      <c r="F799" s="50" t="s">
        <v>1626</v>
      </c>
      <c r="G799" s="50" t="s">
        <v>1627</v>
      </c>
      <c r="H799" s="50" t="s">
        <v>1628</v>
      </c>
    </row>
    <row r="800" spans="1:8" hidden="1" x14ac:dyDescent="0.2">
      <c r="A800" s="64" t="s">
        <v>2340</v>
      </c>
      <c r="B800" s="50" t="s">
        <v>2341</v>
      </c>
      <c r="C800" s="50" t="s">
        <v>1812</v>
      </c>
      <c r="D800" s="50" t="s">
        <v>1624</v>
      </c>
      <c r="E800" s="50" t="s">
        <v>1625</v>
      </c>
      <c r="F800" s="50" t="s">
        <v>1626</v>
      </c>
      <c r="G800" s="50" t="s">
        <v>1627</v>
      </c>
      <c r="H800" s="50" t="s">
        <v>1628</v>
      </c>
    </row>
    <row r="801" spans="1:8" hidden="1" x14ac:dyDescent="0.2">
      <c r="A801" s="64" t="s">
        <v>2342</v>
      </c>
      <c r="B801" s="50" t="s">
        <v>2343</v>
      </c>
      <c r="C801" s="50" t="s">
        <v>1812</v>
      </c>
      <c r="D801" s="50" t="s">
        <v>1624</v>
      </c>
      <c r="E801" s="50" t="s">
        <v>1625</v>
      </c>
      <c r="F801" s="50" t="s">
        <v>1626</v>
      </c>
      <c r="G801" s="50" t="s">
        <v>1627</v>
      </c>
      <c r="H801" s="50" t="s">
        <v>1628</v>
      </c>
    </row>
    <row r="802" spans="1:8" hidden="1" x14ac:dyDescent="0.2">
      <c r="A802" s="64" t="s">
        <v>2344</v>
      </c>
      <c r="B802" s="50" t="s">
        <v>2345</v>
      </c>
      <c r="C802" s="50" t="s">
        <v>1812</v>
      </c>
      <c r="D802" s="50" t="s">
        <v>1624</v>
      </c>
      <c r="E802" s="50" t="s">
        <v>1625</v>
      </c>
      <c r="F802" s="50" t="s">
        <v>1626</v>
      </c>
      <c r="G802" s="50" t="s">
        <v>1627</v>
      </c>
      <c r="H802" s="50" t="s">
        <v>1628</v>
      </c>
    </row>
    <row r="803" spans="1:8" hidden="1" x14ac:dyDescent="0.2">
      <c r="A803" s="64" t="s">
        <v>2346</v>
      </c>
      <c r="B803" s="50" t="s">
        <v>2347</v>
      </c>
      <c r="C803" s="50" t="s">
        <v>1812</v>
      </c>
      <c r="D803" s="50" t="s">
        <v>1624</v>
      </c>
      <c r="E803" s="50" t="s">
        <v>1625</v>
      </c>
      <c r="F803" s="50" t="s">
        <v>1626</v>
      </c>
      <c r="G803" s="50" t="s">
        <v>1627</v>
      </c>
      <c r="H803" s="50" t="s">
        <v>1628</v>
      </c>
    </row>
    <row r="804" spans="1:8" hidden="1" x14ac:dyDescent="0.2">
      <c r="A804" s="64" t="s">
        <v>2348</v>
      </c>
      <c r="B804" s="50" t="s">
        <v>2349</v>
      </c>
      <c r="C804" s="50" t="s">
        <v>1812</v>
      </c>
      <c r="D804" s="50" t="s">
        <v>1624</v>
      </c>
      <c r="E804" s="50" t="s">
        <v>1625</v>
      </c>
      <c r="F804" s="50" t="s">
        <v>1626</v>
      </c>
      <c r="G804" s="50" t="s">
        <v>1627</v>
      </c>
      <c r="H804" s="50" t="s">
        <v>1628</v>
      </c>
    </row>
    <row r="805" spans="1:8" hidden="1" x14ac:dyDescent="0.2">
      <c r="A805" s="64" t="s">
        <v>2350</v>
      </c>
      <c r="B805" s="50" t="s">
        <v>2351</v>
      </c>
      <c r="C805" s="50" t="s">
        <v>1812</v>
      </c>
      <c r="D805" s="50" t="s">
        <v>1624</v>
      </c>
      <c r="E805" s="50" t="s">
        <v>1625</v>
      </c>
      <c r="F805" s="50" t="s">
        <v>1626</v>
      </c>
      <c r="G805" s="50" t="s">
        <v>1627</v>
      </c>
      <c r="H805" s="50" t="s">
        <v>1628</v>
      </c>
    </row>
    <row r="806" spans="1:8" hidden="1" x14ac:dyDescent="0.2">
      <c r="A806" s="64" t="s">
        <v>2352</v>
      </c>
      <c r="B806" s="50" t="s">
        <v>2353</v>
      </c>
      <c r="C806" s="50" t="s">
        <v>1812</v>
      </c>
      <c r="D806" s="50" t="s">
        <v>1624</v>
      </c>
      <c r="E806" s="50" t="s">
        <v>1625</v>
      </c>
      <c r="F806" s="50" t="s">
        <v>1626</v>
      </c>
      <c r="G806" s="50" t="s">
        <v>1627</v>
      </c>
      <c r="H806" s="50" t="s">
        <v>1628</v>
      </c>
    </row>
    <row r="807" spans="1:8" hidden="1" x14ac:dyDescent="0.2">
      <c r="A807" s="64" t="s">
        <v>2354</v>
      </c>
      <c r="B807" s="50" t="s">
        <v>2355</v>
      </c>
      <c r="C807" s="50" t="s">
        <v>1812</v>
      </c>
      <c r="D807" s="50" t="s">
        <v>1624</v>
      </c>
      <c r="E807" s="50" t="s">
        <v>1625</v>
      </c>
      <c r="F807" s="50" t="s">
        <v>1626</v>
      </c>
      <c r="G807" s="50" t="s">
        <v>1627</v>
      </c>
      <c r="H807" s="50" t="s">
        <v>1628</v>
      </c>
    </row>
    <row r="808" spans="1:8" hidden="1" x14ac:dyDescent="0.2">
      <c r="A808" s="64" t="s">
        <v>2356</v>
      </c>
      <c r="B808" s="50" t="s">
        <v>2357</v>
      </c>
      <c r="C808" s="50" t="s">
        <v>1812</v>
      </c>
      <c r="D808" s="50" t="s">
        <v>1624</v>
      </c>
      <c r="E808" s="50" t="s">
        <v>1625</v>
      </c>
      <c r="F808" s="50" t="s">
        <v>1626</v>
      </c>
      <c r="G808" s="50" t="s">
        <v>1627</v>
      </c>
      <c r="H808" s="50" t="s">
        <v>1628</v>
      </c>
    </row>
    <row r="809" spans="1:8" hidden="1" x14ac:dyDescent="0.2">
      <c r="A809" s="64" t="s">
        <v>2358</v>
      </c>
      <c r="B809" s="50" t="s">
        <v>2359</v>
      </c>
      <c r="C809" s="50" t="s">
        <v>1812</v>
      </c>
      <c r="D809" s="50" t="s">
        <v>1624</v>
      </c>
      <c r="E809" s="50" t="s">
        <v>1625</v>
      </c>
      <c r="F809" s="50" t="s">
        <v>1626</v>
      </c>
      <c r="G809" s="50" t="s">
        <v>1627</v>
      </c>
      <c r="H809" s="50" t="s">
        <v>1628</v>
      </c>
    </row>
    <row r="810" spans="1:8" ht="13.5" hidden="1" thickBot="1" x14ac:dyDescent="0.25">
      <c r="A810" s="65" t="s">
        <v>2361</v>
      </c>
      <c r="B810" s="51" t="s">
        <v>2362</v>
      </c>
      <c r="C810" s="51" t="s">
        <v>1812</v>
      </c>
      <c r="D810" s="51" t="s">
        <v>1624</v>
      </c>
      <c r="E810" s="51" t="s">
        <v>1625</v>
      </c>
      <c r="F810" s="51" t="s">
        <v>1626</v>
      </c>
      <c r="G810" s="51" t="s">
        <v>1627</v>
      </c>
      <c r="H810" s="51" t="s">
        <v>1628</v>
      </c>
    </row>
  </sheetData>
  <autoFilter ref="A1:H810" xr:uid="{B4859FFB-E770-4C67-8F0D-60F5B7D3E719}">
    <filterColumn colId="7">
      <filters>
        <filter val="ACCOUNTS PAYABLE"/>
        <filter val="ACCRUALS"/>
        <filter val="ADVANCE RENTAL"/>
      </filters>
    </filterColumn>
  </autoFilter>
  <dataValidations count="1">
    <dataValidation type="textLength" errorStyle="information" allowBlank="1" showInputMessage="1" showErrorMessage="1" error="XLBVal:8=Account Code_x000d__x000a_XLBRowCount:8=810_x000d__x000a_XLBColCount:8=8_x000d__x000a_" sqref="A1" xr:uid="{0365428F-DD1F-4848-89C1-2FC82C4800FD}">
      <formula1>0</formula1>
      <formula2>300</formula2>
    </dataValidation>
  </dataValidations>
  <pageMargins left="0.7" right="0.7" top="0.75" bottom="0.75" header="0.3" footer="0.3"/>
  <pageSetup paperSize="9" orientation="portrait" r:id="rId1"/>
  <customProperties>
    <customPr name="QAA_DRILLPATH_NODE_ID" r:id="rId2"/>
  </customPropertie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41039-143E-4823-830C-6FF910C684E7}">
  <sheetPr codeName="Sheet9"/>
  <dimension ref="A1:L80"/>
  <sheetViews>
    <sheetView tabSelected="1" view="pageBreakPreview" zoomScale="60" zoomScaleNormal="100" workbookViewId="0">
      <selection activeCell="E34" sqref="E34"/>
    </sheetView>
  </sheetViews>
  <sheetFormatPr defaultRowHeight="12.75" x14ac:dyDescent="0.2"/>
  <cols>
    <col min="1" max="1" width="30.140625" style="55" customWidth="1"/>
    <col min="2" max="2" width="41.7109375" bestFit="1" customWidth="1"/>
    <col min="4" max="4" width="47" bestFit="1" customWidth="1"/>
    <col min="5" max="5" width="36" customWidth="1"/>
    <col min="6" max="6" width="40.85546875" bestFit="1" customWidth="1"/>
    <col min="7" max="7" width="19.140625" customWidth="1"/>
    <col min="8" max="8" width="20.28515625" customWidth="1"/>
    <col min="9" max="9" width="20.140625" bestFit="1" customWidth="1"/>
    <col min="11" max="11" width="13.42578125" bestFit="1" customWidth="1"/>
    <col min="12" max="12" width="14.28515625" bestFit="1" customWidth="1"/>
  </cols>
  <sheetData>
    <row r="1" spans="1:12" ht="15" x14ac:dyDescent="0.25">
      <c r="A1" s="52" t="s">
        <v>2872</v>
      </c>
      <c r="B1" s="52" t="s">
        <v>865</v>
      </c>
      <c r="E1" s="52" t="s">
        <v>2871</v>
      </c>
      <c r="F1" s="52" t="s">
        <v>865</v>
      </c>
      <c r="H1" s="52" t="str">
        <f>[6]!QAA_DR("1,2,SS6,T2,F=WHU,K=DbC,F=&lt;ALL&gt;,K=/T2/Cde,E=0,O=/T2/Cde,E=0,O=/T2/8,RT=-4154,RF=111111011,AF=1,TP=",)</f>
        <v>Analysis Code</v>
      </c>
      <c r="I1" s="52" t="s">
        <v>865</v>
      </c>
      <c r="K1" s="52" t="str">
        <f>[6]!QAA_SR("1,2,SS6,T3,F=WHU,K=DbC,F=&lt;ALL&gt;,K=/T3/Cde,E=0,O=/T3/Cde,E=0,O=/T3/8,RT=-4154,RF=111111011,AF=1,TP=,EA=0",)</f>
        <v>Analysis Code</v>
      </c>
      <c r="L1" s="52" t="s">
        <v>865</v>
      </c>
    </row>
    <row r="2" spans="1:12" x14ac:dyDescent="0.2">
      <c r="A2">
        <v>1000</v>
      </c>
      <c r="B2" s="50" t="s">
        <v>2133</v>
      </c>
      <c r="D2" t="s">
        <v>2134</v>
      </c>
      <c r="E2" s="53">
        <v>335001</v>
      </c>
      <c r="F2" s="54" t="s">
        <v>2135</v>
      </c>
      <c r="H2">
        <v>300</v>
      </c>
      <c r="I2" s="50" t="s">
        <v>2136</v>
      </c>
      <c r="K2">
        <v>400</v>
      </c>
      <c r="L2" s="50" t="s">
        <v>2137</v>
      </c>
    </row>
    <row r="3" spans="1:12" x14ac:dyDescent="0.2">
      <c r="A3">
        <v>1010</v>
      </c>
      <c r="B3" s="50" t="s">
        <v>869</v>
      </c>
      <c r="D3" t="s">
        <v>2138</v>
      </c>
      <c r="E3" s="53">
        <v>335002</v>
      </c>
      <c r="F3" s="54" t="s">
        <v>2139</v>
      </c>
      <c r="H3">
        <v>301</v>
      </c>
      <c r="I3" s="50" t="s">
        <v>2140</v>
      </c>
      <c r="K3">
        <v>410</v>
      </c>
      <c r="L3" s="50" t="s">
        <v>2141</v>
      </c>
    </row>
    <row r="4" spans="1:12" x14ac:dyDescent="0.2">
      <c r="A4">
        <v>1020</v>
      </c>
      <c r="B4" s="50" t="s">
        <v>767</v>
      </c>
      <c r="D4" t="s">
        <v>2142</v>
      </c>
      <c r="E4" s="53">
        <v>335003</v>
      </c>
      <c r="F4" s="54" t="s">
        <v>2143</v>
      </c>
      <c r="H4">
        <v>302</v>
      </c>
      <c r="I4" s="50" t="s">
        <v>2144</v>
      </c>
      <c r="K4">
        <v>420</v>
      </c>
      <c r="L4" s="50" t="s">
        <v>2145</v>
      </c>
    </row>
    <row r="5" spans="1:12" x14ac:dyDescent="0.2">
      <c r="A5">
        <v>1030</v>
      </c>
      <c r="B5" s="50" t="s">
        <v>872</v>
      </c>
      <c r="D5" t="s">
        <v>2146</v>
      </c>
      <c r="E5" s="53">
        <v>335004</v>
      </c>
      <c r="F5" s="54" t="s">
        <v>2147</v>
      </c>
      <c r="H5">
        <v>303</v>
      </c>
      <c r="I5" s="50" t="s">
        <v>2148</v>
      </c>
      <c r="K5">
        <v>421</v>
      </c>
      <c r="L5" s="50" t="s">
        <v>2149</v>
      </c>
    </row>
    <row r="6" spans="1:12" x14ac:dyDescent="0.2">
      <c r="A6">
        <v>1040</v>
      </c>
      <c r="B6" s="50" t="s">
        <v>2150</v>
      </c>
      <c r="D6" t="s">
        <v>2151</v>
      </c>
      <c r="E6" s="53">
        <v>335005</v>
      </c>
      <c r="F6" s="54" t="s">
        <v>2152</v>
      </c>
      <c r="H6">
        <v>304</v>
      </c>
      <c r="I6" s="50" t="s">
        <v>2153</v>
      </c>
      <c r="K6">
        <v>422</v>
      </c>
      <c r="L6" s="50" t="s">
        <v>2154</v>
      </c>
    </row>
    <row r="7" spans="1:12" x14ac:dyDescent="0.2">
      <c r="A7">
        <v>1200</v>
      </c>
      <c r="B7" s="50" t="s">
        <v>1592</v>
      </c>
      <c r="D7" t="s">
        <v>2155</v>
      </c>
      <c r="E7" s="53">
        <v>335006</v>
      </c>
      <c r="F7" s="54" t="s">
        <v>2156</v>
      </c>
      <c r="H7">
        <v>305</v>
      </c>
      <c r="I7" s="50" t="s">
        <v>2157</v>
      </c>
      <c r="K7">
        <v>423</v>
      </c>
      <c r="L7" s="50" t="s">
        <v>2158</v>
      </c>
    </row>
    <row r="8" spans="1:12" x14ac:dyDescent="0.2">
      <c r="A8">
        <v>1210</v>
      </c>
      <c r="B8" s="50" t="s">
        <v>2159</v>
      </c>
      <c r="D8" t="s">
        <v>2160</v>
      </c>
      <c r="E8" s="53">
        <v>335007</v>
      </c>
      <c r="F8" s="54" t="s">
        <v>2161</v>
      </c>
      <c r="H8">
        <v>306</v>
      </c>
      <c r="I8" s="50" t="s">
        <v>2162</v>
      </c>
      <c r="K8">
        <v>424</v>
      </c>
      <c r="L8" s="50" t="s">
        <v>2163</v>
      </c>
    </row>
    <row r="9" spans="1:12" x14ac:dyDescent="0.2">
      <c r="A9">
        <v>1220</v>
      </c>
      <c r="B9" s="50" t="s">
        <v>2164</v>
      </c>
      <c r="D9" t="s">
        <v>2165</v>
      </c>
      <c r="E9" s="53">
        <v>335008</v>
      </c>
      <c r="F9" s="54" t="s">
        <v>2166</v>
      </c>
      <c r="H9">
        <v>307</v>
      </c>
      <c r="I9" s="50" t="s">
        <v>2167</v>
      </c>
      <c r="K9">
        <v>425</v>
      </c>
      <c r="L9" s="50" t="s">
        <v>2168</v>
      </c>
    </row>
    <row r="10" spans="1:12" x14ac:dyDescent="0.2">
      <c r="A10">
        <v>1230</v>
      </c>
      <c r="B10" s="50" t="s">
        <v>2169</v>
      </c>
      <c r="D10" t="s">
        <v>2170</v>
      </c>
      <c r="E10" s="53">
        <v>335010</v>
      </c>
      <c r="F10" s="54" t="s">
        <v>2171</v>
      </c>
      <c r="H10">
        <v>308</v>
      </c>
      <c r="I10" s="50" t="s">
        <v>2172</v>
      </c>
      <c r="K10">
        <v>426</v>
      </c>
      <c r="L10" s="50" t="s">
        <v>2173</v>
      </c>
    </row>
    <row r="11" spans="1:12" x14ac:dyDescent="0.2">
      <c r="A11">
        <v>2000</v>
      </c>
      <c r="B11" s="50" t="s">
        <v>874</v>
      </c>
      <c r="D11" t="s">
        <v>2174</v>
      </c>
      <c r="E11" s="53">
        <v>335011</v>
      </c>
      <c r="F11" s="54" t="s">
        <v>2175</v>
      </c>
      <c r="H11">
        <v>309</v>
      </c>
      <c r="I11" s="50" t="s">
        <v>2176</v>
      </c>
      <c r="K11">
        <v>427</v>
      </c>
      <c r="L11" s="50" t="s">
        <v>2177</v>
      </c>
    </row>
    <row r="12" spans="1:12" x14ac:dyDescent="0.2">
      <c r="A12">
        <v>2100</v>
      </c>
      <c r="B12" s="50" t="s">
        <v>876</v>
      </c>
      <c r="D12" t="s">
        <v>2178</v>
      </c>
      <c r="E12" s="53">
        <v>335012</v>
      </c>
      <c r="F12" s="54" t="s">
        <v>2179</v>
      </c>
      <c r="H12">
        <v>310</v>
      </c>
      <c r="I12" s="50" t="s">
        <v>2180</v>
      </c>
      <c r="K12">
        <v>428</v>
      </c>
      <c r="L12" s="50" t="s">
        <v>2181</v>
      </c>
    </row>
    <row r="13" spans="1:12" x14ac:dyDescent="0.2">
      <c r="A13">
        <v>2200</v>
      </c>
      <c r="B13" s="50" t="s">
        <v>878</v>
      </c>
      <c r="D13" t="s">
        <v>2182</v>
      </c>
      <c r="E13" s="53">
        <v>335013</v>
      </c>
      <c r="F13" s="54" t="s">
        <v>2183</v>
      </c>
      <c r="H13">
        <v>311</v>
      </c>
      <c r="I13" s="50" t="s">
        <v>2184</v>
      </c>
      <c r="K13">
        <v>429</v>
      </c>
      <c r="L13" s="50" t="s">
        <v>2185</v>
      </c>
    </row>
    <row r="14" spans="1:12" ht="13.5" thickBot="1" x14ac:dyDescent="0.25">
      <c r="A14">
        <v>2300</v>
      </c>
      <c r="B14" s="50" t="s">
        <v>880</v>
      </c>
      <c r="D14" t="s">
        <v>2186</v>
      </c>
      <c r="E14" s="53">
        <v>335015</v>
      </c>
      <c r="F14" s="54" t="s">
        <v>2187</v>
      </c>
      <c r="H14" s="2">
        <v>320</v>
      </c>
      <c r="I14" s="51" t="s">
        <v>444</v>
      </c>
      <c r="K14">
        <v>430</v>
      </c>
      <c r="L14" s="50" t="s">
        <v>2188</v>
      </c>
    </row>
    <row r="15" spans="1:12" x14ac:dyDescent="0.2">
      <c r="A15">
        <v>2400</v>
      </c>
      <c r="B15" s="50" t="s">
        <v>886</v>
      </c>
      <c r="D15" t="s">
        <v>2189</v>
      </c>
      <c r="E15" s="53">
        <v>335016</v>
      </c>
      <c r="F15" s="54" t="s">
        <v>2190</v>
      </c>
      <c r="K15">
        <v>431</v>
      </c>
      <c r="L15" s="50" t="s">
        <v>2191</v>
      </c>
    </row>
    <row r="16" spans="1:12" x14ac:dyDescent="0.2">
      <c r="A16">
        <v>2500</v>
      </c>
      <c r="B16" s="50" t="s">
        <v>884</v>
      </c>
      <c r="D16" t="s">
        <v>2192</v>
      </c>
      <c r="E16" s="53">
        <v>335017</v>
      </c>
      <c r="F16" s="60" t="s">
        <v>2193</v>
      </c>
      <c r="K16">
        <v>432</v>
      </c>
      <c r="L16" s="50" t="s">
        <v>2194</v>
      </c>
    </row>
    <row r="17" spans="1:12" x14ac:dyDescent="0.2">
      <c r="A17">
        <v>2600</v>
      </c>
      <c r="B17" s="50" t="s">
        <v>882</v>
      </c>
      <c r="D17" t="s">
        <v>2195</v>
      </c>
      <c r="E17" s="53">
        <v>335018</v>
      </c>
      <c r="F17" s="54" t="s">
        <v>2196</v>
      </c>
      <c r="K17">
        <v>433</v>
      </c>
      <c r="L17" s="50" t="s">
        <v>2197</v>
      </c>
    </row>
    <row r="18" spans="1:12" x14ac:dyDescent="0.2">
      <c r="A18">
        <v>2700</v>
      </c>
      <c r="B18" s="50" t="s">
        <v>1600</v>
      </c>
      <c r="D18" t="s">
        <v>2198</v>
      </c>
      <c r="E18" s="53">
        <v>335019</v>
      </c>
      <c r="F18" s="54" t="s">
        <v>2199</v>
      </c>
      <c r="K18">
        <v>434</v>
      </c>
      <c r="L18" s="50" t="s">
        <v>2200</v>
      </c>
    </row>
    <row r="19" spans="1:12" x14ac:dyDescent="0.2">
      <c r="A19">
        <v>2800</v>
      </c>
      <c r="B19" s="50" t="s">
        <v>1601</v>
      </c>
      <c r="D19" t="s">
        <v>2201</v>
      </c>
      <c r="E19" s="53">
        <v>335020</v>
      </c>
      <c r="F19" s="54" t="s">
        <v>2202</v>
      </c>
      <c r="K19">
        <v>435</v>
      </c>
      <c r="L19" s="50" t="s">
        <v>2203</v>
      </c>
    </row>
    <row r="20" spans="1:12" x14ac:dyDescent="0.2">
      <c r="A20">
        <v>2900</v>
      </c>
      <c r="B20" s="50" t="s">
        <v>1602</v>
      </c>
      <c r="D20" t="s">
        <v>2204</v>
      </c>
      <c r="E20" s="53">
        <v>335021</v>
      </c>
      <c r="F20" s="54" t="s">
        <v>2205</v>
      </c>
      <c r="K20">
        <v>436</v>
      </c>
      <c r="L20" s="50" t="s">
        <v>2206</v>
      </c>
    </row>
    <row r="21" spans="1:12" x14ac:dyDescent="0.2">
      <c r="A21">
        <v>3000</v>
      </c>
      <c r="B21" s="50" t="s">
        <v>1603</v>
      </c>
      <c r="D21" t="s">
        <v>2207</v>
      </c>
      <c r="E21" s="53">
        <v>335022</v>
      </c>
      <c r="F21" s="54" t="s">
        <v>2208</v>
      </c>
      <c r="K21">
        <v>437</v>
      </c>
      <c r="L21" s="50" t="s">
        <v>2209</v>
      </c>
    </row>
    <row r="22" spans="1:12" x14ac:dyDescent="0.2">
      <c r="A22">
        <v>3100</v>
      </c>
      <c r="B22" s="50" t="s">
        <v>1604</v>
      </c>
      <c r="D22" t="s">
        <v>2210</v>
      </c>
      <c r="E22" s="53">
        <v>335023</v>
      </c>
      <c r="F22" s="54" t="s">
        <v>2211</v>
      </c>
      <c r="K22">
        <v>438</v>
      </c>
      <c r="L22" s="50" t="s">
        <v>2212</v>
      </c>
    </row>
    <row r="23" spans="1:12" x14ac:dyDescent="0.2">
      <c r="A23">
        <v>3200</v>
      </c>
      <c r="B23" s="50" t="s">
        <v>1605</v>
      </c>
      <c r="D23" t="s">
        <v>2213</v>
      </c>
      <c r="E23" s="53">
        <v>335024</v>
      </c>
      <c r="F23" s="54" t="s">
        <v>2214</v>
      </c>
      <c r="K23">
        <v>439</v>
      </c>
      <c r="L23" s="50" t="s">
        <v>2215</v>
      </c>
    </row>
    <row r="24" spans="1:12" x14ac:dyDescent="0.2">
      <c r="A24">
        <v>3300</v>
      </c>
      <c r="B24" s="50" t="s">
        <v>1606</v>
      </c>
      <c r="D24" t="s">
        <v>2216</v>
      </c>
      <c r="E24" s="53">
        <v>335025</v>
      </c>
      <c r="F24" s="54" t="s">
        <v>2217</v>
      </c>
      <c r="K24">
        <v>440</v>
      </c>
      <c r="L24" s="50" t="s">
        <v>2218</v>
      </c>
    </row>
    <row r="25" spans="1:12" ht="13.5" thickBot="1" x14ac:dyDescent="0.25">
      <c r="A25">
        <v>3400</v>
      </c>
      <c r="B25" s="50" t="s">
        <v>1607</v>
      </c>
      <c r="D25" t="s">
        <v>2155</v>
      </c>
      <c r="E25" s="53">
        <v>335026</v>
      </c>
      <c r="F25" s="54" t="s">
        <v>2219</v>
      </c>
      <c r="K25">
        <v>441</v>
      </c>
      <c r="L25" s="50" t="s">
        <v>2220</v>
      </c>
    </row>
    <row r="26" spans="1:12" ht="15" x14ac:dyDescent="0.25">
      <c r="A26">
        <v>3500</v>
      </c>
      <c r="B26" s="50" t="s">
        <v>1608</v>
      </c>
      <c r="E26" s="52" t="s">
        <v>2870</v>
      </c>
      <c r="F26" s="52" t="s">
        <v>865</v>
      </c>
      <c r="K26">
        <v>442</v>
      </c>
      <c r="L26" s="50" t="s">
        <v>2223</v>
      </c>
    </row>
    <row r="27" spans="1:12" x14ac:dyDescent="0.2">
      <c r="A27">
        <v>3600</v>
      </c>
      <c r="B27" s="50" t="s">
        <v>1609</v>
      </c>
      <c r="D27" t="s">
        <v>2221</v>
      </c>
      <c r="E27">
        <v>900100</v>
      </c>
      <c r="F27" s="50" t="s">
        <v>2222</v>
      </c>
      <c r="K27">
        <v>443</v>
      </c>
      <c r="L27" s="50" t="s">
        <v>2226</v>
      </c>
    </row>
    <row r="28" spans="1:12" x14ac:dyDescent="0.2">
      <c r="A28">
        <v>4000</v>
      </c>
      <c r="B28" s="50" t="s">
        <v>1610</v>
      </c>
      <c r="D28" t="s">
        <v>2224</v>
      </c>
      <c r="E28">
        <v>900200</v>
      </c>
      <c r="F28" s="50" t="s">
        <v>2225</v>
      </c>
      <c r="K28">
        <v>444</v>
      </c>
      <c r="L28" s="50" t="s">
        <v>2229</v>
      </c>
    </row>
    <row r="29" spans="1:12" x14ac:dyDescent="0.2">
      <c r="A29">
        <v>4100</v>
      </c>
      <c r="B29" s="50" t="s">
        <v>1611</v>
      </c>
      <c r="D29" t="s">
        <v>2227</v>
      </c>
      <c r="E29">
        <v>900300</v>
      </c>
      <c r="F29" s="50" t="s">
        <v>2228</v>
      </c>
      <c r="K29">
        <v>445</v>
      </c>
      <c r="L29" s="50" t="s">
        <v>2232</v>
      </c>
    </row>
    <row r="30" spans="1:12" x14ac:dyDescent="0.2">
      <c r="A30">
        <v>4200</v>
      </c>
      <c r="B30" s="50" t="s">
        <v>1612</v>
      </c>
      <c r="D30" t="s">
        <v>2230</v>
      </c>
      <c r="E30">
        <v>900400</v>
      </c>
      <c r="F30" s="50" t="s">
        <v>2231</v>
      </c>
      <c r="K30">
        <v>446</v>
      </c>
      <c r="L30" s="50" t="s">
        <v>2235</v>
      </c>
    </row>
    <row r="31" spans="1:12" x14ac:dyDescent="0.2">
      <c r="A31">
        <v>4300</v>
      </c>
      <c r="B31" s="50" t="s">
        <v>1613</v>
      </c>
      <c r="D31" t="s">
        <v>2233</v>
      </c>
      <c r="E31">
        <v>900500</v>
      </c>
      <c r="F31" s="50" t="s">
        <v>2234</v>
      </c>
      <c r="K31">
        <v>447</v>
      </c>
      <c r="L31" s="50" t="s">
        <v>2238</v>
      </c>
    </row>
    <row r="32" spans="1:12" x14ac:dyDescent="0.2">
      <c r="A32">
        <v>4400</v>
      </c>
      <c r="B32" s="50" t="s">
        <v>217</v>
      </c>
      <c r="D32" t="s">
        <v>2236</v>
      </c>
      <c r="E32">
        <v>901100</v>
      </c>
      <c r="F32" s="50" t="s">
        <v>2237</v>
      </c>
      <c r="K32">
        <v>448</v>
      </c>
      <c r="L32" s="50" t="s">
        <v>2241</v>
      </c>
    </row>
    <row r="33" spans="1:12" x14ac:dyDescent="0.2">
      <c r="A33">
        <v>4500</v>
      </c>
      <c r="B33" s="50" t="s">
        <v>2242</v>
      </c>
      <c r="D33" t="s">
        <v>2239</v>
      </c>
      <c r="E33">
        <v>901200</v>
      </c>
      <c r="F33" s="50" t="s">
        <v>2240</v>
      </c>
      <c r="K33">
        <v>449</v>
      </c>
      <c r="L33" s="50" t="s">
        <v>2245</v>
      </c>
    </row>
    <row r="34" spans="1:12" x14ac:dyDescent="0.2">
      <c r="A34">
        <v>4600</v>
      </c>
      <c r="B34" s="50" t="s">
        <v>910</v>
      </c>
      <c r="D34" t="s">
        <v>2243</v>
      </c>
      <c r="E34">
        <v>901300</v>
      </c>
      <c r="F34" s="50" t="s">
        <v>2244</v>
      </c>
      <c r="K34">
        <v>450</v>
      </c>
      <c r="L34" s="50" t="s">
        <v>2248</v>
      </c>
    </row>
    <row r="35" spans="1:12" x14ac:dyDescent="0.2">
      <c r="A35">
        <v>4700</v>
      </c>
      <c r="B35" s="50" t="s">
        <v>908</v>
      </c>
      <c r="D35" t="s">
        <v>2246</v>
      </c>
      <c r="E35">
        <v>901400</v>
      </c>
      <c r="F35" s="50" t="s">
        <v>2247</v>
      </c>
      <c r="K35">
        <v>451</v>
      </c>
      <c r="L35" s="50" t="s">
        <v>2251</v>
      </c>
    </row>
    <row r="36" spans="1:12" x14ac:dyDescent="0.2">
      <c r="A36">
        <v>4800</v>
      </c>
      <c r="B36" s="50" t="s">
        <v>218</v>
      </c>
      <c r="D36" t="s">
        <v>2249</v>
      </c>
      <c r="E36">
        <v>901500</v>
      </c>
      <c r="F36" s="50" t="s">
        <v>2250</v>
      </c>
      <c r="K36">
        <v>452</v>
      </c>
      <c r="L36" s="50" t="s">
        <v>2254</v>
      </c>
    </row>
    <row r="37" spans="1:12" x14ac:dyDescent="0.2">
      <c r="A37">
        <v>4900</v>
      </c>
      <c r="B37" s="50" t="s">
        <v>220</v>
      </c>
      <c r="D37" t="s">
        <v>2252</v>
      </c>
      <c r="E37">
        <v>902100</v>
      </c>
      <c r="F37" s="50" t="s">
        <v>2253</v>
      </c>
      <c r="K37">
        <v>453</v>
      </c>
      <c r="L37" s="50" t="s">
        <v>2257</v>
      </c>
    </row>
    <row r="38" spans="1:12" x14ac:dyDescent="0.2">
      <c r="A38">
        <v>5000</v>
      </c>
      <c r="B38" s="50" t="s">
        <v>917</v>
      </c>
      <c r="D38" t="s">
        <v>2255</v>
      </c>
      <c r="E38">
        <v>910100</v>
      </c>
      <c r="F38" s="50" t="s">
        <v>2256</v>
      </c>
      <c r="K38">
        <v>454</v>
      </c>
      <c r="L38" s="50" t="s">
        <v>2260</v>
      </c>
    </row>
    <row r="39" spans="1:12" x14ac:dyDescent="0.2">
      <c r="A39">
        <v>6000</v>
      </c>
      <c r="B39" s="50" t="s">
        <v>1615</v>
      </c>
      <c r="D39" t="s">
        <v>2258</v>
      </c>
      <c r="E39">
        <v>910101</v>
      </c>
      <c r="F39" s="50" t="s">
        <v>2259</v>
      </c>
      <c r="K39">
        <v>455</v>
      </c>
      <c r="L39" s="50" t="s">
        <v>2263</v>
      </c>
    </row>
    <row r="40" spans="1:12" x14ac:dyDescent="0.2">
      <c r="A40">
        <v>6010</v>
      </c>
      <c r="B40" s="50" t="s">
        <v>169</v>
      </c>
      <c r="D40" t="s">
        <v>2261</v>
      </c>
      <c r="E40">
        <v>910102</v>
      </c>
      <c r="F40" s="50" t="s">
        <v>2262</v>
      </c>
      <c r="K40">
        <v>456</v>
      </c>
      <c r="L40" s="50" t="s">
        <v>2266</v>
      </c>
    </row>
    <row r="41" spans="1:12" x14ac:dyDescent="0.2">
      <c r="A41">
        <v>6020</v>
      </c>
      <c r="B41" s="50" t="s">
        <v>168</v>
      </c>
      <c r="D41" t="s">
        <v>2264</v>
      </c>
      <c r="E41">
        <v>910110</v>
      </c>
      <c r="F41" s="50" t="s">
        <v>2265</v>
      </c>
      <c r="K41">
        <v>457</v>
      </c>
      <c r="L41" s="50" t="s">
        <v>2269</v>
      </c>
    </row>
    <row r="42" spans="1:12" x14ac:dyDescent="0.2">
      <c r="A42">
        <v>6030</v>
      </c>
      <c r="B42" s="50" t="s">
        <v>167</v>
      </c>
      <c r="D42" t="s">
        <v>2267</v>
      </c>
      <c r="E42">
        <v>910111</v>
      </c>
      <c r="F42" s="50" t="s">
        <v>2268</v>
      </c>
      <c r="K42">
        <v>458</v>
      </c>
      <c r="L42" s="50" t="s">
        <v>2272</v>
      </c>
    </row>
    <row r="43" spans="1:12" x14ac:dyDescent="0.2">
      <c r="A43">
        <v>6040</v>
      </c>
      <c r="B43" s="50" t="s">
        <v>166</v>
      </c>
      <c r="D43" t="s">
        <v>2270</v>
      </c>
      <c r="E43">
        <v>910120</v>
      </c>
      <c r="F43" s="50" t="s">
        <v>2271</v>
      </c>
      <c r="K43">
        <v>459</v>
      </c>
      <c r="L43" s="50" t="s">
        <v>2275</v>
      </c>
    </row>
    <row r="44" spans="1:12" x14ac:dyDescent="0.2">
      <c r="A44">
        <v>6050</v>
      </c>
      <c r="B44" s="50" t="s">
        <v>160</v>
      </c>
      <c r="D44" t="s">
        <v>2273</v>
      </c>
      <c r="E44">
        <v>910121</v>
      </c>
      <c r="F44" s="50" t="s">
        <v>2274</v>
      </c>
      <c r="K44">
        <v>460</v>
      </c>
      <c r="L44" s="50" t="s">
        <v>2278</v>
      </c>
    </row>
    <row r="45" spans="1:12" ht="13.5" thickBot="1" x14ac:dyDescent="0.25">
      <c r="A45">
        <v>6100</v>
      </c>
      <c r="B45" s="50" t="s">
        <v>924</v>
      </c>
      <c r="D45" t="s">
        <v>2276</v>
      </c>
      <c r="E45">
        <v>910130</v>
      </c>
      <c r="F45" s="50" t="s">
        <v>2277</v>
      </c>
      <c r="K45" s="2">
        <v>461</v>
      </c>
      <c r="L45" s="51" t="s">
        <v>2281</v>
      </c>
    </row>
    <row r="46" spans="1:12" x14ac:dyDescent="0.2">
      <c r="A46">
        <v>6200</v>
      </c>
      <c r="B46" s="50" t="s">
        <v>926</v>
      </c>
      <c r="D46" t="s">
        <v>2279</v>
      </c>
      <c r="E46">
        <v>910140</v>
      </c>
      <c r="F46" s="50" t="s">
        <v>2280</v>
      </c>
    </row>
    <row r="47" spans="1:12" x14ac:dyDescent="0.2">
      <c r="A47">
        <v>6300</v>
      </c>
      <c r="B47" s="50" t="s">
        <v>165</v>
      </c>
      <c r="D47" t="s">
        <v>2282</v>
      </c>
      <c r="E47">
        <v>910141</v>
      </c>
      <c r="F47" s="50" t="s">
        <v>2283</v>
      </c>
    </row>
    <row r="48" spans="1:12" x14ac:dyDescent="0.2">
      <c r="A48">
        <v>6400</v>
      </c>
      <c r="B48" s="50" t="s">
        <v>164</v>
      </c>
      <c r="D48" t="s">
        <v>2284</v>
      </c>
      <c r="E48">
        <v>910150</v>
      </c>
      <c r="F48" s="50" t="s">
        <v>2285</v>
      </c>
    </row>
    <row r="49" spans="1:6" x14ac:dyDescent="0.2">
      <c r="A49">
        <v>7000</v>
      </c>
      <c r="B49" s="50" t="s">
        <v>223</v>
      </c>
      <c r="D49" t="s">
        <v>2286</v>
      </c>
      <c r="E49">
        <v>910160</v>
      </c>
      <c r="F49" s="50" t="s">
        <v>2287</v>
      </c>
    </row>
    <row r="50" spans="1:6" x14ac:dyDescent="0.2">
      <c r="A50">
        <v>7500</v>
      </c>
      <c r="B50" s="50" t="s">
        <v>1617</v>
      </c>
      <c r="D50" t="s">
        <v>2288</v>
      </c>
      <c r="E50">
        <v>910170</v>
      </c>
      <c r="F50" s="50" t="s">
        <v>2289</v>
      </c>
    </row>
    <row r="51" spans="1:6" x14ac:dyDescent="0.2">
      <c r="A51">
        <v>8000</v>
      </c>
      <c r="B51" s="50" t="s">
        <v>282</v>
      </c>
      <c r="D51" t="s">
        <v>2290</v>
      </c>
      <c r="E51">
        <v>910180</v>
      </c>
      <c r="F51" s="50" t="s">
        <v>2291</v>
      </c>
    </row>
    <row r="52" spans="1:6" x14ac:dyDescent="0.2">
      <c r="A52">
        <v>8500</v>
      </c>
      <c r="B52" s="50" t="s">
        <v>233</v>
      </c>
      <c r="D52" t="s">
        <v>2292</v>
      </c>
      <c r="E52">
        <v>910190</v>
      </c>
      <c r="F52" s="50" t="s">
        <v>2293</v>
      </c>
    </row>
    <row r="53" spans="1:6" ht="13.5" thickBot="1" x14ac:dyDescent="0.25">
      <c r="A53" s="2">
        <v>9000</v>
      </c>
      <c r="B53" s="51" t="s">
        <v>934</v>
      </c>
      <c r="D53" t="s">
        <v>2294</v>
      </c>
      <c r="E53">
        <v>910201</v>
      </c>
      <c r="F53" s="50" t="s">
        <v>2295</v>
      </c>
    </row>
    <row r="54" spans="1:6" x14ac:dyDescent="0.2">
      <c r="D54" t="s">
        <v>2296</v>
      </c>
      <c r="E54">
        <v>910202</v>
      </c>
      <c r="F54" s="50" t="s">
        <v>2297</v>
      </c>
    </row>
    <row r="55" spans="1:6" x14ac:dyDescent="0.2">
      <c r="A55"/>
      <c r="D55" t="s">
        <v>2298</v>
      </c>
      <c r="E55">
        <v>910203</v>
      </c>
      <c r="F55" s="50" t="s">
        <v>2299</v>
      </c>
    </row>
    <row r="56" spans="1:6" x14ac:dyDescent="0.2">
      <c r="A56"/>
      <c r="D56" t="s">
        <v>2300</v>
      </c>
      <c r="E56">
        <v>910204</v>
      </c>
      <c r="F56" s="50" t="s">
        <v>2301</v>
      </c>
    </row>
    <row r="57" spans="1:6" ht="13.5" thickBot="1" x14ac:dyDescent="0.25">
      <c r="A57"/>
      <c r="D57" t="s">
        <v>2302</v>
      </c>
      <c r="E57" s="2">
        <v>910205</v>
      </c>
      <c r="F57" s="51" t="s">
        <v>2303</v>
      </c>
    </row>
    <row r="58" spans="1:6" x14ac:dyDescent="0.2">
      <c r="A58"/>
    </row>
    <row r="59" spans="1:6" x14ac:dyDescent="0.2">
      <c r="A59"/>
    </row>
    <row r="60" spans="1:6" x14ac:dyDescent="0.2">
      <c r="A60"/>
    </row>
    <row r="61" spans="1:6" x14ac:dyDescent="0.2">
      <c r="A61"/>
    </row>
    <row r="62" spans="1:6" x14ac:dyDescent="0.2">
      <c r="A62"/>
    </row>
    <row r="63" spans="1:6" x14ac:dyDescent="0.2">
      <c r="A63"/>
    </row>
    <row r="64" spans="1:6" x14ac:dyDescent="0.2">
      <c r="A64"/>
    </row>
    <row r="65" spans="1:1" x14ac:dyDescent="0.2">
      <c r="A65"/>
    </row>
    <row r="66" spans="1:1" x14ac:dyDescent="0.2">
      <c r="A66"/>
    </row>
    <row r="67" spans="1:1" x14ac:dyDescent="0.2">
      <c r="A67"/>
    </row>
    <row r="68" spans="1:1" x14ac:dyDescent="0.2">
      <c r="A68"/>
    </row>
    <row r="69" spans="1:1" x14ac:dyDescent="0.2">
      <c r="A69"/>
    </row>
    <row r="70" spans="1:1" x14ac:dyDescent="0.2">
      <c r="A70"/>
    </row>
    <row r="71" spans="1:1" x14ac:dyDescent="0.2">
      <c r="A71"/>
    </row>
    <row r="72" spans="1:1" x14ac:dyDescent="0.2">
      <c r="A72"/>
    </row>
    <row r="73" spans="1:1" x14ac:dyDescent="0.2">
      <c r="A73"/>
    </row>
    <row r="74" spans="1:1" x14ac:dyDescent="0.2">
      <c r="A74"/>
    </row>
    <row r="75" spans="1:1" x14ac:dyDescent="0.2">
      <c r="A75"/>
    </row>
    <row r="76" spans="1:1" x14ac:dyDescent="0.2">
      <c r="A76"/>
    </row>
    <row r="77" spans="1:1" x14ac:dyDescent="0.2">
      <c r="A77"/>
    </row>
    <row r="78" spans="1:1" x14ac:dyDescent="0.2">
      <c r="A78"/>
    </row>
    <row r="79" spans="1:1" x14ac:dyDescent="0.2">
      <c r="A79"/>
    </row>
    <row r="80" spans="1:1" x14ac:dyDescent="0.2">
      <c r="A80"/>
    </row>
  </sheetData>
  <dataValidations count="4">
    <dataValidation type="textLength" errorStyle="information" allowBlank="1" showInputMessage="1" showErrorMessage="1" error="XLBVal:8=Analysis Code_x000d__x000a_XLBRowCount:8=14_x000d__x000a_XLBColCount:8=2_x000d__x000a_" sqref="H1" xr:uid="{3A9ACD03-053F-413D-A467-B5F796FC9A93}">
      <formula1>0</formula1>
      <formula2>300</formula2>
    </dataValidation>
    <dataValidation type="textLength" errorStyle="information" allowBlank="1" showInputMessage="1" showErrorMessage="1" error="XLBVal:8=Analysis Code_x000d__x000a_XLBRowCount:8=56_x000d__x000a_XLBColCount:8=2_x000d__x000a_" sqref="E1 E26" xr:uid="{A6D21E8D-C80F-48D3-8F1A-C533EE1A67F4}">
      <formula1>0</formula1>
      <formula2>300</formula2>
    </dataValidation>
    <dataValidation type="textLength" errorStyle="information" allowBlank="1" showInputMessage="1" showErrorMessage="1" error="XLBVal:8=Analysis Code_x000d__x000a_XLBRowCount:8=53_x000d__x000a_XLBColCount:8=2_x000d__x000a_" sqref="A1" xr:uid="{BE03DA3E-2E5C-4224-8F3A-07217C2489D9}">
      <formula1>0</formula1>
      <formula2>300</formula2>
    </dataValidation>
    <dataValidation type="textLength" errorStyle="information" allowBlank="1" showInputMessage="1" showErrorMessage="1" error="XLBVal:8=Analysis Code_x000d__x000a_XLBRowCount:8=45_x000d__x000a_XLBColCount:8=2_x000d__x000a_" sqref="K1" xr:uid="{B20E19D9-111C-44B4-B925-EA328F23161C}">
      <formula1>0</formula1>
      <formula2>300</formula2>
    </dataValidation>
  </dataValidations>
  <pageMargins left="0.7" right="0.7" top="0.75" bottom="0.75" header="0.3" footer="0.3"/>
  <pageSetup paperSize="9" scale="72" orientation="portrait" r:id="rId1"/>
  <colBreaks count="3" manualBreakCount="3">
    <brk id="3" max="79" man="1"/>
    <brk id="6" max="1048575" man="1"/>
    <brk id="9" max="1048575" man="1"/>
  </colBreaks>
  <customProperties>
    <customPr name="QAA_DRILLPATH_NODE_ID" r:id="rId2"/>
  </customPropertie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B1:I204"/>
  <sheetViews>
    <sheetView topLeftCell="A37" workbookViewId="0">
      <selection activeCell="G24" sqref="G24"/>
    </sheetView>
  </sheetViews>
  <sheetFormatPr defaultRowHeight="12.75" x14ac:dyDescent="0.2"/>
  <cols>
    <col min="4" max="4" width="40.42578125" bestFit="1" customWidth="1"/>
    <col min="6" max="6" width="9.140625" customWidth="1"/>
  </cols>
  <sheetData>
    <row r="1" spans="2:9" x14ac:dyDescent="0.2">
      <c r="D1" t="s">
        <v>1075</v>
      </c>
      <c r="F1" t="s">
        <v>1076</v>
      </c>
    </row>
    <row r="3" spans="2:9" x14ac:dyDescent="0.2">
      <c r="B3" s="8"/>
      <c r="C3" s="4" t="s">
        <v>806</v>
      </c>
      <c r="D3" s="6" t="s">
        <v>248</v>
      </c>
    </row>
    <row r="4" spans="2:9" x14ac:dyDescent="0.2">
      <c r="B4" s="8"/>
      <c r="C4" s="3" t="s">
        <v>807</v>
      </c>
      <c r="D4" s="5" t="s">
        <v>30</v>
      </c>
    </row>
    <row r="5" spans="2:9" x14ac:dyDescent="0.2">
      <c r="B5" s="8"/>
      <c r="C5" s="4" t="s">
        <v>808</v>
      </c>
      <c r="D5" s="6" t="s">
        <v>249</v>
      </c>
    </row>
    <row r="6" spans="2:9" x14ac:dyDescent="0.2">
      <c r="B6" s="8"/>
      <c r="C6" s="3" t="s">
        <v>809</v>
      </c>
      <c r="D6" s="5" t="s">
        <v>250</v>
      </c>
    </row>
    <row r="7" spans="2:9" ht="13.5" thickBot="1" x14ac:dyDescent="0.25">
      <c r="B7" s="8"/>
      <c r="C7" s="4" t="s">
        <v>810</v>
      </c>
      <c r="D7" s="6" t="s">
        <v>251</v>
      </c>
    </row>
    <row r="8" spans="2:9" x14ac:dyDescent="0.2">
      <c r="B8" s="9" t="s">
        <v>1066</v>
      </c>
      <c r="C8" s="3" t="s">
        <v>811</v>
      </c>
      <c r="D8" s="5" t="s">
        <v>812</v>
      </c>
      <c r="H8" s="10" t="e">
        <f ca="1">[7]!AG_SMRT("0,Summary Report 5,1")</f>
        <v>#NAME?</v>
      </c>
      <c r="I8" s="10" t="s">
        <v>299</v>
      </c>
    </row>
    <row r="9" spans="2:9" x14ac:dyDescent="0.2">
      <c r="B9" s="9" t="s">
        <v>1066</v>
      </c>
      <c r="C9" s="4" t="s">
        <v>813</v>
      </c>
      <c r="D9" s="6" t="s">
        <v>814</v>
      </c>
      <c r="H9" t="s">
        <v>1079</v>
      </c>
      <c r="I9" t="s">
        <v>1080</v>
      </c>
    </row>
    <row r="10" spans="2:9" x14ac:dyDescent="0.2">
      <c r="B10" s="9" t="s">
        <v>1066</v>
      </c>
      <c r="C10" s="3" t="s">
        <v>815</v>
      </c>
      <c r="D10" s="5" t="s">
        <v>254</v>
      </c>
      <c r="H10" t="s">
        <v>1081</v>
      </c>
      <c r="I10" t="s">
        <v>1082</v>
      </c>
    </row>
    <row r="11" spans="2:9" x14ac:dyDescent="0.2">
      <c r="B11" s="9" t="s">
        <v>1066</v>
      </c>
      <c r="C11" s="4" t="s">
        <v>816</v>
      </c>
      <c r="D11" s="6" t="s">
        <v>255</v>
      </c>
      <c r="H11" t="s">
        <v>1083</v>
      </c>
      <c r="I11" t="s">
        <v>1084</v>
      </c>
    </row>
    <row r="12" spans="2:9" x14ac:dyDescent="0.2">
      <c r="B12" s="9" t="s">
        <v>1067</v>
      </c>
      <c r="C12" s="3" t="s">
        <v>819</v>
      </c>
      <c r="D12" s="5" t="s">
        <v>820</v>
      </c>
      <c r="H12" t="s">
        <v>1085</v>
      </c>
      <c r="I12" t="s">
        <v>1086</v>
      </c>
    </row>
    <row r="13" spans="2:9" x14ac:dyDescent="0.2">
      <c r="B13" s="9" t="s">
        <v>1067</v>
      </c>
      <c r="C13" s="4" t="s">
        <v>817</v>
      </c>
      <c r="D13" s="6" t="s">
        <v>818</v>
      </c>
      <c r="H13" t="s">
        <v>1087</v>
      </c>
      <c r="I13" t="s">
        <v>1088</v>
      </c>
    </row>
    <row r="14" spans="2:9" x14ac:dyDescent="0.2">
      <c r="B14" s="9" t="s">
        <v>1067</v>
      </c>
      <c r="C14" s="3" t="s">
        <v>821</v>
      </c>
      <c r="D14" s="5" t="s">
        <v>822</v>
      </c>
      <c r="H14" t="s">
        <v>1089</v>
      </c>
      <c r="I14" t="s">
        <v>1090</v>
      </c>
    </row>
    <row r="15" spans="2:9" x14ac:dyDescent="0.2">
      <c r="B15" s="9" t="s">
        <v>1067</v>
      </c>
      <c r="C15" s="4" t="s">
        <v>823</v>
      </c>
      <c r="D15" s="6" t="s">
        <v>256</v>
      </c>
      <c r="H15" t="s">
        <v>1091</v>
      </c>
      <c r="I15" t="s">
        <v>1092</v>
      </c>
    </row>
    <row r="16" spans="2:9" x14ac:dyDescent="0.2">
      <c r="B16" s="9" t="s">
        <v>444</v>
      </c>
      <c r="C16" s="3" t="s">
        <v>824</v>
      </c>
      <c r="D16" s="5" t="s">
        <v>825</v>
      </c>
      <c r="H16" t="s">
        <v>1093</v>
      </c>
      <c r="I16" t="s">
        <v>1094</v>
      </c>
    </row>
    <row r="17" spans="2:9" x14ac:dyDescent="0.2">
      <c r="B17" s="9" t="s">
        <v>444</v>
      </c>
      <c r="C17" s="4" t="s">
        <v>826</v>
      </c>
      <c r="D17" s="6" t="s">
        <v>827</v>
      </c>
      <c r="H17" t="s">
        <v>1095</v>
      </c>
      <c r="I17" s="11" t="s">
        <v>1096</v>
      </c>
    </row>
    <row r="18" spans="2:9" x14ac:dyDescent="0.2">
      <c r="B18" s="9" t="s">
        <v>444</v>
      </c>
      <c r="C18" s="3" t="s">
        <v>828</v>
      </c>
      <c r="D18" s="5" t="s">
        <v>829</v>
      </c>
      <c r="H18" t="s">
        <v>1097</v>
      </c>
      <c r="I18" t="s">
        <v>1098</v>
      </c>
    </row>
    <row r="19" spans="2:9" x14ac:dyDescent="0.2">
      <c r="B19" s="8" t="s">
        <v>1068</v>
      </c>
      <c r="C19" s="4" t="s">
        <v>830</v>
      </c>
      <c r="D19" s="6" t="s">
        <v>831</v>
      </c>
      <c r="H19" t="s">
        <v>1099</v>
      </c>
      <c r="I19" t="s">
        <v>1100</v>
      </c>
    </row>
    <row r="20" spans="2:9" x14ac:dyDescent="0.2">
      <c r="B20" s="8" t="s">
        <v>1068</v>
      </c>
      <c r="C20" s="3" t="s">
        <v>832</v>
      </c>
      <c r="D20" s="5" t="s">
        <v>833</v>
      </c>
      <c r="H20" t="s">
        <v>1101</v>
      </c>
      <c r="I20" t="s">
        <v>1102</v>
      </c>
    </row>
    <row r="21" spans="2:9" x14ac:dyDescent="0.2">
      <c r="B21" s="8" t="s">
        <v>1068</v>
      </c>
      <c r="C21" s="4" t="s">
        <v>834</v>
      </c>
      <c r="D21" s="6" t="s">
        <v>835</v>
      </c>
      <c r="H21" t="s">
        <v>1103</v>
      </c>
      <c r="I21" t="s">
        <v>1104</v>
      </c>
    </row>
    <row r="22" spans="2:9" x14ac:dyDescent="0.2">
      <c r="B22" s="9" t="s">
        <v>1071</v>
      </c>
      <c r="C22" s="3" t="s">
        <v>836</v>
      </c>
      <c r="D22" s="5" t="s">
        <v>257</v>
      </c>
      <c r="H22" t="s">
        <v>1105</v>
      </c>
      <c r="I22" t="s">
        <v>1106</v>
      </c>
    </row>
    <row r="23" spans="2:9" x14ac:dyDescent="0.2">
      <c r="B23" s="9" t="s">
        <v>1071</v>
      </c>
      <c r="C23" s="4" t="s">
        <v>837</v>
      </c>
      <c r="D23" s="6" t="s">
        <v>258</v>
      </c>
      <c r="H23" t="s">
        <v>1107</v>
      </c>
      <c r="I23" t="s">
        <v>1108</v>
      </c>
    </row>
    <row r="24" spans="2:9" x14ac:dyDescent="0.2">
      <c r="B24" s="9" t="s">
        <v>1071</v>
      </c>
      <c r="C24" s="3" t="s">
        <v>838</v>
      </c>
      <c r="D24" s="5" t="s">
        <v>259</v>
      </c>
      <c r="H24" t="s">
        <v>1109</v>
      </c>
      <c r="I24" t="s">
        <v>1110</v>
      </c>
    </row>
    <row r="25" spans="2:9" x14ac:dyDescent="0.2">
      <c r="B25" s="9" t="s">
        <v>1071</v>
      </c>
      <c r="C25" s="4" t="s">
        <v>839</v>
      </c>
      <c r="D25" s="6" t="s">
        <v>260</v>
      </c>
      <c r="H25" t="s">
        <v>1111</v>
      </c>
      <c r="I25" t="s">
        <v>1112</v>
      </c>
    </row>
    <row r="26" spans="2:9" x14ac:dyDescent="0.2">
      <c r="B26" s="9" t="s">
        <v>1071</v>
      </c>
      <c r="C26" s="3" t="s">
        <v>840</v>
      </c>
      <c r="D26" s="5" t="s">
        <v>261</v>
      </c>
      <c r="H26" t="s">
        <v>1113</v>
      </c>
      <c r="I26" t="s">
        <v>1114</v>
      </c>
    </row>
    <row r="27" spans="2:9" x14ac:dyDescent="0.2">
      <c r="B27" s="8" t="s">
        <v>1069</v>
      </c>
      <c r="C27" s="4" t="s">
        <v>841</v>
      </c>
      <c r="D27" s="6" t="s">
        <v>262</v>
      </c>
      <c r="H27" t="s">
        <v>1115</v>
      </c>
      <c r="I27" t="s">
        <v>1116</v>
      </c>
    </row>
    <row r="28" spans="2:9" x14ac:dyDescent="0.2">
      <c r="B28" s="8" t="s">
        <v>1069</v>
      </c>
      <c r="C28" s="3" t="s">
        <v>842</v>
      </c>
      <c r="D28" s="5" t="s">
        <v>263</v>
      </c>
      <c r="H28" t="s">
        <v>1117</v>
      </c>
      <c r="I28" t="s">
        <v>1118</v>
      </c>
    </row>
    <row r="29" spans="2:9" x14ac:dyDescent="0.2">
      <c r="B29" s="8" t="s">
        <v>1069</v>
      </c>
      <c r="C29" s="4" t="s">
        <v>843</v>
      </c>
      <c r="D29" s="6" t="s">
        <v>264</v>
      </c>
      <c r="H29" t="s">
        <v>1119</v>
      </c>
      <c r="I29" t="s">
        <v>1120</v>
      </c>
    </row>
    <row r="30" spans="2:9" x14ac:dyDescent="0.2">
      <c r="B30" s="8" t="s">
        <v>1069</v>
      </c>
      <c r="C30" s="3" t="s">
        <v>844</v>
      </c>
      <c r="D30" s="5" t="s">
        <v>265</v>
      </c>
      <c r="H30" t="s">
        <v>1121</v>
      </c>
      <c r="I30" t="s">
        <v>1122</v>
      </c>
    </row>
    <row r="31" spans="2:9" x14ac:dyDescent="0.2">
      <c r="B31" s="8" t="s">
        <v>1069</v>
      </c>
      <c r="C31" s="4" t="s">
        <v>845</v>
      </c>
      <c r="D31" s="6" t="s">
        <v>266</v>
      </c>
      <c r="H31" t="s">
        <v>1123</v>
      </c>
      <c r="I31" t="s">
        <v>1124</v>
      </c>
    </row>
    <row r="32" spans="2:9" x14ac:dyDescent="0.2">
      <c r="B32" s="8" t="s">
        <v>1069</v>
      </c>
      <c r="C32" s="3" t="s">
        <v>846</v>
      </c>
      <c r="D32" s="5" t="s">
        <v>267</v>
      </c>
      <c r="H32" t="s">
        <v>1125</v>
      </c>
      <c r="I32" t="s">
        <v>1126</v>
      </c>
    </row>
    <row r="33" spans="2:9" x14ac:dyDescent="0.2">
      <c r="B33" s="8" t="s">
        <v>1069</v>
      </c>
      <c r="C33" s="4" t="s">
        <v>847</v>
      </c>
      <c r="D33" s="6" t="s">
        <v>268</v>
      </c>
      <c r="H33" t="s">
        <v>1127</v>
      </c>
      <c r="I33" t="s">
        <v>1128</v>
      </c>
    </row>
    <row r="34" spans="2:9" x14ac:dyDescent="0.2">
      <c r="B34" s="9" t="s">
        <v>1073</v>
      </c>
      <c r="C34" s="3">
        <v>87550</v>
      </c>
      <c r="D34" s="5" t="s">
        <v>269</v>
      </c>
      <c r="H34" t="s">
        <v>1129</v>
      </c>
      <c r="I34" t="s">
        <v>1130</v>
      </c>
    </row>
    <row r="35" spans="2:9" x14ac:dyDescent="0.2">
      <c r="B35" s="8" t="s">
        <v>1070</v>
      </c>
      <c r="C35" s="4" t="s">
        <v>849</v>
      </c>
      <c r="D35" s="6" t="s">
        <v>270</v>
      </c>
      <c r="F35" t="s">
        <v>1064</v>
      </c>
      <c r="H35" t="s">
        <v>1131</v>
      </c>
      <c r="I35" t="s">
        <v>1132</v>
      </c>
    </row>
    <row r="36" spans="2:9" x14ac:dyDescent="0.2">
      <c r="B36" s="8" t="s">
        <v>1070</v>
      </c>
      <c r="C36" s="3" t="s">
        <v>850</v>
      </c>
      <c r="D36" s="5" t="s">
        <v>271</v>
      </c>
      <c r="F36" t="s">
        <v>8</v>
      </c>
      <c r="H36" t="s">
        <v>1133</v>
      </c>
      <c r="I36" t="s">
        <v>444</v>
      </c>
    </row>
    <row r="37" spans="2:9" x14ac:dyDescent="0.2">
      <c r="B37" s="8" t="s">
        <v>1070</v>
      </c>
      <c r="C37" s="4" t="s">
        <v>851</v>
      </c>
      <c r="D37" s="6" t="s">
        <v>272</v>
      </c>
      <c r="F37" t="s">
        <v>1074</v>
      </c>
      <c r="H37" t="s">
        <v>1134</v>
      </c>
      <c r="I37" t="s">
        <v>1135</v>
      </c>
    </row>
    <row r="38" spans="2:9" x14ac:dyDescent="0.2">
      <c r="B38" s="9"/>
      <c r="C38" s="3" t="s">
        <v>852</v>
      </c>
      <c r="D38" s="5" t="s">
        <v>273</v>
      </c>
      <c r="H38" t="s">
        <v>1136</v>
      </c>
      <c r="I38" t="s">
        <v>1137</v>
      </c>
    </row>
    <row r="39" spans="2:9" x14ac:dyDescent="0.2">
      <c r="B39" s="9"/>
      <c r="C39" s="4" t="s">
        <v>853</v>
      </c>
      <c r="D39" s="6" t="s">
        <v>274</v>
      </c>
      <c r="H39" t="s">
        <v>1138</v>
      </c>
      <c r="I39" t="s">
        <v>1139</v>
      </c>
    </row>
    <row r="40" spans="2:9" x14ac:dyDescent="0.2">
      <c r="B40" s="9"/>
      <c r="C40" s="3" t="s">
        <v>854</v>
      </c>
      <c r="D40" s="5" t="s">
        <v>275</v>
      </c>
      <c r="H40" t="s">
        <v>1140</v>
      </c>
      <c r="I40" t="s">
        <v>1141</v>
      </c>
    </row>
    <row r="41" spans="2:9" x14ac:dyDescent="0.2">
      <c r="B41" s="9"/>
      <c r="C41" s="4" t="s">
        <v>855</v>
      </c>
      <c r="D41" s="6" t="s">
        <v>276</v>
      </c>
      <c r="H41" t="s">
        <v>1142</v>
      </c>
      <c r="I41" t="s">
        <v>1143</v>
      </c>
    </row>
    <row r="42" spans="2:9" x14ac:dyDescent="0.2">
      <c r="B42" s="9"/>
      <c r="C42" s="3" t="s">
        <v>856</v>
      </c>
      <c r="D42" s="5" t="s">
        <v>277</v>
      </c>
      <c r="H42" t="s">
        <v>1144</v>
      </c>
      <c r="I42" t="s">
        <v>1145</v>
      </c>
    </row>
    <row r="43" spans="2:9" x14ac:dyDescent="0.2">
      <c r="B43" s="9" t="s">
        <v>1072</v>
      </c>
      <c r="C43" s="4" t="s">
        <v>857</v>
      </c>
      <c r="D43" s="6" t="s">
        <v>278</v>
      </c>
      <c r="H43" t="s">
        <v>1146</v>
      </c>
      <c r="I43" t="s">
        <v>1147</v>
      </c>
    </row>
    <row r="44" spans="2:9" x14ac:dyDescent="0.2">
      <c r="B44" s="8" t="s">
        <v>1072</v>
      </c>
      <c r="C44" s="3" t="s">
        <v>858</v>
      </c>
      <c r="D44" s="5" t="s">
        <v>279</v>
      </c>
      <c r="H44" t="s">
        <v>1148</v>
      </c>
      <c r="I44" t="s">
        <v>1149</v>
      </c>
    </row>
    <row r="45" spans="2:9" x14ac:dyDescent="0.2">
      <c r="B45" s="8" t="s">
        <v>1072</v>
      </c>
      <c r="C45" s="4" t="s">
        <v>859</v>
      </c>
      <c r="D45" s="6" t="s">
        <v>280</v>
      </c>
      <c r="H45" t="s">
        <v>1150</v>
      </c>
      <c r="I45" t="s">
        <v>1151</v>
      </c>
    </row>
    <row r="46" spans="2:9" x14ac:dyDescent="0.2">
      <c r="H46" t="s">
        <v>1152</v>
      </c>
      <c r="I46" t="s">
        <v>1153</v>
      </c>
    </row>
    <row r="47" spans="2:9" x14ac:dyDescent="0.2">
      <c r="H47" t="s">
        <v>1154</v>
      </c>
      <c r="I47" t="s">
        <v>1155</v>
      </c>
    </row>
    <row r="48" spans="2:9" x14ac:dyDescent="0.2">
      <c r="H48" t="s">
        <v>1156</v>
      </c>
      <c r="I48" t="s">
        <v>1157</v>
      </c>
    </row>
    <row r="49" spans="8:9" x14ac:dyDescent="0.2">
      <c r="H49" t="s">
        <v>1158</v>
      </c>
      <c r="I49" t="s">
        <v>1159</v>
      </c>
    </row>
    <row r="50" spans="8:9" x14ac:dyDescent="0.2">
      <c r="H50" t="s">
        <v>1160</v>
      </c>
      <c r="I50" t="s">
        <v>1161</v>
      </c>
    </row>
    <row r="51" spans="8:9" x14ac:dyDescent="0.2">
      <c r="H51" t="s">
        <v>1162</v>
      </c>
      <c r="I51" t="s">
        <v>1163</v>
      </c>
    </row>
    <row r="52" spans="8:9" x14ac:dyDescent="0.2">
      <c r="H52" t="s">
        <v>1164</v>
      </c>
      <c r="I52" t="s">
        <v>97</v>
      </c>
    </row>
    <row r="53" spans="8:9" x14ac:dyDescent="0.2">
      <c r="H53" t="s">
        <v>1165</v>
      </c>
      <c r="I53" t="s">
        <v>1166</v>
      </c>
    </row>
    <row r="54" spans="8:9" x14ac:dyDescent="0.2">
      <c r="H54" t="s">
        <v>1167</v>
      </c>
      <c r="I54" t="s">
        <v>1168</v>
      </c>
    </row>
    <row r="55" spans="8:9" x14ac:dyDescent="0.2">
      <c r="H55" t="s">
        <v>1169</v>
      </c>
      <c r="I55" t="s">
        <v>1170</v>
      </c>
    </row>
    <row r="56" spans="8:9" x14ac:dyDescent="0.2">
      <c r="H56" t="s">
        <v>1171</v>
      </c>
      <c r="I56" t="s">
        <v>1172</v>
      </c>
    </row>
    <row r="57" spans="8:9" x14ac:dyDescent="0.2">
      <c r="H57" t="s">
        <v>1173</v>
      </c>
      <c r="I57" t="s">
        <v>1174</v>
      </c>
    </row>
    <row r="58" spans="8:9" x14ac:dyDescent="0.2">
      <c r="H58" t="s">
        <v>1175</v>
      </c>
      <c r="I58" t="s">
        <v>1176</v>
      </c>
    </row>
    <row r="59" spans="8:9" x14ac:dyDescent="0.2">
      <c r="H59" t="s">
        <v>1177</v>
      </c>
      <c r="I59" t="s">
        <v>1178</v>
      </c>
    </row>
    <row r="60" spans="8:9" x14ac:dyDescent="0.2">
      <c r="H60" t="s">
        <v>1179</v>
      </c>
      <c r="I60" t="s">
        <v>1180</v>
      </c>
    </row>
    <row r="61" spans="8:9" x14ac:dyDescent="0.2">
      <c r="H61" t="s">
        <v>1181</v>
      </c>
      <c r="I61" t="s">
        <v>1182</v>
      </c>
    </row>
    <row r="62" spans="8:9" x14ac:dyDescent="0.2">
      <c r="H62" t="s">
        <v>1183</v>
      </c>
      <c r="I62" t="s">
        <v>1184</v>
      </c>
    </row>
    <row r="63" spans="8:9" x14ac:dyDescent="0.2">
      <c r="H63" t="s">
        <v>1185</v>
      </c>
      <c r="I63" t="s">
        <v>1186</v>
      </c>
    </row>
    <row r="64" spans="8:9" x14ac:dyDescent="0.2">
      <c r="H64" t="s">
        <v>1187</v>
      </c>
      <c r="I64" t="s">
        <v>108</v>
      </c>
    </row>
    <row r="65" spans="8:9" x14ac:dyDescent="0.2">
      <c r="H65" t="s">
        <v>1188</v>
      </c>
      <c r="I65" t="s">
        <v>1189</v>
      </c>
    </row>
    <row r="66" spans="8:9" x14ac:dyDescent="0.2">
      <c r="H66" t="s">
        <v>1190</v>
      </c>
      <c r="I66" t="s">
        <v>1068</v>
      </c>
    </row>
    <row r="67" spans="8:9" x14ac:dyDescent="0.2">
      <c r="H67" t="s">
        <v>1191</v>
      </c>
      <c r="I67" t="s">
        <v>1067</v>
      </c>
    </row>
    <row r="68" spans="8:9" x14ac:dyDescent="0.2">
      <c r="H68" t="s">
        <v>1192</v>
      </c>
      <c r="I68" t="s">
        <v>1193</v>
      </c>
    </row>
    <row r="69" spans="8:9" x14ac:dyDescent="0.2">
      <c r="H69" t="s">
        <v>1194</v>
      </c>
      <c r="I69" t="s">
        <v>1195</v>
      </c>
    </row>
    <row r="70" spans="8:9" x14ac:dyDescent="0.2">
      <c r="H70" t="s">
        <v>1196</v>
      </c>
      <c r="I70" t="s">
        <v>1197</v>
      </c>
    </row>
    <row r="71" spans="8:9" x14ac:dyDescent="0.2">
      <c r="H71" t="s">
        <v>1198</v>
      </c>
      <c r="I71" t="s">
        <v>1199</v>
      </c>
    </row>
    <row r="72" spans="8:9" x14ac:dyDescent="0.2">
      <c r="H72" t="s">
        <v>1200</v>
      </c>
      <c r="I72" t="s">
        <v>1201</v>
      </c>
    </row>
    <row r="73" spans="8:9" x14ac:dyDescent="0.2">
      <c r="H73" t="s">
        <v>1202</v>
      </c>
      <c r="I73" t="s">
        <v>109</v>
      </c>
    </row>
    <row r="74" spans="8:9" x14ac:dyDescent="0.2">
      <c r="H74" t="s">
        <v>1203</v>
      </c>
      <c r="I74" t="s">
        <v>1204</v>
      </c>
    </row>
    <row r="75" spans="8:9" x14ac:dyDescent="0.2">
      <c r="H75" t="s">
        <v>1205</v>
      </c>
      <c r="I75" t="s">
        <v>1206</v>
      </c>
    </row>
    <row r="76" spans="8:9" x14ac:dyDescent="0.2">
      <c r="H76" t="s">
        <v>1207</v>
      </c>
      <c r="I76" t="s">
        <v>1208</v>
      </c>
    </row>
    <row r="77" spans="8:9" x14ac:dyDescent="0.2">
      <c r="H77" t="s">
        <v>1209</v>
      </c>
      <c r="I77" t="s">
        <v>1210</v>
      </c>
    </row>
    <row r="78" spans="8:9" x14ac:dyDescent="0.2">
      <c r="H78" t="s">
        <v>1211</v>
      </c>
      <c r="I78" t="s">
        <v>1212</v>
      </c>
    </row>
    <row r="79" spans="8:9" x14ac:dyDescent="0.2">
      <c r="H79" t="s">
        <v>1213</v>
      </c>
      <c r="I79" t="s">
        <v>1214</v>
      </c>
    </row>
    <row r="80" spans="8:9" x14ac:dyDescent="0.2">
      <c r="H80" t="s">
        <v>1215</v>
      </c>
      <c r="I80" t="s">
        <v>1216</v>
      </c>
    </row>
    <row r="81" spans="8:9" x14ac:dyDescent="0.2">
      <c r="H81" t="s">
        <v>1217</v>
      </c>
      <c r="I81" t="s">
        <v>737</v>
      </c>
    </row>
    <row r="82" spans="8:9" x14ac:dyDescent="0.2">
      <c r="H82" t="s">
        <v>1218</v>
      </c>
      <c r="I82" t="s">
        <v>1219</v>
      </c>
    </row>
    <row r="83" spans="8:9" x14ac:dyDescent="0.2">
      <c r="H83" t="s">
        <v>1220</v>
      </c>
      <c r="I83" t="s">
        <v>1221</v>
      </c>
    </row>
    <row r="84" spans="8:9" x14ac:dyDescent="0.2">
      <c r="H84" t="s">
        <v>1222</v>
      </c>
      <c r="I84" t="s">
        <v>1223</v>
      </c>
    </row>
    <row r="85" spans="8:9" x14ac:dyDescent="0.2">
      <c r="H85" t="s">
        <v>1224</v>
      </c>
      <c r="I85" t="s">
        <v>1225</v>
      </c>
    </row>
    <row r="86" spans="8:9" x14ac:dyDescent="0.2">
      <c r="H86" t="s">
        <v>1226</v>
      </c>
      <c r="I86" t="s">
        <v>1227</v>
      </c>
    </row>
    <row r="87" spans="8:9" x14ac:dyDescent="0.2">
      <c r="H87" t="s">
        <v>1228</v>
      </c>
      <c r="I87" t="s">
        <v>1229</v>
      </c>
    </row>
    <row r="88" spans="8:9" x14ac:dyDescent="0.2">
      <c r="H88" t="s">
        <v>1230</v>
      </c>
      <c r="I88" t="s">
        <v>1231</v>
      </c>
    </row>
    <row r="89" spans="8:9" x14ac:dyDescent="0.2">
      <c r="H89" t="s">
        <v>1232</v>
      </c>
      <c r="I89" t="s">
        <v>1233</v>
      </c>
    </row>
    <row r="90" spans="8:9" x14ac:dyDescent="0.2">
      <c r="H90" t="s">
        <v>1234</v>
      </c>
      <c r="I90" t="s">
        <v>1235</v>
      </c>
    </row>
    <row r="91" spans="8:9" x14ac:dyDescent="0.2">
      <c r="H91" t="s">
        <v>1236</v>
      </c>
      <c r="I91" t="s">
        <v>1237</v>
      </c>
    </row>
    <row r="92" spans="8:9" x14ac:dyDescent="0.2">
      <c r="H92" t="s">
        <v>1238</v>
      </c>
      <c r="I92" t="s">
        <v>1239</v>
      </c>
    </row>
    <row r="93" spans="8:9" x14ac:dyDescent="0.2">
      <c r="H93" t="s">
        <v>1240</v>
      </c>
      <c r="I93" t="s">
        <v>294</v>
      </c>
    </row>
    <row r="94" spans="8:9" x14ac:dyDescent="0.2">
      <c r="H94" t="s">
        <v>1241</v>
      </c>
      <c r="I94" t="s">
        <v>1242</v>
      </c>
    </row>
    <row r="95" spans="8:9" x14ac:dyDescent="0.2">
      <c r="H95" t="s">
        <v>1243</v>
      </c>
      <c r="I95" t="s">
        <v>1244</v>
      </c>
    </row>
    <row r="96" spans="8:9" x14ac:dyDescent="0.2">
      <c r="H96" t="s">
        <v>1245</v>
      </c>
      <c r="I96" t="s">
        <v>1246</v>
      </c>
    </row>
    <row r="97" spans="8:9" x14ac:dyDescent="0.2">
      <c r="H97" t="s">
        <v>1247</v>
      </c>
      <c r="I97" t="s">
        <v>1248</v>
      </c>
    </row>
    <row r="98" spans="8:9" x14ac:dyDescent="0.2">
      <c r="H98" t="s">
        <v>1249</v>
      </c>
      <c r="I98" t="s">
        <v>1250</v>
      </c>
    </row>
    <row r="99" spans="8:9" x14ac:dyDescent="0.2">
      <c r="H99" t="s">
        <v>1251</v>
      </c>
      <c r="I99" t="s">
        <v>1252</v>
      </c>
    </row>
    <row r="100" spans="8:9" x14ac:dyDescent="0.2">
      <c r="H100" t="s">
        <v>1253</v>
      </c>
      <c r="I100" t="s">
        <v>1254</v>
      </c>
    </row>
    <row r="101" spans="8:9" x14ac:dyDescent="0.2">
      <c r="H101" t="s">
        <v>1255</v>
      </c>
      <c r="I101" t="s">
        <v>1256</v>
      </c>
    </row>
    <row r="102" spans="8:9" x14ac:dyDescent="0.2">
      <c r="H102" t="s">
        <v>1257</v>
      </c>
      <c r="I102" t="s">
        <v>1258</v>
      </c>
    </row>
    <row r="103" spans="8:9" x14ac:dyDescent="0.2">
      <c r="H103" t="s">
        <v>1259</v>
      </c>
      <c r="I103" t="s">
        <v>1260</v>
      </c>
    </row>
    <row r="104" spans="8:9" x14ac:dyDescent="0.2">
      <c r="H104" t="s">
        <v>1261</v>
      </c>
      <c r="I104" t="s">
        <v>1262</v>
      </c>
    </row>
    <row r="105" spans="8:9" x14ac:dyDescent="0.2">
      <c r="H105" t="s">
        <v>1263</v>
      </c>
      <c r="I105" t="s">
        <v>640</v>
      </c>
    </row>
    <row r="106" spans="8:9" x14ac:dyDescent="0.2">
      <c r="H106" t="s">
        <v>1264</v>
      </c>
      <c r="I106" t="s">
        <v>34</v>
      </c>
    </row>
    <row r="107" spans="8:9" x14ac:dyDescent="0.2">
      <c r="H107" t="s">
        <v>1265</v>
      </c>
      <c r="I107" t="s">
        <v>1266</v>
      </c>
    </row>
    <row r="108" spans="8:9" x14ac:dyDescent="0.2">
      <c r="H108" t="s">
        <v>1267</v>
      </c>
      <c r="I108" t="s">
        <v>1268</v>
      </c>
    </row>
    <row r="109" spans="8:9" x14ac:dyDescent="0.2">
      <c r="H109" t="s">
        <v>1269</v>
      </c>
      <c r="I109" t="s">
        <v>1270</v>
      </c>
    </row>
    <row r="110" spans="8:9" x14ac:dyDescent="0.2">
      <c r="H110" t="s">
        <v>1271</v>
      </c>
      <c r="I110" t="s">
        <v>1272</v>
      </c>
    </row>
    <row r="111" spans="8:9" x14ac:dyDescent="0.2">
      <c r="H111" t="s">
        <v>1273</v>
      </c>
      <c r="I111" t="s">
        <v>1274</v>
      </c>
    </row>
    <row r="112" spans="8:9" x14ac:dyDescent="0.2">
      <c r="H112" t="s">
        <v>1275</v>
      </c>
      <c r="I112" t="s">
        <v>1276</v>
      </c>
    </row>
    <row r="113" spans="8:9" x14ac:dyDescent="0.2">
      <c r="H113" t="s">
        <v>1277</v>
      </c>
      <c r="I113" t="s">
        <v>1278</v>
      </c>
    </row>
    <row r="114" spans="8:9" x14ac:dyDescent="0.2">
      <c r="H114" t="s">
        <v>1279</v>
      </c>
      <c r="I114" t="s">
        <v>1280</v>
      </c>
    </row>
    <row r="115" spans="8:9" x14ac:dyDescent="0.2">
      <c r="H115" t="s">
        <v>1281</v>
      </c>
      <c r="I115" t="s">
        <v>1282</v>
      </c>
    </row>
    <row r="116" spans="8:9" x14ac:dyDescent="0.2">
      <c r="H116" t="s">
        <v>1283</v>
      </c>
      <c r="I116" t="s">
        <v>1284</v>
      </c>
    </row>
    <row r="117" spans="8:9" x14ac:dyDescent="0.2">
      <c r="H117" t="s">
        <v>1285</v>
      </c>
      <c r="I117" t="s">
        <v>1286</v>
      </c>
    </row>
    <row r="118" spans="8:9" x14ac:dyDescent="0.2">
      <c r="H118" t="s">
        <v>1287</v>
      </c>
      <c r="I118" t="s">
        <v>1288</v>
      </c>
    </row>
    <row r="119" spans="8:9" x14ac:dyDescent="0.2">
      <c r="H119" t="s">
        <v>1289</v>
      </c>
      <c r="I119" t="s">
        <v>1290</v>
      </c>
    </row>
    <row r="120" spans="8:9" x14ac:dyDescent="0.2">
      <c r="H120" t="s">
        <v>1291</v>
      </c>
      <c r="I120" t="s">
        <v>1292</v>
      </c>
    </row>
    <row r="121" spans="8:9" x14ac:dyDescent="0.2">
      <c r="H121" t="s">
        <v>1293</v>
      </c>
      <c r="I121" t="s">
        <v>1294</v>
      </c>
    </row>
    <row r="122" spans="8:9" x14ac:dyDescent="0.2">
      <c r="H122" t="s">
        <v>1295</v>
      </c>
      <c r="I122" t="s">
        <v>1296</v>
      </c>
    </row>
    <row r="123" spans="8:9" x14ac:dyDescent="0.2">
      <c r="H123" t="s">
        <v>1297</v>
      </c>
      <c r="I123" t="s">
        <v>1298</v>
      </c>
    </row>
    <row r="124" spans="8:9" x14ac:dyDescent="0.2">
      <c r="H124" t="s">
        <v>1299</v>
      </c>
      <c r="I124" t="s">
        <v>1300</v>
      </c>
    </row>
    <row r="125" spans="8:9" x14ac:dyDescent="0.2">
      <c r="H125" t="s">
        <v>1301</v>
      </c>
      <c r="I125" t="s">
        <v>1302</v>
      </c>
    </row>
    <row r="126" spans="8:9" x14ac:dyDescent="0.2">
      <c r="H126" t="s">
        <v>1303</v>
      </c>
      <c r="I126" t="s">
        <v>1304</v>
      </c>
    </row>
    <row r="127" spans="8:9" x14ac:dyDescent="0.2">
      <c r="H127" t="s">
        <v>1305</v>
      </c>
      <c r="I127" t="s">
        <v>1306</v>
      </c>
    </row>
    <row r="128" spans="8:9" x14ac:dyDescent="0.2">
      <c r="H128" t="s">
        <v>1307</v>
      </c>
      <c r="I128" t="s">
        <v>1308</v>
      </c>
    </row>
    <row r="129" spans="8:9" x14ac:dyDescent="0.2">
      <c r="H129" t="s">
        <v>1309</v>
      </c>
      <c r="I129" t="s">
        <v>1310</v>
      </c>
    </row>
    <row r="130" spans="8:9" x14ac:dyDescent="0.2">
      <c r="H130" t="s">
        <v>1311</v>
      </c>
      <c r="I130" t="s">
        <v>1312</v>
      </c>
    </row>
    <row r="131" spans="8:9" x14ac:dyDescent="0.2">
      <c r="H131" t="s">
        <v>1313</v>
      </c>
      <c r="I131" t="s">
        <v>1314</v>
      </c>
    </row>
    <row r="132" spans="8:9" x14ac:dyDescent="0.2">
      <c r="H132" t="s">
        <v>1315</v>
      </c>
      <c r="I132" t="s">
        <v>1316</v>
      </c>
    </row>
    <row r="133" spans="8:9" x14ac:dyDescent="0.2">
      <c r="H133" t="s">
        <v>1317</v>
      </c>
      <c r="I133" t="s">
        <v>1318</v>
      </c>
    </row>
    <row r="134" spans="8:9" x14ac:dyDescent="0.2">
      <c r="H134" t="s">
        <v>1319</v>
      </c>
      <c r="I134" t="s">
        <v>1320</v>
      </c>
    </row>
    <row r="135" spans="8:9" x14ac:dyDescent="0.2">
      <c r="H135" t="s">
        <v>1321</v>
      </c>
      <c r="I135" t="s">
        <v>1322</v>
      </c>
    </row>
    <row r="136" spans="8:9" x14ac:dyDescent="0.2">
      <c r="H136" t="s">
        <v>1323</v>
      </c>
      <c r="I136" t="s">
        <v>1324</v>
      </c>
    </row>
    <row r="137" spans="8:9" x14ac:dyDescent="0.2">
      <c r="H137" t="s">
        <v>1325</v>
      </c>
      <c r="I137" t="s">
        <v>1326</v>
      </c>
    </row>
    <row r="138" spans="8:9" x14ac:dyDescent="0.2">
      <c r="H138" t="s">
        <v>1327</v>
      </c>
      <c r="I138" t="s">
        <v>1328</v>
      </c>
    </row>
    <row r="139" spans="8:9" x14ac:dyDescent="0.2">
      <c r="H139" t="s">
        <v>1329</v>
      </c>
      <c r="I139" t="s">
        <v>1330</v>
      </c>
    </row>
    <row r="140" spans="8:9" x14ac:dyDescent="0.2">
      <c r="H140" t="s">
        <v>1331</v>
      </c>
      <c r="I140" t="s">
        <v>1332</v>
      </c>
    </row>
    <row r="141" spans="8:9" x14ac:dyDescent="0.2">
      <c r="H141" t="s">
        <v>1333</v>
      </c>
      <c r="I141" t="s">
        <v>1334</v>
      </c>
    </row>
    <row r="142" spans="8:9" x14ac:dyDescent="0.2">
      <c r="H142" t="s">
        <v>1335</v>
      </c>
      <c r="I142" t="s">
        <v>1336</v>
      </c>
    </row>
    <row r="143" spans="8:9" x14ac:dyDescent="0.2">
      <c r="H143" t="s">
        <v>1337</v>
      </c>
      <c r="I143" t="s">
        <v>1338</v>
      </c>
    </row>
    <row r="144" spans="8:9" x14ac:dyDescent="0.2">
      <c r="H144" t="s">
        <v>1339</v>
      </c>
      <c r="I144" t="s">
        <v>1340</v>
      </c>
    </row>
    <row r="145" spans="8:9" x14ac:dyDescent="0.2">
      <c r="H145" t="s">
        <v>1341</v>
      </c>
      <c r="I145" t="s">
        <v>1342</v>
      </c>
    </row>
    <row r="146" spans="8:9" x14ac:dyDescent="0.2">
      <c r="H146" t="s">
        <v>1343</v>
      </c>
      <c r="I146" t="s">
        <v>1344</v>
      </c>
    </row>
    <row r="147" spans="8:9" x14ac:dyDescent="0.2">
      <c r="H147" t="s">
        <v>1345</v>
      </c>
      <c r="I147" t="s">
        <v>1346</v>
      </c>
    </row>
    <row r="148" spans="8:9" x14ac:dyDescent="0.2">
      <c r="H148" t="s">
        <v>1347</v>
      </c>
      <c r="I148" t="s">
        <v>1348</v>
      </c>
    </row>
    <row r="149" spans="8:9" x14ac:dyDescent="0.2">
      <c r="H149" t="s">
        <v>1349</v>
      </c>
      <c r="I149" t="s">
        <v>1350</v>
      </c>
    </row>
    <row r="150" spans="8:9" x14ac:dyDescent="0.2">
      <c r="H150" t="s">
        <v>1351</v>
      </c>
      <c r="I150" t="s">
        <v>1352</v>
      </c>
    </row>
    <row r="151" spans="8:9" x14ac:dyDescent="0.2">
      <c r="H151" t="s">
        <v>1353</v>
      </c>
      <c r="I151" t="s">
        <v>1354</v>
      </c>
    </row>
    <row r="152" spans="8:9" x14ac:dyDescent="0.2">
      <c r="H152" t="s">
        <v>1355</v>
      </c>
      <c r="I152" t="s">
        <v>1356</v>
      </c>
    </row>
    <row r="153" spans="8:9" x14ac:dyDescent="0.2">
      <c r="H153" t="s">
        <v>1357</v>
      </c>
      <c r="I153" t="s">
        <v>1358</v>
      </c>
    </row>
    <row r="154" spans="8:9" x14ac:dyDescent="0.2">
      <c r="H154" t="s">
        <v>1359</v>
      </c>
      <c r="I154" t="s">
        <v>1360</v>
      </c>
    </row>
    <row r="155" spans="8:9" x14ac:dyDescent="0.2">
      <c r="H155" t="s">
        <v>1361</v>
      </c>
      <c r="I155" t="s">
        <v>1362</v>
      </c>
    </row>
    <row r="156" spans="8:9" x14ac:dyDescent="0.2">
      <c r="H156" t="s">
        <v>1363</v>
      </c>
      <c r="I156" t="s">
        <v>1364</v>
      </c>
    </row>
    <row r="157" spans="8:9" x14ac:dyDescent="0.2">
      <c r="H157" t="s">
        <v>1365</v>
      </c>
      <c r="I157" t="s">
        <v>1366</v>
      </c>
    </row>
    <row r="158" spans="8:9" x14ac:dyDescent="0.2">
      <c r="H158" t="s">
        <v>1367</v>
      </c>
      <c r="I158" t="s">
        <v>1368</v>
      </c>
    </row>
    <row r="159" spans="8:9" x14ac:dyDescent="0.2">
      <c r="H159" t="s">
        <v>1369</v>
      </c>
      <c r="I159" t="s">
        <v>1370</v>
      </c>
    </row>
    <row r="160" spans="8:9" x14ac:dyDescent="0.2">
      <c r="H160" t="s">
        <v>1371</v>
      </c>
      <c r="I160" t="s">
        <v>1372</v>
      </c>
    </row>
    <row r="161" spans="8:9" x14ac:dyDescent="0.2">
      <c r="H161" t="s">
        <v>1373</v>
      </c>
      <c r="I161" t="s">
        <v>1374</v>
      </c>
    </row>
    <row r="162" spans="8:9" x14ac:dyDescent="0.2">
      <c r="H162" t="s">
        <v>1375</v>
      </c>
      <c r="I162" t="s">
        <v>1376</v>
      </c>
    </row>
    <row r="163" spans="8:9" x14ac:dyDescent="0.2">
      <c r="H163" t="s">
        <v>1377</v>
      </c>
      <c r="I163" t="s">
        <v>1378</v>
      </c>
    </row>
    <row r="164" spans="8:9" x14ac:dyDescent="0.2">
      <c r="H164" t="s">
        <v>1379</v>
      </c>
      <c r="I164" t="s">
        <v>1380</v>
      </c>
    </row>
    <row r="165" spans="8:9" x14ac:dyDescent="0.2">
      <c r="H165" t="s">
        <v>1381</v>
      </c>
      <c r="I165" t="s">
        <v>1382</v>
      </c>
    </row>
    <row r="166" spans="8:9" x14ac:dyDescent="0.2">
      <c r="H166" t="s">
        <v>1383</v>
      </c>
      <c r="I166" t="s">
        <v>1384</v>
      </c>
    </row>
    <row r="167" spans="8:9" x14ac:dyDescent="0.2">
      <c r="H167" t="s">
        <v>1385</v>
      </c>
      <c r="I167" t="s">
        <v>1386</v>
      </c>
    </row>
    <row r="168" spans="8:9" x14ac:dyDescent="0.2">
      <c r="H168" t="s">
        <v>1387</v>
      </c>
      <c r="I168" t="s">
        <v>1388</v>
      </c>
    </row>
    <row r="169" spans="8:9" x14ac:dyDescent="0.2">
      <c r="H169" t="s">
        <v>1389</v>
      </c>
      <c r="I169" t="s">
        <v>1390</v>
      </c>
    </row>
    <row r="170" spans="8:9" x14ac:dyDescent="0.2">
      <c r="H170" t="s">
        <v>1391</v>
      </c>
      <c r="I170" t="s">
        <v>1392</v>
      </c>
    </row>
    <row r="171" spans="8:9" x14ac:dyDescent="0.2">
      <c r="H171" t="s">
        <v>1393</v>
      </c>
      <c r="I171" t="s">
        <v>1394</v>
      </c>
    </row>
    <row r="172" spans="8:9" x14ac:dyDescent="0.2">
      <c r="H172" t="s">
        <v>1395</v>
      </c>
      <c r="I172" t="s">
        <v>1396</v>
      </c>
    </row>
    <row r="173" spans="8:9" x14ac:dyDescent="0.2">
      <c r="H173" t="s">
        <v>1397</v>
      </c>
      <c r="I173" t="s">
        <v>1398</v>
      </c>
    </row>
    <row r="174" spans="8:9" x14ac:dyDescent="0.2">
      <c r="H174" t="s">
        <v>1399</v>
      </c>
      <c r="I174" t="s">
        <v>1400</v>
      </c>
    </row>
    <row r="175" spans="8:9" x14ac:dyDescent="0.2">
      <c r="H175" t="s">
        <v>1401</v>
      </c>
      <c r="I175" t="s">
        <v>1402</v>
      </c>
    </row>
    <row r="176" spans="8:9" x14ac:dyDescent="0.2">
      <c r="H176" t="s">
        <v>1403</v>
      </c>
      <c r="I176" t="s">
        <v>1404</v>
      </c>
    </row>
    <row r="177" spans="8:9" x14ac:dyDescent="0.2">
      <c r="H177" t="s">
        <v>1405</v>
      </c>
      <c r="I177" t="s">
        <v>1406</v>
      </c>
    </row>
    <row r="178" spans="8:9" x14ac:dyDescent="0.2">
      <c r="H178" t="s">
        <v>1407</v>
      </c>
      <c r="I178" t="s">
        <v>1408</v>
      </c>
    </row>
    <row r="179" spans="8:9" x14ac:dyDescent="0.2">
      <c r="H179" t="s">
        <v>1409</v>
      </c>
      <c r="I179" t="s">
        <v>1410</v>
      </c>
    </row>
    <row r="180" spans="8:9" x14ac:dyDescent="0.2">
      <c r="H180" t="s">
        <v>1411</v>
      </c>
      <c r="I180" t="s">
        <v>1412</v>
      </c>
    </row>
    <row r="181" spans="8:9" x14ac:dyDescent="0.2">
      <c r="H181" t="s">
        <v>1413</v>
      </c>
      <c r="I181" t="s">
        <v>1414</v>
      </c>
    </row>
    <row r="182" spans="8:9" x14ac:dyDescent="0.2">
      <c r="H182" t="s">
        <v>1415</v>
      </c>
      <c r="I182" t="s">
        <v>1416</v>
      </c>
    </row>
    <row r="183" spans="8:9" x14ac:dyDescent="0.2">
      <c r="H183" t="s">
        <v>1417</v>
      </c>
      <c r="I183" t="s">
        <v>1418</v>
      </c>
    </row>
    <row r="184" spans="8:9" x14ac:dyDescent="0.2">
      <c r="H184" t="s">
        <v>1419</v>
      </c>
      <c r="I184" t="s">
        <v>1420</v>
      </c>
    </row>
    <row r="185" spans="8:9" x14ac:dyDescent="0.2">
      <c r="H185" t="s">
        <v>1421</v>
      </c>
      <c r="I185" t="s">
        <v>1422</v>
      </c>
    </row>
    <row r="186" spans="8:9" x14ac:dyDescent="0.2">
      <c r="H186" t="s">
        <v>1423</v>
      </c>
      <c r="I186" t="s">
        <v>1424</v>
      </c>
    </row>
    <row r="187" spans="8:9" x14ac:dyDescent="0.2">
      <c r="H187" t="s">
        <v>1425</v>
      </c>
      <c r="I187" t="s">
        <v>1426</v>
      </c>
    </row>
    <row r="188" spans="8:9" x14ac:dyDescent="0.2">
      <c r="H188" t="s">
        <v>1427</v>
      </c>
      <c r="I188" t="s">
        <v>1428</v>
      </c>
    </row>
    <row r="189" spans="8:9" x14ac:dyDescent="0.2">
      <c r="H189" t="s">
        <v>1429</v>
      </c>
      <c r="I189" t="s">
        <v>1430</v>
      </c>
    </row>
    <row r="190" spans="8:9" x14ac:dyDescent="0.2">
      <c r="H190" t="s">
        <v>1431</v>
      </c>
      <c r="I190" t="s">
        <v>1432</v>
      </c>
    </row>
    <row r="191" spans="8:9" x14ac:dyDescent="0.2">
      <c r="H191" t="s">
        <v>1433</v>
      </c>
      <c r="I191" t="s">
        <v>1434</v>
      </c>
    </row>
    <row r="192" spans="8:9" x14ac:dyDescent="0.2">
      <c r="H192" t="s">
        <v>1435</v>
      </c>
      <c r="I192" t="s">
        <v>1436</v>
      </c>
    </row>
    <row r="193" spans="8:9" x14ac:dyDescent="0.2">
      <c r="H193" t="s">
        <v>1437</v>
      </c>
      <c r="I193" t="s">
        <v>1438</v>
      </c>
    </row>
    <row r="194" spans="8:9" x14ac:dyDescent="0.2">
      <c r="H194" t="s">
        <v>1439</v>
      </c>
      <c r="I194" t="s">
        <v>1440</v>
      </c>
    </row>
    <row r="195" spans="8:9" x14ac:dyDescent="0.2">
      <c r="H195" t="s">
        <v>1441</v>
      </c>
      <c r="I195" t="s">
        <v>1442</v>
      </c>
    </row>
    <row r="196" spans="8:9" x14ac:dyDescent="0.2">
      <c r="H196" t="s">
        <v>1443</v>
      </c>
      <c r="I196" t="s">
        <v>1444</v>
      </c>
    </row>
    <row r="197" spans="8:9" x14ac:dyDescent="0.2">
      <c r="H197" t="s">
        <v>1445</v>
      </c>
      <c r="I197" t="s">
        <v>1446</v>
      </c>
    </row>
    <row r="198" spans="8:9" x14ac:dyDescent="0.2">
      <c r="H198" t="s">
        <v>1447</v>
      </c>
      <c r="I198" t="s">
        <v>1448</v>
      </c>
    </row>
    <row r="199" spans="8:9" x14ac:dyDescent="0.2">
      <c r="H199" t="s">
        <v>1449</v>
      </c>
      <c r="I199" t="s">
        <v>1450</v>
      </c>
    </row>
    <row r="200" spans="8:9" x14ac:dyDescent="0.2">
      <c r="H200" t="s">
        <v>1451</v>
      </c>
      <c r="I200" t="s">
        <v>1452</v>
      </c>
    </row>
    <row r="201" spans="8:9" x14ac:dyDescent="0.2">
      <c r="H201" t="s">
        <v>1453</v>
      </c>
      <c r="I201" t="s">
        <v>1454</v>
      </c>
    </row>
    <row r="202" spans="8:9" x14ac:dyDescent="0.2">
      <c r="H202" t="s">
        <v>1455</v>
      </c>
      <c r="I202" t="s">
        <v>1456</v>
      </c>
    </row>
    <row r="203" spans="8:9" x14ac:dyDescent="0.2">
      <c r="H203" t="s">
        <v>1457</v>
      </c>
      <c r="I203" t="s">
        <v>1458</v>
      </c>
    </row>
    <row r="204" spans="8:9" ht="13.5" thickBot="1" x14ac:dyDescent="0.25">
      <c r="H204" s="2" t="s">
        <v>1059</v>
      </c>
      <c r="I204" s="2" t="s">
        <v>1060</v>
      </c>
    </row>
  </sheetData>
  <dataValidations count="1">
    <dataValidation type="textLength" errorStyle="information" allowBlank="1" showInputMessage="1" showErrorMessage="1" error="XLBVal:8=Account Code_x000d__x000a_XLBRowCount:3=197_x000d__x000a_XLBColCount:3=2_x000d__x000a_Style:2=1_x000d__x000a_" sqref="H8" xr:uid="{00000000-0002-0000-0200-000000000000}">
      <formula1>0</formula1>
      <formula2>300</formula2>
    </dataValidation>
  </dataValidations>
  <pageMargins left="0.7" right="0.7" top="0.75" bottom="0.75" header="0.3" footer="0.3"/>
  <customProperties>
    <customPr name="QAA_DRILLPATH_NODE_ID" r:id="rId1"/>
  </customPropertie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B3:N383"/>
  <sheetViews>
    <sheetView topLeftCell="E9" workbookViewId="0">
      <selection activeCell="A12" sqref="A12"/>
    </sheetView>
  </sheetViews>
  <sheetFormatPr defaultRowHeight="12.75" x14ac:dyDescent="0.2"/>
  <cols>
    <col min="2" max="2" width="13.85546875" bestFit="1" customWidth="1"/>
    <col min="9" max="9" width="13.7109375" bestFit="1" customWidth="1"/>
  </cols>
  <sheetData>
    <row r="3" spans="2:14" ht="13.5" thickBot="1" x14ac:dyDescent="0.25"/>
    <row r="4" spans="2:14" ht="13.5" thickBot="1" x14ac:dyDescent="0.25">
      <c r="B4" s="7" t="e">
        <f ca="1">[7]!AG_SMRT("0,Summary Report 2,1")</f>
        <v>#NAME?</v>
      </c>
      <c r="C4" s="7" t="s">
        <v>865</v>
      </c>
    </row>
    <row r="5" spans="2:14" x14ac:dyDescent="0.2">
      <c r="B5" t="s">
        <v>866</v>
      </c>
      <c r="C5" t="s">
        <v>867</v>
      </c>
      <c r="I5" s="7" t="e">
        <f ca="1">[7]!AG_SMRT("0,Summary Report 3,1")</f>
        <v>#NAME?</v>
      </c>
      <c r="J5" s="7" t="s">
        <v>299</v>
      </c>
      <c r="M5" s="7" t="e">
        <f ca="1">[7]!AG_SMRT("0,Summary Report 4,1")</f>
        <v>#NAME?</v>
      </c>
      <c r="N5" s="7" t="s">
        <v>299</v>
      </c>
    </row>
    <row r="6" spans="2:14" x14ac:dyDescent="0.2">
      <c r="B6" t="s">
        <v>868</v>
      </c>
      <c r="C6" t="s">
        <v>869</v>
      </c>
      <c r="I6" t="s">
        <v>939</v>
      </c>
      <c r="J6" t="s">
        <v>163</v>
      </c>
      <c r="M6" t="s">
        <v>300</v>
      </c>
      <c r="N6" t="s">
        <v>78</v>
      </c>
    </row>
    <row r="7" spans="2:14" x14ac:dyDescent="0.2">
      <c r="B7" t="s">
        <v>870</v>
      </c>
      <c r="C7" t="s">
        <v>767</v>
      </c>
      <c r="I7" t="s">
        <v>940</v>
      </c>
      <c r="J7" t="s">
        <v>204</v>
      </c>
      <c r="M7" t="s">
        <v>301</v>
      </c>
      <c r="N7" t="s">
        <v>302</v>
      </c>
    </row>
    <row r="8" spans="2:14" x14ac:dyDescent="0.2">
      <c r="B8" t="s">
        <v>871</v>
      </c>
      <c r="C8" t="s">
        <v>872</v>
      </c>
      <c r="I8" t="s">
        <v>941</v>
      </c>
      <c r="J8" t="s">
        <v>162</v>
      </c>
      <c r="M8" t="s">
        <v>303</v>
      </c>
      <c r="N8" t="s">
        <v>304</v>
      </c>
    </row>
    <row r="9" spans="2:14" x14ac:dyDescent="0.2">
      <c r="B9" t="s">
        <v>873</v>
      </c>
      <c r="C9" t="s">
        <v>874</v>
      </c>
      <c r="I9" t="s">
        <v>942</v>
      </c>
      <c r="J9" t="s">
        <v>207</v>
      </c>
      <c r="M9" t="s">
        <v>305</v>
      </c>
      <c r="N9" t="s">
        <v>306</v>
      </c>
    </row>
    <row r="10" spans="2:14" x14ac:dyDescent="0.2">
      <c r="B10" t="s">
        <v>875</v>
      </c>
      <c r="C10" t="s">
        <v>876</v>
      </c>
      <c r="I10" t="s">
        <v>943</v>
      </c>
      <c r="J10" t="s">
        <v>944</v>
      </c>
      <c r="M10" t="s">
        <v>307</v>
      </c>
      <c r="N10" t="s">
        <v>308</v>
      </c>
    </row>
    <row r="11" spans="2:14" x14ac:dyDescent="0.2">
      <c r="B11" t="s">
        <v>877</v>
      </c>
      <c r="C11" t="s">
        <v>878</v>
      </c>
      <c r="I11" t="s">
        <v>945</v>
      </c>
      <c r="J11" t="s">
        <v>205</v>
      </c>
      <c r="M11" t="s">
        <v>309</v>
      </c>
      <c r="N11" t="s">
        <v>310</v>
      </c>
    </row>
    <row r="12" spans="2:14" x14ac:dyDescent="0.2">
      <c r="B12" t="s">
        <v>879</v>
      </c>
      <c r="C12" t="s">
        <v>880</v>
      </c>
      <c r="I12" t="s">
        <v>946</v>
      </c>
      <c r="J12" t="s">
        <v>203</v>
      </c>
      <c r="M12" t="s">
        <v>311</v>
      </c>
      <c r="N12" t="s">
        <v>312</v>
      </c>
    </row>
    <row r="13" spans="2:14" x14ac:dyDescent="0.2">
      <c r="B13" t="s">
        <v>881</v>
      </c>
      <c r="C13" t="s">
        <v>882</v>
      </c>
      <c r="I13" t="s">
        <v>947</v>
      </c>
      <c r="J13" t="s">
        <v>209</v>
      </c>
      <c r="M13" t="s">
        <v>313</v>
      </c>
      <c r="N13" t="s">
        <v>242</v>
      </c>
    </row>
    <row r="14" spans="2:14" x14ac:dyDescent="0.2">
      <c r="B14" t="s">
        <v>883</v>
      </c>
      <c r="C14" t="s">
        <v>884</v>
      </c>
      <c r="I14" t="s">
        <v>948</v>
      </c>
      <c r="J14" t="s">
        <v>208</v>
      </c>
      <c r="M14" t="s">
        <v>314</v>
      </c>
      <c r="N14" t="s">
        <v>79</v>
      </c>
    </row>
    <row r="15" spans="2:14" x14ac:dyDescent="0.2">
      <c r="B15" t="s">
        <v>885</v>
      </c>
      <c r="C15" t="s">
        <v>886</v>
      </c>
      <c r="I15" t="s">
        <v>949</v>
      </c>
      <c r="J15" t="s">
        <v>206</v>
      </c>
      <c r="M15" t="s">
        <v>315</v>
      </c>
      <c r="N15" t="s">
        <v>221</v>
      </c>
    </row>
    <row r="16" spans="2:14" x14ac:dyDescent="0.2">
      <c r="B16" t="s">
        <v>887</v>
      </c>
      <c r="C16" t="s">
        <v>888</v>
      </c>
      <c r="I16" t="s">
        <v>950</v>
      </c>
      <c r="J16" t="s">
        <v>210</v>
      </c>
      <c r="M16" t="s">
        <v>316</v>
      </c>
      <c r="N16" t="s">
        <v>222</v>
      </c>
    </row>
    <row r="17" spans="2:14" x14ac:dyDescent="0.2">
      <c r="B17" t="s">
        <v>889</v>
      </c>
      <c r="C17" t="s">
        <v>890</v>
      </c>
      <c r="I17" t="s">
        <v>951</v>
      </c>
      <c r="J17" t="s">
        <v>952</v>
      </c>
      <c r="M17" t="s">
        <v>317</v>
      </c>
      <c r="N17" t="s">
        <v>97</v>
      </c>
    </row>
    <row r="18" spans="2:14" x14ac:dyDescent="0.2">
      <c r="B18" t="s">
        <v>891</v>
      </c>
      <c r="C18" t="s">
        <v>892</v>
      </c>
      <c r="I18" t="s">
        <v>953</v>
      </c>
      <c r="J18" t="s">
        <v>161</v>
      </c>
      <c r="M18" t="s">
        <v>318</v>
      </c>
      <c r="N18" t="s">
        <v>80</v>
      </c>
    </row>
    <row r="19" spans="2:14" x14ac:dyDescent="0.2">
      <c r="B19" t="s">
        <v>893</v>
      </c>
      <c r="C19" t="s">
        <v>894</v>
      </c>
      <c r="I19" t="s">
        <v>954</v>
      </c>
      <c r="J19" t="s">
        <v>955</v>
      </c>
      <c r="M19" t="s">
        <v>319</v>
      </c>
      <c r="N19" t="s">
        <v>81</v>
      </c>
    </row>
    <row r="20" spans="2:14" x14ac:dyDescent="0.2">
      <c r="B20" t="s">
        <v>895</v>
      </c>
      <c r="C20" t="s">
        <v>896</v>
      </c>
      <c r="I20" t="s">
        <v>956</v>
      </c>
      <c r="J20" t="s">
        <v>957</v>
      </c>
      <c r="M20" t="s">
        <v>320</v>
      </c>
      <c r="N20" t="s">
        <v>321</v>
      </c>
    </row>
    <row r="21" spans="2:14" x14ac:dyDescent="0.2">
      <c r="B21" t="s">
        <v>897</v>
      </c>
      <c r="C21" t="s">
        <v>898</v>
      </c>
      <c r="I21" t="s">
        <v>958</v>
      </c>
      <c r="J21" t="s">
        <v>959</v>
      </c>
      <c r="M21" t="s">
        <v>322</v>
      </c>
      <c r="N21" t="s">
        <v>323</v>
      </c>
    </row>
    <row r="22" spans="2:14" x14ac:dyDescent="0.2">
      <c r="B22" t="s">
        <v>899</v>
      </c>
      <c r="C22" t="s">
        <v>900</v>
      </c>
      <c r="I22" t="s">
        <v>960</v>
      </c>
      <c r="J22" t="s">
        <v>961</v>
      </c>
      <c r="M22" t="s">
        <v>324</v>
      </c>
      <c r="N22" t="s">
        <v>325</v>
      </c>
    </row>
    <row r="23" spans="2:14" x14ac:dyDescent="0.2">
      <c r="B23" t="s">
        <v>901</v>
      </c>
      <c r="C23" t="s">
        <v>902</v>
      </c>
      <c r="I23" t="s">
        <v>962</v>
      </c>
      <c r="J23" t="s">
        <v>963</v>
      </c>
      <c r="M23" t="s">
        <v>326</v>
      </c>
      <c r="N23" t="s">
        <v>327</v>
      </c>
    </row>
    <row r="24" spans="2:14" x14ac:dyDescent="0.2">
      <c r="B24" t="s">
        <v>903</v>
      </c>
      <c r="C24" t="s">
        <v>904</v>
      </c>
      <c r="I24" t="s">
        <v>964</v>
      </c>
      <c r="J24" t="s">
        <v>965</v>
      </c>
      <c r="M24" t="s">
        <v>328</v>
      </c>
      <c r="N24" t="s">
        <v>329</v>
      </c>
    </row>
    <row r="25" spans="2:14" x14ac:dyDescent="0.2">
      <c r="B25" t="s">
        <v>905</v>
      </c>
      <c r="C25" t="s">
        <v>906</v>
      </c>
      <c r="I25" t="s">
        <v>966</v>
      </c>
      <c r="J25" t="s">
        <v>967</v>
      </c>
      <c r="M25" t="s">
        <v>330</v>
      </c>
      <c r="N25" t="s">
        <v>331</v>
      </c>
    </row>
    <row r="26" spans="2:14" x14ac:dyDescent="0.2">
      <c r="B26" t="s">
        <v>907</v>
      </c>
      <c r="C26" t="s">
        <v>908</v>
      </c>
      <c r="I26" t="s">
        <v>968</v>
      </c>
      <c r="J26" t="s">
        <v>969</v>
      </c>
      <c r="M26" t="s">
        <v>332</v>
      </c>
      <c r="N26" t="s">
        <v>333</v>
      </c>
    </row>
    <row r="27" spans="2:14" x14ac:dyDescent="0.2">
      <c r="B27" t="s">
        <v>909</v>
      </c>
      <c r="C27" t="s">
        <v>910</v>
      </c>
      <c r="I27" t="s">
        <v>970</v>
      </c>
      <c r="J27" t="s">
        <v>971</v>
      </c>
      <c r="M27" t="s">
        <v>334</v>
      </c>
      <c r="N27" t="s">
        <v>335</v>
      </c>
    </row>
    <row r="28" spans="2:14" x14ac:dyDescent="0.2">
      <c r="B28" t="s">
        <v>911</v>
      </c>
      <c r="C28" t="s">
        <v>217</v>
      </c>
      <c r="I28" t="s">
        <v>972</v>
      </c>
      <c r="J28" t="s">
        <v>973</v>
      </c>
      <c r="M28" t="s">
        <v>336</v>
      </c>
      <c r="N28" t="s">
        <v>337</v>
      </c>
    </row>
    <row r="29" spans="2:14" x14ac:dyDescent="0.2">
      <c r="B29" t="s">
        <v>912</v>
      </c>
      <c r="C29" t="s">
        <v>219</v>
      </c>
      <c r="I29" t="s">
        <v>974</v>
      </c>
      <c r="J29" t="s">
        <v>975</v>
      </c>
      <c r="M29" t="s">
        <v>338</v>
      </c>
      <c r="N29" t="s">
        <v>339</v>
      </c>
    </row>
    <row r="30" spans="2:14" x14ac:dyDescent="0.2">
      <c r="B30" t="s">
        <v>913</v>
      </c>
      <c r="C30" t="s">
        <v>170</v>
      </c>
      <c r="I30" t="s">
        <v>976</v>
      </c>
      <c r="J30" t="s">
        <v>181</v>
      </c>
      <c r="M30" t="s">
        <v>340</v>
      </c>
      <c r="N30" t="s">
        <v>341</v>
      </c>
    </row>
    <row r="31" spans="2:14" x14ac:dyDescent="0.2">
      <c r="B31" t="s">
        <v>914</v>
      </c>
      <c r="C31" t="s">
        <v>218</v>
      </c>
      <c r="I31" t="s">
        <v>977</v>
      </c>
      <c r="J31" t="s">
        <v>182</v>
      </c>
      <c r="M31" t="s">
        <v>342</v>
      </c>
      <c r="N31" t="s">
        <v>343</v>
      </c>
    </row>
    <row r="32" spans="2:14" x14ac:dyDescent="0.2">
      <c r="B32" t="s">
        <v>915</v>
      </c>
      <c r="C32" t="s">
        <v>220</v>
      </c>
      <c r="I32" t="s">
        <v>978</v>
      </c>
      <c r="J32" t="s">
        <v>979</v>
      </c>
      <c r="M32" t="s">
        <v>344</v>
      </c>
      <c r="N32" t="s">
        <v>345</v>
      </c>
    </row>
    <row r="33" spans="2:14" x14ac:dyDescent="0.2">
      <c r="B33" t="s">
        <v>916</v>
      </c>
      <c r="C33" t="s">
        <v>917</v>
      </c>
      <c r="I33" t="s">
        <v>980</v>
      </c>
      <c r="J33" t="s">
        <v>981</v>
      </c>
      <c r="M33" t="s">
        <v>346</v>
      </c>
      <c r="N33" t="s">
        <v>347</v>
      </c>
    </row>
    <row r="34" spans="2:14" x14ac:dyDescent="0.2">
      <c r="B34" t="s">
        <v>918</v>
      </c>
      <c r="C34" t="s">
        <v>169</v>
      </c>
      <c r="I34" t="s">
        <v>982</v>
      </c>
      <c r="J34" t="s">
        <v>983</v>
      </c>
      <c r="M34" t="s">
        <v>348</v>
      </c>
      <c r="N34" t="s">
        <v>349</v>
      </c>
    </row>
    <row r="35" spans="2:14" x14ac:dyDescent="0.2">
      <c r="B35" t="s">
        <v>919</v>
      </c>
      <c r="C35" t="s">
        <v>168</v>
      </c>
      <c r="I35" t="s">
        <v>984</v>
      </c>
      <c r="J35" t="s">
        <v>985</v>
      </c>
      <c r="M35" t="s">
        <v>350</v>
      </c>
      <c r="N35" t="s">
        <v>114</v>
      </c>
    </row>
    <row r="36" spans="2:14" x14ac:dyDescent="0.2">
      <c r="B36" t="s">
        <v>920</v>
      </c>
      <c r="C36" t="s">
        <v>167</v>
      </c>
      <c r="I36" t="s">
        <v>986</v>
      </c>
      <c r="J36" t="s">
        <v>987</v>
      </c>
      <c r="M36" t="s">
        <v>351</v>
      </c>
      <c r="N36" t="s">
        <v>82</v>
      </c>
    </row>
    <row r="37" spans="2:14" x14ac:dyDescent="0.2">
      <c r="B37" t="s">
        <v>921</v>
      </c>
      <c r="C37" t="s">
        <v>166</v>
      </c>
      <c r="I37" t="s">
        <v>988</v>
      </c>
      <c r="J37" t="s">
        <v>989</v>
      </c>
      <c r="M37" t="s">
        <v>352</v>
      </c>
      <c r="N37" t="s">
        <v>83</v>
      </c>
    </row>
    <row r="38" spans="2:14" x14ac:dyDescent="0.2">
      <c r="B38" t="s">
        <v>922</v>
      </c>
      <c r="C38" t="s">
        <v>160</v>
      </c>
      <c r="I38" t="s">
        <v>990</v>
      </c>
      <c r="J38" t="s">
        <v>111</v>
      </c>
      <c r="M38" t="s">
        <v>353</v>
      </c>
      <c r="N38" t="s">
        <v>84</v>
      </c>
    </row>
    <row r="39" spans="2:14" x14ac:dyDescent="0.2">
      <c r="B39" t="s">
        <v>923</v>
      </c>
      <c r="C39" t="s">
        <v>924</v>
      </c>
      <c r="I39" t="s">
        <v>991</v>
      </c>
      <c r="J39" t="s">
        <v>75</v>
      </c>
      <c r="M39" t="s">
        <v>354</v>
      </c>
      <c r="N39" t="s">
        <v>85</v>
      </c>
    </row>
    <row r="40" spans="2:14" x14ac:dyDescent="0.2">
      <c r="B40" t="s">
        <v>925</v>
      </c>
      <c r="C40" t="s">
        <v>926</v>
      </c>
      <c r="I40" t="s">
        <v>992</v>
      </c>
      <c r="J40" t="s">
        <v>202</v>
      </c>
      <c r="M40" t="s">
        <v>355</v>
      </c>
      <c r="N40" t="s">
        <v>356</v>
      </c>
    </row>
    <row r="41" spans="2:14" x14ac:dyDescent="0.2">
      <c r="B41" t="s">
        <v>927</v>
      </c>
      <c r="C41" t="s">
        <v>165</v>
      </c>
      <c r="I41" t="s">
        <v>993</v>
      </c>
      <c r="J41" t="s">
        <v>199</v>
      </c>
      <c r="M41" t="s">
        <v>357</v>
      </c>
      <c r="N41" t="s">
        <v>86</v>
      </c>
    </row>
    <row r="42" spans="2:14" x14ac:dyDescent="0.2">
      <c r="B42" t="s">
        <v>928</v>
      </c>
      <c r="C42" t="s">
        <v>164</v>
      </c>
      <c r="I42" t="s">
        <v>994</v>
      </c>
      <c r="J42" t="s">
        <v>198</v>
      </c>
      <c r="M42" t="s">
        <v>358</v>
      </c>
      <c r="N42" t="s">
        <v>87</v>
      </c>
    </row>
    <row r="43" spans="2:14" x14ac:dyDescent="0.2">
      <c r="B43" t="s">
        <v>929</v>
      </c>
      <c r="C43" t="s">
        <v>223</v>
      </c>
      <c r="I43" t="s">
        <v>995</v>
      </c>
      <c r="J43" t="s">
        <v>996</v>
      </c>
      <c r="M43" t="s">
        <v>359</v>
      </c>
      <c r="N43" t="s">
        <v>88</v>
      </c>
    </row>
    <row r="44" spans="2:14" x14ac:dyDescent="0.2">
      <c r="B44" t="s">
        <v>930</v>
      </c>
      <c r="C44" t="s">
        <v>234</v>
      </c>
      <c r="I44" t="s">
        <v>997</v>
      </c>
      <c r="J44" t="s">
        <v>998</v>
      </c>
      <c r="M44" t="s">
        <v>360</v>
      </c>
      <c r="N44" t="s">
        <v>89</v>
      </c>
    </row>
    <row r="45" spans="2:14" x14ac:dyDescent="0.2">
      <c r="B45" t="s">
        <v>931</v>
      </c>
      <c r="C45" t="s">
        <v>282</v>
      </c>
      <c r="I45" t="s">
        <v>999</v>
      </c>
      <c r="J45" t="s">
        <v>1000</v>
      </c>
      <c r="M45" t="s">
        <v>361</v>
      </c>
      <c r="N45" t="s">
        <v>90</v>
      </c>
    </row>
    <row r="46" spans="2:14" x14ac:dyDescent="0.2">
      <c r="B46" t="s">
        <v>932</v>
      </c>
      <c r="C46" t="s">
        <v>233</v>
      </c>
      <c r="I46" t="s">
        <v>1001</v>
      </c>
      <c r="J46" t="s">
        <v>201</v>
      </c>
      <c r="M46" t="s">
        <v>362</v>
      </c>
      <c r="N46" t="s">
        <v>91</v>
      </c>
    </row>
    <row r="47" spans="2:14" ht="13.5" thickBot="1" x14ac:dyDescent="0.25">
      <c r="B47" s="2" t="s">
        <v>933</v>
      </c>
      <c r="C47" s="2" t="s">
        <v>934</v>
      </c>
      <c r="I47" t="s">
        <v>1002</v>
      </c>
      <c r="J47" t="s">
        <v>200</v>
      </c>
      <c r="M47" t="s">
        <v>363</v>
      </c>
      <c r="N47" t="s">
        <v>364</v>
      </c>
    </row>
    <row r="48" spans="2:14" x14ac:dyDescent="0.2">
      <c r="I48" t="s">
        <v>1003</v>
      </c>
      <c r="J48" t="s">
        <v>112</v>
      </c>
      <c r="M48" t="s">
        <v>365</v>
      </c>
      <c r="N48" t="s">
        <v>92</v>
      </c>
    </row>
    <row r="49" spans="9:14" x14ac:dyDescent="0.2">
      <c r="I49" t="s">
        <v>1004</v>
      </c>
      <c r="J49" t="s">
        <v>113</v>
      </c>
      <c r="M49" t="s">
        <v>366</v>
      </c>
      <c r="N49" t="s">
        <v>115</v>
      </c>
    </row>
    <row r="50" spans="9:14" x14ac:dyDescent="0.2">
      <c r="I50" t="s">
        <v>1005</v>
      </c>
      <c r="J50" t="s">
        <v>76</v>
      </c>
      <c r="M50" t="s">
        <v>367</v>
      </c>
      <c r="N50" t="s">
        <v>116</v>
      </c>
    </row>
    <row r="51" spans="9:14" x14ac:dyDescent="0.2">
      <c r="I51" t="s">
        <v>1006</v>
      </c>
      <c r="J51" t="s">
        <v>77</v>
      </c>
      <c r="M51" t="s">
        <v>368</v>
      </c>
      <c r="N51" t="s">
        <v>93</v>
      </c>
    </row>
    <row r="52" spans="9:14" x14ac:dyDescent="0.2">
      <c r="I52" t="s">
        <v>1007</v>
      </c>
      <c r="J52" t="s">
        <v>197</v>
      </c>
      <c r="M52" t="s">
        <v>369</v>
      </c>
      <c r="N52" t="s">
        <v>94</v>
      </c>
    </row>
    <row r="53" spans="9:14" x14ac:dyDescent="0.2">
      <c r="I53" t="s">
        <v>1008</v>
      </c>
      <c r="J53" t="s">
        <v>196</v>
      </c>
      <c r="M53" t="s">
        <v>370</v>
      </c>
      <c r="N53" t="s">
        <v>95</v>
      </c>
    </row>
    <row r="54" spans="9:14" x14ac:dyDescent="0.2">
      <c r="I54" t="s">
        <v>1009</v>
      </c>
      <c r="J54" t="s">
        <v>195</v>
      </c>
      <c r="M54" t="s">
        <v>371</v>
      </c>
      <c r="N54" t="s">
        <v>96</v>
      </c>
    </row>
    <row r="55" spans="9:14" x14ac:dyDescent="0.2">
      <c r="I55" t="s">
        <v>1010</v>
      </c>
      <c r="J55" t="s">
        <v>194</v>
      </c>
      <c r="M55" t="s">
        <v>372</v>
      </c>
      <c r="N55" t="s">
        <v>98</v>
      </c>
    </row>
    <row r="56" spans="9:14" x14ac:dyDescent="0.2">
      <c r="I56" t="s">
        <v>1011</v>
      </c>
      <c r="J56" t="s">
        <v>193</v>
      </c>
      <c r="M56" t="s">
        <v>373</v>
      </c>
      <c r="N56" t="s">
        <v>215</v>
      </c>
    </row>
    <row r="57" spans="9:14" x14ac:dyDescent="0.2">
      <c r="I57" t="s">
        <v>1012</v>
      </c>
      <c r="J57" t="s">
        <v>192</v>
      </c>
      <c r="M57" t="s">
        <v>374</v>
      </c>
      <c r="N57" t="s">
        <v>99</v>
      </c>
    </row>
    <row r="58" spans="9:14" x14ac:dyDescent="0.2">
      <c r="I58" t="s">
        <v>1013</v>
      </c>
      <c r="J58" t="s">
        <v>191</v>
      </c>
      <c r="M58" t="s">
        <v>375</v>
      </c>
      <c r="N58" t="s">
        <v>376</v>
      </c>
    </row>
    <row r="59" spans="9:14" x14ac:dyDescent="0.2">
      <c r="I59" t="s">
        <v>1014</v>
      </c>
      <c r="J59" t="s">
        <v>190</v>
      </c>
      <c r="M59" t="s">
        <v>377</v>
      </c>
      <c r="N59" t="s">
        <v>100</v>
      </c>
    </row>
    <row r="60" spans="9:14" x14ac:dyDescent="0.2">
      <c r="I60" t="s">
        <v>1015</v>
      </c>
      <c r="J60" t="s">
        <v>189</v>
      </c>
      <c r="M60" t="s">
        <v>378</v>
      </c>
      <c r="N60" t="s">
        <v>101</v>
      </c>
    </row>
    <row r="61" spans="9:14" x14ac:dyDescent="0.2">
      <c r="I61" t="s">
        <v>1016</v>
      </c>
      <c r="J61" t="s">
        <v>188</v>
      </c>
      <c r="M61" t="s">
        <v>379</v>
      </c>
      <c r="N61" t="s">
        <v>102</v>
      </c>
    </row>
    <row r="62" spans="9:14" x14ac:dyDescent="0.2">
      <c r="I62" t="s">
        <v>1017</v>
      </c>
      <c r="J62" t="s">
        <v>187</v>
      </c>
      <c r="M62" t="s">
        <v>380</v>
      </c>
      <c r="N62" t="s">
        <v>103</v>
      </c>
    </row>
    <row r="63" spans="9:14" x14ac:dyDescent="0.2">
      <c r="I63" t="s">
        <v>1018</v>
      </c>
      <c r="J63" t="s">
        <v>186</v>
      </c>
      <c r="M63" t="s">
        <v>381</v>
      </c>
      <c r="N63" t="s">
        <v>382</v>
      </c>
    </row>
    <row r="64" spans="9:14" x14ac:dyDescent="0.2">
      <c r="I64" t="s">
        <v>1019</v>
      </c>
      <c r="J64" t="s">
        <v>180</v>
      </c>
      <c r="M64" t="s">
        <v>383</v>
      </c>
      <c r="N64" t="s">
        <v>384</v>
      </c>
    </row>
    <row r="65" spans="9:14" x14ac:dyDescent="0.2">
      <c r="I65" t="s">
        <v>1020</v>
      </c>
      <c r="J65" t="s">
        <v>179</v>
      </c>
      <c r="M65" t="s">
        <v>385</v>
      </c>
      <c r="N65" t="s">
        <v>386</v>
      </c>
    </row>
    <row r="66" spans="9:14" x14ac:dyDescent="0.2">
      <c r="I66" t="s">
        <v>1021</v>
      </c>
      <c r="J66" t="s">
        <v>178</v>
      </c>
      <c r="M66" t="s">
        <v>387</v>
      </c>
      <c r="N66" t="s">
        <v>388</v>
      </c>
    </row>
    <row r="67" spans="9:14" x14ac:dyDescent="0.2">
      <c r="I67" t="s">
        <v>1022</v>
      </c>
      <c r="J67" t="s">
        <v>177</v>
      </c>
      <c r="M67" t="s">
        <v>389</v>
      </c>
      <c r="N67" t="s">
        <v>390</v>
      </c>
    </row>
    <row r="68" spans="9:14" x14ac:dyDescent="0.2">
      <c r="I68" t="s">
        <v>1023</v>
      </c>
      <c r="J68" t="s">
        <v>176</v>
      </c>
      <c r="M68" t="s">
        <v>391</v>
      </c>
      <c r="N68" t="s">
        <v>117</v>
      </c>
    </row>
    <row r="69" spans="9:14" x14ac:dyDescent="0.2">
      <c r="I69" t="s">
        <v>1024</v>
      </c>
      <c r="J69" t="s">
        <v>175</v>
      </c>
      <c r="M69" t="s">
        <v>392</v>
      </c>
      <c r="N69" t="s">
        <v>104</v>
      </c>
    </row>
    <row r="70" spans="9:14" x14ac:dyDescent="0.2">
      <c r="I70" t="s">
        <v>1025</v>
      </c>
      <c r="J70" t="s">
        <v>174</v>
      </c>
      <c r="M70" t="s">
        <v>393</v>
      </c>
      <c r="N70" t="s">
        <v>0</v>
      </c>
    </row>
    <row r="71" spans="9:14" x14ac:dyDescent="0.2">
      <c r="I71" t="s">
        <v>1026</v>
      </c>
      <c r="J71" t="s">
        <v>173</v>
      </c>
      <c r="M71" t="s">
        <v>394</v>
      </c>
      <c r="N71" t="s">
        <v>1</v>
      </c>
    </row>
    <row r="72" spans="9:14" x14ac:dyDescent="0.2">
      <c r="I72" t="s">
        <v>1027</v>
      </c>
      <c r="J72" t="s">
        <v>1028</v>
      </c>
      <c r="M72" t="s">
        <v>395</v>
      </c>
      <c r="N72" t="s">
        <v>2</v>
      </c>
    </row>
    <row r="73" spans="9:14" x14ac:dyDescent="0.2">
      <c r="I73" t="s">
        <v>1029</v>
      </c>
      <c r="J73" t="s">
        <v>1030</v>
      </c>
      <c r="M73" t="s">
        <v>396</v>
      </c>
      <c r="N73" t="s">
        <v>3</v>
      </c>
    </row>
    <row r="74" spans="9:14" x14ac:dyDescent="0.2">
      <c r="I74" t="s">
        <v>1031</v>
      </c>
      <c r="J74" t="s">
        <v>1032</v>
      </c>
      <c r="M74" t="s">
        <v>397</v>
      </c>
      <c r="N74" t="s">
        <v>398</v>
      </c>
    </row>
    <row r="75" spans="9:14" x14ac:dyDescent="0.2">
      <c r="I75" t="s">
        <v>1033</v>
      </c>
      <c r="J75" t="s">
        <v>1034</v>
      </c>
      <c r="M75" t="s">
        <v>399</v>
      </c>
      <c r="N75" t="s">
        <v>5</v>
      </c>
    </row>
    <row r="76" spans="9:14" x14ac:dyDescent="0.2">
      <c r="I76" t="s">
        <v>1035</v>
      </c>
      <c r="J76" t="s">
        <v>1036</v>
      </c>
      <c r="M76" t="s">
        <v>400</v>
      </c>
      <c r="N76" t="s">
        <v>4</v>
      </c>
    </row>
    <row r="77" spans="9:14" x14ac:dyDescent="0.2">
      <c r="I77" t="s">
        <v>1037</v>
      </c>
      <c r="J77" t="s">
        <v>1038</v>
      </c>
      <c r="M77" t="s">
        <v>401</v>
      </c>
      <c r="N77" t="s">
        <v>31</v>
      </c>
    </row>
    <row r="78" spans="9:14" x14ac:dyDescent="0.2">
      <c r="I78" t="s">
        <v>1039</v>
      </c>
      <c r="J78" t="s">
        <v>1040</v>
      </c>
      <c r="M78" t="s">
        <v>402</v>
      </c>
      <c r="N78" t="s">
        <v>6</v>
      </c>
    </row>
    <row r="79" spans="9:14" x14ac:dyDescent="0.2">
      <c r="I79" t="s">
        <v>1041</v>
      </c>
      <c r="J79" t="s">
        <v>1042</v>
      </c>
      <c r="M79" t="s">
        <v>403</v>
      </c>
      <c r="N79" t="s">
        <v>7</v>
      </c>
    </row>
    <row r="80" spans="9:14" x14ac:dyDescent="0.2">
      <c r="I80" t="s">
        <v>1043</v>
      </c>
      <c r="J80" t="s">
        <v>1044</v>
      </c>
      <c r="M80" t="s">
        <v>404</v>
      </c>
      <c r="N80" t="s">
        <v>405</v>
      </c>
    </row>
    <row r="81" spans="9:14" x14ac:dyDescent="0.2">
      <c r="I81" t="s">
        <v>1045</v>
      </c>
      <c r="J81" t="s">
        <v>1046</v>
      </c>
      <c r="M81" t="s">
        <v>406</v>
      </c>
      <c r="N81" t="s">
        <v>407</v>
      </c>
    </row>
    <row r="82" spans="9:14" x14ac:dyDescent="0.2">
      <c r="I82" t="s">
        <v>1047</v>
      </c>
      <c r="J82" t="s">
        <v>185</v>
      </c>
      <c r="M82" t="s">
        <v>408</v>
      </c>
      <c r="N82" t="s">
        <v>409</v>
      </c>
    </row>
    <row r="83" spans="9:14" x14ac:dyDescent="0.2">
      <c r="I83" t="s">
        <v>1048</v>
      </c>
      <c r="J83" t="s">
        <v>184</v>
      </c>
      <c r="M83" t="s">
        <v>410</v>
      </c>
      <c r="N83" t="s">
        <v>411</v>
      </c>
    </row>
    <row r="84" spans="9:14" x14ac:dyDescent="0.2">
      <c r="I84" t="s">
        <v>1049</v>
      </c>
      <c r="J84" t="s">
        <v>183</v>
      </c>
      <c r="M84" t="s">
        <v>412</v>
      </c>
      <c r="N84" t="s">
        <v>413</v>
      </c>
    </row>
    <row r="85" spans="9:14" x14ac:dyDescent="0.2">
      <c r="I85" t="s">
        <v>1050</v>
      </c>
      <c r="J85" t="s">
        <v>238</v>
      </c>
      <c r="M85" t="s">
        <v>414</v>
      </c>
      <c r="N85" t="s">
        <v>415</v>
      </c>
    </row>
    <row r="86" spans="9:14" x14ac:dyDescent="0.2">
      <c r="I86" t="s">
        <v>1051</v>
      </c>
      <c r="J86" t="s">
        <v>239</v>
      </c>
      <c r="M86" t="s">
        <v>416</v>
      </c>
      <c r="N86" t="s">
        <v>417</v>
      </c>
    </row>
    <row r="87" spans="9:14" x14ac:dyDescent="0.2">
      <c r="I87" t="s">
        <v>1052</v>
      </c>
      <c r="J87" t="s">
        <v>240</v>
      </c>
      <c r="M87" t="s">
        <v>418</v>
      </c>
      <c r="N87" t="s">
        <v>419</v>
      </c>
    </row>
    <row r="88" spans="9:14" x14ac:dyDescent="0.2">
      <c r="I88" t="s">
        <v>1053</v>
      </c>
      <c r="J88" t="s">
        <v>241</v>
      </c>
      <c r="M88" t="s">
        <v>420</v>
      </c>
      <c r="N88" t="s">
        <v>421</v>
      </c>
    </row>
    <row r="89" spans="9:14" x14ac:dyDescent="0.2">
      <c r="I89" t="s">
        <v>1054</v>
      </c>
      <c r="J89" t="s">
        <v>172</v>
      </c>
      <c r="M89" t="s">
        <v>422</v>
      </c>
      <c r="N89" t="s">
        <v>423</v>
      </c>
    </row>
    <row r="90" spans="9:14" ht="13.5" thickBot="1" x14ac:dyDescent="0.25">
      <c r="I90" s="2" t="s">
        <v>1055</v>
      </c>
      <c r="J90" s="2" t="s">
        <v>171</v>
      </c>
      <c r="M90" t="s">
        <v>424</v>
      </c>
      <c r="N90" t="s">
        <v>425</v>
      </c>
    </row>
    <row r="91" spans="9:14" x14ac:dyDescent="0.2">
      <c r="M91" t="s">
        <v>426</v>
      </c>
      <c r="N91" t="s">
        <v>427</v>
      </c>
    </row>
    <row r="92" spans="9:14" x14ac:dyDescent="0.2">
      <c r="M92" t="s">
        <v>428</v>
      </c>
      <c r="N92" t="s">
        <v>8</v>
      </c>
    </row>
    <row r="93" spans="9:14" x14ac:dyDescent="0.2">
      <c r="M93" t="s">
        <v>429</v>
      </c>
      <c r="N93" t="s">
        <v>430</v>
      </c>
    </row>
    <row r="94" spans="9:14" x14ac:dyDescent="0.2">
      <c r="M94" t="s">
        <v>431</v>
      </c>
      <c r="N94" t="s">
        <v>432</v>
      </c>
    </row>
    <row r="95" spans="9:14" x14ac:dyDescent="0.2">
      <c r="M95" t="s">
        <v>433</v>
      </c>
      <c r="N95" t="s">
        <v>434</v>
      </c>
    </row>
    <row r="96" spans="9:14" x14ac:dyDescent="0.2">
      <c r="M96" t="s">
        <v>435</v>
      </c>
      <c r="N96" t="s">
        <v>436</v>
      </c>
    </row>
    <row r="97" spans="13:14" x14ac:dyDescent="0.2">
      <c r="M97" t="s">
        <v>437</v>
      </c>
      <c r="N97" t="s">
        <v>438</v>
      </c>
    </row>
    <row r="98" spans="13:14" x14ac:dyDescent="0.2">
      <c r="M98" t="s">
        <v>439</v>
      </c>
      <c r="N98" t="s">
        <v>440</v>
      </c>
    </row>
    <row r="99" spans="13:14" x14ac:dyDescent="0.2">
      <c r="M99" t="s">
        <v>441</v>
      </c>
      <c r="N99" t="s">
        <v>442</v>
      </c>
    </row>
    <row r="100" spans="13:14" x14ac:dyDescent="0.2">
      <c r="M100" t="s">
        <v>443</v>
      </c>
      <c r="N100" t="s">
        <v>444</v>
      </c>
    </row>
    <row r="101" spans="13:14" x14ac:dyDescent="0.2">
      <c r="M101" t="s">
        <v>445</v>
      </c>
      <c r="N101" t="s">
        <v>446</v>
      </c>
    </row>
    <row r="102" spans="13:14" x14ac:dyDescent="0.2">
      <c r="M102" t="s">
        <v>447</v>
      </c>
      <c r="N102" t="s">
        <v>448</v>
      </c>
    </row>
    <row r="103" spans="13:14" x14ac:dyDescent="0.2">
      <c r="M103" t="s">
        <v>449</v>
      </c>
      <c r="N103" t="s">
        <v>450</v>
      </c>
    </row>
    <row r="104" spans="13:14" x14ac:dyDescent="0.2">
      <c r="M104" t="s">
        <v>451</v>
      </c>
      <c r="N104" t="s">
        <v>452</v>
      </c>
    </row>
    <row r="105" spans="13:14" x14ac:dyDescent="0.2">
      <c r="M105" t="s">
        <v>453</v>
      </c>
      <c r="N105" t="s">
        <v>454</v>
      </c>
    </row>
    <row r="106" spans="13:14" x14ac:dyDescent="0.2">
      <c r="M106" t="s">
        <v>455</v>
      </c>
      <c r="N106" t="s">
        <v>456</v>
      </c>
    </row>
    <row r="107" spans="13:14" x14ac:dyDescent="0.2">
      <c r="M107" t="s">
        <v>457</v>
      </c>
      <c r="N107" t="s">
        <v>458</v>
      </c>
    </row>
    <row r="108" spans="13:14" x14ac:dyDescent="0.2">
      <c r="M108" t="s">
        <v>459</v>
      </c>
      <c r="N108" t="s">
        <v>460</v>
      </c>
    </row>
    <row r="109" spans="13:14" x14ac:dyDescent="0.2">
      <c r="M109" t="s">
        <v>461</v>
      </c>
      <c r="N109" t="s">
        <v>462</v>
      </c>
    </row>
    <row r="110" spans="13:14" x14ac:dyDescent="0.2">
      <c r="M110" t="s">
        <v>463</v>
      </c>
      <c r="N110" t="s">
        <v>119</v>
      </c>
    </row>
    <row r="111" spans="13:14" x14ac:dyDescent="0.2">
      <c r="M111" t="s">
        <v>464</v>
      </c>
      <c r="N111" t="s">
        <v>235</v>
      </c>
    </row>
    <row r="112" spans="13:14" x14ac:dyDescent="0.2">
      <c r="M112" t="s">
        <v>465</v>
      </c>
      <c r="N112" t="s">
        <v>216</v>
      </c>
    </row>
    <row r="113" spans="13:14" x14ac:dyDescent="0.2">
      <c r="M113" t="s">
        <v>466</v>
      </c>
      <c r="N113" t="s">
        <v>121</v>
      </c>
    </row>
    <row r="114" spans="13:14" x14ac:dyDescent="0.2">
      <c r="M114" t="s">
        <v>467</v>
      </c>
      <c r="N114" t="s">
        <v>122</v>
      </c>
    </row>
    <row r="115" spans="13:14" x14ac:dyDescent="0.2">
      <c r="M115" t="s">
        <v>468</v>
      </c>
      <c r="N115" t="s">
        <v>123</v>
      </c>
    </row>
    <row r="116" spans="13:14" x14ac:dyDescent="0.2">
      <c r="M116" t="s">
        <v>469</v>
      </c>
      <c r="N116" t="s">
        <v>236</v>
      </c>
    </row>
    <row r="117" spans="13:14" x14ac:dyDescent="0.2">
      <c r="M117" t="s">
        <v>470</v>
      </c>
      <c r="N117" t="s">
        <v>124</v>
      </c>
    </row>
    <row r="118" spans="13:14" x14ac:dyDescent="0.2">
      <c r="M118" t="s">
        <v>471</v>
      </c>
      <c r="N118" t="s">
        <v>237</v>
      </c>
    </row>
    <row r="119" spans="13:14" x14ac:dyDescent="0.2">
      <c r="M119" t="s">
        <v>472</v>
      </c>
      <c r="N119" t="s">
        <v>125</v>
      </c>
    </row>
    <row r="120" spans="13:14" x14ac:dyDescent="0.2">
      <c r="M120" t="s">
        <v>473</v>
      </c>
      <c r="N120" t="s">
        <v>474</v>
      </c>
    </row>
    <row r="121" spans="13:14" x14ac:dyDescent="0.2">
      <c r="M121" t="s">
        <v>475</v>
      </c>
      <c r="N121" t="s">
        <v>245</v>
      </c>
    </row>
    <row r="122" spans="13:14" x14ac:dyDescent="0.2">
      <c r="M122" t="s">
        <v>476</v>
      </c>
      <c r="N122" t="s">
        <v>126</v>
      </c>
    </row>
    <row r="123" spans="13:14" x14ac:dyDescent="0.2">
      <c r="M123" t="s">
        <v>477</v>
      </c>
      <c r="N123" t="s">
        <v>127</v>
      </c>
    </row>
    <row r="124" spans="13:14" x14ac:dyDescent="0.2">
      <c r="M124" t="s">
        <v>478</v>
      </c>
      <c r="N124" t="s">
        <v>13</v>
      </c>
    </row>
    <row r="125" spans="13:14" x14ac:dyDescent="0.2">
      <c r="M125" t="s">
        <v>479</v>
      </c>
      <c r="N125" t="s">
        <v>14</v>
      </c>
    </row>
    <row r="126" spans="13:14" x14ac:dyDescent="0.2">
      <c r="M126" t="s">
        <v>480</v>
      </c>
      <c r="N126" t="s">
        <v>15</v>
      </c>
    </row>
    <row r="127" spans="13:14" x14ac:dyDescent="0.2">
      <c r="M127" t="s">
        <v>481</v>
      </c>
      <c r="N127" t="s">
        <v>16</v>
      </c>
    </row>
    <row r="128" spans="13:14" x14ac:dyDescent="0.2">
      <c r="M128" t="s">
        <v>482</v>
      </c>
      <c r="N128" t="s">
        <v>17</v>
      </c>
    </row>
    <row r="129" spans="13:14" x14ac:dyDescent="0.2">
      <c r="M129" t="s">
        <v>483</v>
      </c>
      <c r="N129" t="s">
        <v>484</v>
      </c>
    </row>
    <row r="130" spans="13:14" x14ac:dyDescent="0.2">
      <c r="M130" t="s">
        <v>485</v>
      </c>
      <c r="N130" t="s">
        <v>486</v>
      </c>
    </row>
    <row r="131" spans="13:14" x14ac:dyDescent="0.2">
      <c r="M131" t="s">
        <v>487</v>
      </c>
      <c r="N131" t="s">
        <v>488</v>
      </c>
    </row>
    <row r="132" spans="13:14" x14ac:dyDescent="0.2">
      <c r="M132" t="s">
        <v>489</v>
      </c>
      <c r="N132" t="s">
        <v>490</v>
      </c>
    </row>
    <row r="133" spans="13:14" x14ac:dyDescent="0.2">
      <c r="M133" t="s">
        <v>491</v>
      </c>
      <c r="N133" t="s">
        <v>492</v>
      </c>
    </row>
    <row r="134" spans="13:14" x14ac:dyDescent="0.2">
      <c r="M134" t="s">
        <v>493</v>
      </c>
      <c r="N134" t="s">
        <v>494</v>
      </c>
    </row>
    <row r="135" spans="13:14" x14ac:dyDescent="0.2">
      <c r="M135" t="s">
        <v>495</v>
      </c>
      <c r="N135" t="s">
        <v>128</v>
      </c>
    </row>
    <row r="136" spans="13:14" x14ac:dyDescent="0.2">
      <c r="M136" t="s">
        <v>496</v>
      </c>
      <c r="N136" t="s">
        <v>18</v>
      </c>
    </row>
    <row r="137" spans="13:14" x14ac:dyDescent="0.2">
      <c r="M137" t="s">
        <v>497</v>
      </c>
      <c r="N137" t="s">
        <v>19</v>
      </c>
    </row>
    <row r="138" spans="13:14" x14ac:dyDescent="0.2">
      <c r="M138" t="s">
        <v>498</v>
      </c>
      <c r="N138" t="s">
        <v>129</v>
      </c>
    </row>
    <row r="139" spans="13:14" x14ac:dyDescent="0.2">
      <c r="M139" t="s">
        <v>499</v>
      </c>
      <c r="N139" t="s">
        <v>130</v>
      </c>
    </row>
    <row r="140" spans="13:14" x14ac:dyDescent="0.2">
      <c r="M140" t="s">
        <v>500</v>
      </c>
      <c r="N140" t="s">
        <v>131</v>
      </c>
    </row>
    <row r="141" spans="13:14" x14ac:dyDescent="0.2">
      <c r="M141" t="s">
        <v>501</v>
      </c>
      <c r="N141" t="s">
        <v>132</v>
      </c>
    </row>
    <row r="142" spans="13:14" x14ac:dyDescent="0.2">
      <c r="M142" t="s">
        <v>502</v>
      </c>
      <c r="N142" t="s">
        <v>133</v>
      </c>
    </row>
    <row r="143" spans="13:14" x14ac:dyDescent="0.2">
      <c r="M143" t="s">
        <v>503</v>
      </c>
      <c r="N143" t="s">
        <v>134</v>
      </c>
    </row>
    <row r="144" spans="13:14" x14ac:dyDescent="0.2">
      <c r="M144" t="s">
        <v>504</v>
      </c>
      <c r="N144" t="s">
        <v>135</v>
      </c>
    </row>
    <row r="145" spans="13:14" x14ac:dyDescent="0.2">
      <c r="M145" t="s">
        <v>505</v>
      </c>
      <c r="N145" t="s">
        <v>506</v>
      </c>
    </row>
    <row r="146" spans="13:14" x14ac:dyDescent="0.2">
      <c r="M146" t="s">
        <v>507</v>
      </c>
      <c r="N146" t="s">
        <v>508</v>
      </c>
    </row>
    <row r="147" spans="13:14" x14ac:dyDescent="0.2">
      <c r="M147" t="s">
        <v>509</v>
      </c>
      <c r="N147" t="s">
        <v>510</v>
      </c>
    </row>
    <row r="148" spans="13:14" x14ac:dyDescent="0.2">
      <c r="M148" t="s">
        <v>511</v>
      </c>
      <c r="N148" t="s">
        <v>136</v>
      </c>
    </row>
    <row r="149" spans="13:14" x14ac:dyDescent="0.2">
      <c r="M149" t="s">
        <v>512</v>
      </c>
      <c r="N149" t="s">
        <v>137</v>
      </c>
    </row>
    <row r="150" spans="13:14" x14ac:dyDescent="0.2">
      <c r="M150" t="s">
        <v>513</v>
      </c>
      <c r="N150" t="s">
        <v>138</v>
      </c>
    </row>
    <row r="151" spans="13:14" x14ac:dyDescent="0.2">
      <c r="M151" t="s">
        <v>514</v>
      </c>
      <c r="N151" t="s">
        <v>139</v>
      </c>
    </row>
    <row r="152" spans="13:14" x14ac:dyDescent="0.2">
      <c r="M152" t="s">
        <v>515</v>
      </c>
      <c r="N152" t="s">
        <v>140</v>
      </c>
    </row>
    <row r="153" spans="13:14" x14ac:dyDescent="0.2">
      <c r="M153" t="s">
        <v>516</v>
      </c>
      <c r="N153" t="s">
        <v>141</v>
      </c>
    </row>
    <row r="154" spans="13:14" x14ac:dyDescent="0.2">
      <c r="M154" t="s">
        <v>517</v>
      </c>
      <c r="N154" t="s">
        <v>142</v>
      </c>
    </row>
    <row r="155" spans="13:14" x14ac:dyDescent="0.2">
      <c r="M155" t="s">
        <v>518</v>
      </c>
      <c r="N155" t="s">
        <v>143</v>
      </c>
    </row>
    <row r="156" spans="13:14" x14ac:dyDescent="0.2">
      <c r="M156" t="s">
        <v>519</v>
      </c>
      <c r="N156" t="s">
        <v>144</v>
      </c>
    </row>
    <row r="157" spans="13:14" x14ac:dyDescent="0.2">
      <c r="M157" t="s">
        <v>520</v>
      </c>
      <c r="N157" t="s">
        <v>145</v>
      </c>
    </row>
    <row r="158" spans="13:14" x14ac:dyDescent="0.2">
      <c r="M158" t="s">
        <v>521</v>
      </c>
      <c r="N158" t="s">
        <v>120</v>
      </c>
    </row>
    <row r="159" spans="13:14" x14ac:dyDescent="0.2">
      <c r="M159" t="s">
        <v>522</v>
      </c>
      <c r="N159" t="s">
        <v>10</v>
      </c>
    </row>
    <row r="160" spans="13:14" x14ac:dyDescent="0.2">
      <c r="M160" t="s">
        <v>523</v>
      </c>
      <c r="N160" t="s">
        <v>524</v>
      </c>
    </row>
    <row r="161" spans="13:14" x14ac:dyDescent="0.2">
      <c r="M161" t="s">
        <v>525</v>
      </c>
      <c r="N161" t="s">
        <v>526</v>
      </c>
    </row>
    <row r="162" spans="13:14" x14ac:dyDescent="0.2">
      <c r="M162" t="s">
        <v>527</v>
      </c>
      <c r="N162" t="s">
        <v>528</v>
      </c>
    </row>
    <row r="163" spans="13:14" x14ac:dyDescent="0.2">
      <c r="M163" t="s">
        <v>529</v>
      </c>
      <c r="N163" t="s">
        <v>214</v>
      </c>
    </row>
    <row r="164" spans="13:14" x14ac:dyDescent="0.2">
      <c r="M164" t="s">
        <v>530</v>
      </c>
      <c r="N164" t="s">
        <v>11</v>
      </c>
    </row>
    <row r="165" spans="13:14" x14ac:dyDescent="0.2">
      <c r="M165" t="s">
        <v>531</v>
      </c>
      <c r="N165" t="s">
        <v>12</v>
      </c>
    </row>
    <row r="166" spans="13:14" x14ac:dyDescent="0.2">
      <c r="M166" t="s">
        <v>532</v>
      </c>
      <c r="N166" t="s">
        <v>283</v>
      </c>
    </row>
    <row r="167" spans="13:14" x14ac:dyDescent="0.2">
      <c r="M167" t="s">
        <v>533</v>
      </c>
      <c r="N167" t="s">
        <v>534</v>
      </c>
    </row>
    <row r="168" spans="13:14" x14ac:dyDescent="0.2">
      <c r="M168" t="s">
        <v>535</v>
      </c>
      <c r="N168" t="s">
        <v>536</v>
      </c>
    </row>
    <row r="169" spans="13:14" x14ac:dyDescent="0.2">
      <c r="M169" t="s">
        <v>537</v>
      </c>
      <c r="N169" t="s">
        <v>538</v>
      </c>
    </row>
    <row r="170" spans="13:14" x14ac:dyDescent="0.2">
      <c r="M170" t="s">
        <v>539</v>
      </c>
      <c r="N170" t="s">
        <v>540</v>
      </c>
    </row>
    <row r="171" spans="13:14" x14ac:dyDescent="0.2">
      <c r="M171" t="s">
        <v>541</v>
      </c>
      <c r="N171" t="s">
        <v>542</v>
      </c>
    </row>
    <row r="172" spans="13:14" x14ac:dyDescent="0.2">
      <c r="M172" t="s">
        <v>543</v>
      </c>
      <c r="N172" t="s">
        <v>544</v>
      </c>
    </row>
    <row r="173" spans="13:14" x14ac:dyDescent="0.2">
      <c r="M173" t="s">
        <v>545</v>
      </c>
      <c r="N173" t="s">
        <v>228</v>
      </c>
    </row>
    <row r="174" spans="13:14" x14ac:dyDescent="0.2">
      <c r="M174" t="s">
        <v>546</v>
      </c>
      <c r="N174" t="s">
        <v>547</v>
      </c>
    </row>
    <row r="175" spans="13:14" x14ac:dyDescent="0.2">
      <c r="M175" t="s">
        <v>548</v>
      </c>
      <c r="N175" t="s">
        <v>549</v>
      </c>
    </row>
    <row r="176" spans="13:14" x14ac:dyDescent="0.2">
      <c r="M176" t="s">
        <v>550</v>
      </c>
      <c r="N176" t="s">
        <v>286</v>
      </c>
    </row>
    <row r="177" spans="13:14" x14ac:dyDescent="0.2">
      <c r="M177" t="s">
        <v>551</v>
      </c>
      <c r="N177" t="s">
        <v>552</v>
      </c>
    </row>
    <row r="178" spans="13:14" x14ac:dyDescent="0.2">
      <c r="M178" t="s">
        <v>553</v>
      </c>
      <c r="N178" t="s">
        <v>226</v>
      </c>
    </row>
    <row r="179" spans="13:14" x14ac:dyDescent="0.2">
      <c r="M179" t="s">
        <v>554</v>
      </c>
      <c r="N179" t="s">
        <v>555</v>
      </c>
    </row>
    <row r="180" spans="13:14" x14ac:dyDescent="0.2">
      <c r="M180" t="s">
        <v>556</v>
      </c>
      <c r="N180" t="s">
        <v>227</v>
      </c>
    </row>
    <row r="181" spans="13:14" x14ac:dyDescent="0.2">
      <c r="M181" t="s">
        <v>557</v>
      </c>
      <c r="N181" t="s">
        <v>558</v>
      </c>
    </row>
    <row r="182" spans="13:14" x14ac:dyDescent="0.2">
      <c r="M182" t="s">
        <v>559</v>
      </c>
      <c r="N182" t="s">
        <v>560</v>
      </c>
    </row>
    <row r="183" spans="13:14" x14ac:dyDescent="0.2">
      <c r="M183" t="s">
        <v>561</v>
      </c>
      <c r="N183" t="s">
        <v>562</v>
      </c>
    </row>
    <row r="184" spans="13:14" x14ac:dyDescent="0.2">
      <c r="M184" t="s">
        <v>563</v>
      </c>
      <c r="N184" t="s">
        <v>290</v>
      </c>
    </row>
    <row r="185" spans="13:14" x14ac:dyDescent="0.2">
      <c r="M185" t="s">
        <v>564</v>
      </c>
      <c r="N185" t="s">
        <v>225</v>
      </c>
    </row>
    <row r="186" spans="13:14" x14ac:dyDescent="0.2">
      <c r="M186" t="s">
        <v>565</v>
      </c>
      <c r="N186" t="s">
        <v>291</v>
      </c>
    </row>
    <row r="187" spans="13:14" x14ac:dyDescent="0.2">
      <c r="M187" t="s">
        <v>566</v>
      </c>
      <c r="N187" t="s">
        <v>567</v>
      </c>
    </row>
    <row r="188" spans="13:14" x14ac:dyDescent="0.2">
      <c r="M188" t="s">
        <v>568</v>
      </c>
      <c r="N188" t="s">
        <v>569</v>
      </c>
    </row>
    <row r="189" spans="13:14" x14ac:dyDescent="0.2">
      <c r="M189" t="s">
        <v>570</v>
      </c>
      <c r="N189" t="s">
        <v>1058</v>
      </c>
    </row>
    <row r="190" spans="13:14" x14ac:dyDescent="0.2">
      <c r="M190" t="s">
        <v>572</v>
      </c>
      <c r="N190" t="s">
        <v>573</v>
      </c>
    </row>
    <row r="191" spans="13:14" x14ac:dyDescent="0.2">
      <c r="M191" t="s">
        <v>574</v>
      </c>
      <c r="N191" t="s">
        <v>575</v>
      </c>
    </row>
    <row r="192" spans="13:14" x14ac:dyDescent="0.2">
      <c r="M192" t="s">
        <v>576</v>
      </c>
      <c r="N192" t="s">
        <v>577</v>
      </c>
    </row>
    <row r="193" spans="13:14" x14ac:dyDescent="0.2">
      <c r="M193" t="s">
        <v>578</v>
      </c>
      <c r="N193" t="s">
        <v>579</v>
      </c>
    </row>
    <row r="194" spans="13:14" x14ac:dyDescent="0.2">
      <c r="M194" t="s">
        <v>580</v>
      </c>
      <c r="N194" t="s">
        <v>581</v>
      </c>
    </row>
    <row r="195" spans="13:14" x14ac:dyDescent="0.2">
      <c r="M195" t="s">
        <v>582</v>
      </c>
      <c r="N195" t="s">
        <v>583</v>
      </c>
    </row>
    <row r="196" spans="13:14" x14ac:dyDescent="0.2">
      <c r="M196" t="s">
        <v>584</v>
      </c>
      <c r="N196" t="s">
        <v>585</v>
      </c>
    </row>
    <row r="197" spans="13:14" x14ac:dyDescent="0.2">
      <c r="M197" t="s">
        <v>586</v>
      </c>
      <c r="N197" t="s">
        <v>231</v>
      </c>
    </row>
    <row r="198" spans="13:14" x14ac:dyDescent="0.2">
      <c r="M198" t="s">
        <v>587</v>
      </c>
      <c r="N198" t="s">
        <v>588</v>
      </c>
    </row>
    <row r="199" spans="13:14" x14ac:dyDescent="0.2">
      <c r="M199" t="s">
        <v>589</v>
      </c>
      <c r="N199" t="s">
        <v>232</v>
      </c>
    </row>
    <row r="200" spans="13:14" x14ac:dyDescent="0.2">
      <c r="M200" t="s">
        <v>590</v>
      </c>
      <c r="N200" t="s">
        <v>591</v>
      </c>
    </row>
    <row r="201" spans="13:14" x14ac:dyDescent="0.2">
      <c r="M201" t="s">
        <v>592</v>
      </c>
      <c r="N201" t="s">
        <v>146</v>
      </c>
    </row>
    <row r="202" spans="13:14" x14ac:dyDescent="0.2">
      <c r="M202" t="s">
        <v>593</v>
      </c>
      <c r="N202" t="s">
        <v>594</v>
      </c>
    </row>
    <row r="203" spans="13:14" x14ac:dyDescent="0.2">
      <c r="M203" t="s">
        <v>595</v>
      </c>
      <c r="N203" t="s">
        <v>292</v>
      </c>
    </row>
    <row r="204" spans="13:14" x14ac:dyDescent="0.2">
      <c r="M204" t="s">
        <v>597</v>
      </c>
      <c r="N204" t="s">
        <v>293</v>
      </c>
    </row>
    <row r="205" spans="13:14" x14ac:dyDescent="0.2">
      <c r="M205" t="s">
        <v>598</v>
      </c>
      <c r="N205" t="s">
        <v>599</v>
      </c>
    </row>
    <row r="206" spans="13:14" x14ac:dyDescent="0.2">
      <c r="M206" t="s">
        <v>600</v>
      </c>
      <c r="N206" t="s">
        <v>601</v>
      </c>
    </row>
    <row r="207" spans="13:14" x14ac:dyDescent="0.2">
      <c r="M207" t="s">
        <v>602</v>
      </c>
      <c r="N207" t="s">
        <v>230</v>
      </c>
    </row>
    <row r="208" spans="13:14" x14ac:dyDescent="0.2">
      <c r="M208" t="s">
        <v>603</v>
      </c>
      <c r="N208" t="s">
        <v>229</v>
      </c>
    </row>
    <row r="209" spans="13:14" x14ac:dyDescent="0.2">
      <c r="M209" t="s">
        <v>604</v>
      </c>
      <c r="N209" t="s">
        <v>605</v>
      </c>
    </row>
    <row r="210" spans="13:14" x14ac:dyDescent="0.2">
      <c r="M210" t="s">
        <v>606</v>
      </c>
      <c r="N210" t="s">
        <v>147</v>
      </c>
    </row>
    <row r="211" spans="13:14" x14ac:dyDescent="0.2">
      <c r="M211" t="s">
        <v>607</v>
      </c>
      <c r="N211" t="s">
        <v>211</v>
      </c>
    </row>
    <row r="212" spans="13:14" x14ac:dyDescent="0.2">
      <c r="M212" t="s">
        <v>608</v>
      </c>
      <c r="N212" t="s">
        <v>213</v>
      </c>
    </row>
    <row r="213" spans="13:14" x14ac:dyDescent="0.2">
      <c r="M213" t="s">
        <v>609</v>
      </c>
      <c r="N213" t="s">
        <v>610</v>
      </c>
    </row>
    <row r="214" spans="13:14" x14ac:dyDescent="0.2">
      <c r="M214" t="s">
        <v>611</v>
      </c>
      <c r="N214" t="s">
        <v>148</v>
      </c>
    </row>
    <row r="215" spans="13:14" x14ac:dyDescent="0.2">
      <c r="M215" t="s">
        <v>612</v>
      </c>
      <c r="N215" t="s">
        <v>613</v>
      </c>
    </row>
    <row r="216" spans="13:14" x14ac:dyDescent="0.2">
      <c r="M216" t="s">
        <v>614</v>
      </c>
      <c r="N216" t="s">
        <v>149</v>
      </c>
    </row>
    <row r="217" spans="13:14" x14ac:dyDescent="0.2">
      <c r="M217" t="s">
        <v>615</v>
      </c>
      <c r="N217" t="s">
        <v>150</v>
      </c>
    </row>
    <row r="218" spans="13:14" x14ac:dyDescent="0.2">
      <c r="M218" t="s">
        <v>616</v>
      </c>
      <c r="N218" t="s">
        <v>151</v>
      </c>
    </row>
    <row r="219" spans="13:14" x14ac:dyDescent="0.2">
      <c r="M219" t="s">
        <v>617</v>
      </c>
      <c r="N219" t="s">
        <v>618</v>
      </c>
    </row>
    <row r="220" spans="13:14" x14ac:dyDescent="0.2">
      <c r="M220" t="s">
        <v>619</v>
      </c>
      <c r="N220" t="s">
        <v>153</v>
      </c>
    </row>
    <row r="221" spans="13:14" x14ac:dyDescent="0.2">
      <c r="M221" t="s">
        <v>620</v>
      </c>
      <c r="N221" t="s">
        <v>154</v>
      </c>
    </row>
    <row r="222" spans="13:14" x14ac:dyDescent="0.2">
      <c r="M222" t="s">
        <v>621</v>
      </c>
      <c r="N222" t="s">
        <v>20</v>
      </c>
    </row>
    <row r="223" spans="13:14" x14ac:dyDescent="0.2">
      <c r="M223" t="s">
        <v>622</v>
      </c>
      <c r="N223" t="s">
        <v>623</v>
      </c>
    </row>
    <row r="224" spans="13:14" x14ac:dyDescent="0.2">
      <c r="M224" t="s">
        <v>624</v>
      </c>
      <c r="N224" t="s">
        <v>155</v>
      </c>
    </row>
    <row r="225" spans="13:14" x14ac:dyDescent="0.2">
      <c r="M225" t="s">
        <v>625</v>
      </c>
      <c r="N225" t="s">
        <v>108</v>
      </c>
    </row>
    <row r="226" spans="13:14" x14ac:dyDescent="0.2">
      <c r="M226" t="s">
        <v>626</v>
      </c>
      <c r="N226" t="s">
        <v>627</v>
      </c>
    </row>
    <row r="227" spans="13:14" x14ac:dyDescent="0.2">
      <c r="M227" t="s">
        <v>628</v>
      </c>
      <c r="N227" t="s">
        <v>156</v>
      </c>
    </row>
    <row r="228" spans="13:14" x14ac:dyDescent="0.2">
      <c r="M228" t="s">
        <v>629</v>
      </c>
      <c r="N228" t="s">
        <v>630</v>
      </c>
    </row>
    <row r="229" spans="13:14" x14ac:dyDescent="0.2">
      <c r="M229" t="s">
        <v>631</v>
      </c>
      <c r="N229" t="s">
        <v>632</v>
      </c>
    </row>
    <row r="230" spans="13:14" x14ac:dyDescent="0.2">
      <c r="M230" t="s">
        <v>633</v>
      </c>
      <c r="N230" t="s">
        <v>634</v>
      </c>
    </row>
    <row r="231" spans="13:14" x14ac:dyDescent="0.2">
      <c r="M231" t="s">
        <v>635</v>
      </c>
      <c r="N231" t="s">
        <v>636</v>
      </c>
    </row>
    <row r="232" spans="13:14" x14ac:dyDescent="0.2">
      <c r="M232" t="s">
        <v>637</v>
      </c>
      <c r="N232" t="s">
        <v>638</v>
      </c>
    </row>
    <row r="233" spans="13:14" x14ac:dyDescent="0.2">
      <c r="M233" t="s">
        <v>639</v>
      </c>
      <c r="N233" t="s">
        <v>640</v>
      </c>
    </row>
    <row r="234" spans="13:14" x14ac:dyDescent="0.2">
      <c r="M234" t="s">
        <v>641</v>
      </c>
      <c r="N234" t="s">
        <v>642</v>
      </c>
    </row>
    <row r="235" spans="13:14" x14ac:dyDescent="0.2">
      <c r="M235" t="s">
        <v>643</v>
      </c>
      <c r="N235" t="s">
        <v>644</v>
      </c>
    </row>
    <row r="236" spans="13:14" x14ac:dyDescent="0.2">
      <c r="M236" t="s">
        <v>645</v>
      </c>
      <c r="N236" t="s">
        <v>646</v>
      </c>
    </row>
    <row r="237" spans="13:14" x14ac:dyDescent="0.2">
      <c r="M237" t="s">
        <v>647</v>
      </c>
      <c r="N237" t="s">
        <v>157</v>
      </c>
    </row>
    <row r="238" spans="13:14" x14ac:dyDescent="0.2">
      <c r="M238" t="s">
        <v>648</v>
      </c>
      <c r="N238" t="s">
        <v>9</v>
      </c>
    </row>
    <row r="239" spans="13:14" x14ac:dyDescent="0.2">
      <c r="M239" t="s">
        <v>649</v>
      </c>
      <c r="N239" t="s">
        <v>21</v>
      </c>
    </row>
    <row r="240" spans="13:14" x14ac:dyDescent="0.2">
      <c r="M240" t="s">
        <v>650</v>
      </c>
      <c r="N240" t="s">
        <v>651</v>
      </c>
    </row>
    <row r="241" spans="13:14" x14ac:dyDescent="0.2">
      <c r="M241" t="s">
        <v>652</v>
      </c>
      <c r="N241" t="s">
        <v>158</v>
      </c>
    </row>
    <row r="242" spans="13:14" x14ac:dyDescent="0.2">
      <c r="M242" t="s">
        <v>653</v>
      </c>
      <c r="N242" t="s">
        <v>654</v>
      </c>
    </row>
    <row r="243" spans="13:14" x14ac:dyDescent="0.2">
      <c r="M243" t="s">
        <v>655</v>
      </c>
      <c r="N243" t="s">
        <v>32</v>
      </c>
    </row>
    <row r="244" spans="13:14" x14ac:dyDescent="0.2">
      <c r="M244" t="s">
        <v>656</v>
      </c>
      <c r="N244" t="s">
        <v>33</v>
      </c>
    </row>
    <row r="245" spans="13:14" x14ac:dyDescent="0.2">
      <c r="M245" t="s">
        <v>657</v>
      </c>
      <c r="N245" t="s">
        <v>34</v>
      </c>
    </row>
    <row r="246" spans="13:14" x14ac:dyDescent="0.2">
      <c r="M246" t="s">
        <v>658</v>
      </c>
      <c r="N246" t="s">
        <v>659</v>
      </c>
    </row>
    <row r="247" spans="13:14" x14ac:dyDescent="0.2">
      <c r="M247" t="s">
        <v>660</v>
      </c>
      <c r="N247" t="s">
        <v>109</v>
      </c>
    </row>
    <row r="248" spans="13:14" x14ac:dyDescent="0.2">
      <c r="M248" t="s">
        <v>661</v>
      </c>
      <c r="N248" t="s">
        <v>662</v>
      </c>
    </row>
    <row r="249" spans="13:14" x14ac:dyDescent="0.2">
      <c r="M249" t="s">
        <v>663</v>
      </c>
      <c r="N249" t="s">
        <v>35</v>
      </c>
    </row>
    <row r="250" spans="13:14" x14ac:dyDescent="0.2">
      <c r="M250" t="s">
        <v>664</v>
      </c>
      <c r="N250" t="s">
        <v>665</v>
      </c>
    </row>
    <row r="251" spans="13:14" x14ac:dyDescent="0.2">
      <c r="M251" t="s">
        <v>666</v>
      </c>
      <c r="N251" t="s">
        <v>667</v>
      </c>
    </row>
    <row r="252" spans="13:14" x14ac:dyDescent="0.2">
      <c r="M252" t="s">
        <v>668</v>
      </c>
      <c r="N252" t="s">
        <v>669</v>
      </c>
    </row>
    <row r="253" spans="13:14" x14ac:dyDescent="0.2">
      <c r="M253" t="s">
        <v>670</v>
      </c>
      <c r="N253" t="s">
        <v>671</v>
      </c>
    </row>
    <row r="254" spans="13:14" x14ac:dyDescent="0.2">
      <c r="M254" t="s">
        <v>672</v>
      </c>
      <c r="N254" t="s">
        <v>36</v>
      </c>
    </row>
    <row r="255" spans="13:14" x14ac:dyDescent="0.2">
      <c r="M255" t="s">
        <v>673</v>
      </c>
      <c r="N255" t="s">
        <v>37</v>
      </c>
    </row>
    <row r="256" spans="13:14" x14ac:dyDescent="0.2">
      <c r="M256" t="s">
        <v>674</v>
      </c>
      <c r="N256" t="s">
        <v>675</v>
      </c>
    </row>
    <row r="257" spans="13:14" x14ac:dyDescent="0.2">
      <c r="M257" t="s">
        <v>676</v>
      </c>
      <c r="N257" t="s">
        <v>22</v>
      </c>
    </row>
    <row r="258" spans="13:14" x14ac:dyDescent="0.2">
      <c r="M258" t="s">
        <v>677</v>
      </c>
      <c r="N258" t="s">
        <v>38</v>
      </c>
    </row>
    <row r="259" spans="13:14" x14ac:dyDescent="0.2">
      <c r="M259" t="s">
        <v>678</v>
      </c>
      <c r="N259" t="s">
        <v>39</v>
      </c>
    </row>
    <row r="260" spans="13:14" x14ac:dyDescent="0.2">
      <c r="M260" t="s">
        <v>679</v>
      </c>
      <c r="N260" t="s">
        <v>23</v>
      </c>
    </row>
    <row r="261" spans="13:14" x14ac:dyDescent="0.2">
      <c r="M261" t="s">
        <v>680</v>
      </c>
      <c r="N261" t="s">
        <v>681</v>
      </c>
    </row>
    <row r="262" spans="13:14" x14ac:dyDescent="0.2">
      <c r="M262" t="s">
        <v>682</v>
      </c>
      <c r="N262" t="s">
        <v>683</v>
      </c>
    </row>
    <row r="263" spans="13:14" x14ac:dyDescent="0.2">
      <c r="M263" t="s">
        <v>684</v>
      </c>
      <c r="N263" t="s">
        <v>685</v>
      </c>
    </row>
    <row r="264" spans="13:14" x14ac:dyDescent="0.2">
      <c r="M264" t="s">
        <v>686</v>
      </c>
      <c r="N264" t="s">
        <v>687</v>
      </c>
    </row>
    <row r="265" spans="13:14" x14ac:dyDescent="0.2">
      <c r="M265" t="s">
        <v>688</v>
      </c>
      <c r="N265" t="s">
        <v>689</v>
      </c>
    </row>
    <row r="266" spans="13:14" x14ac:dyDescent="0.2">
      <c r="M266" t="s">
        <v>690</v>
      </c>
      <c r="N266" t="s">
        <v>691</v>
      </c>
    </row>
    <row r="267" spans="13:14" x14ac:dyDescent="0.2">
      <c r="M267" t="s">
        <v>692</v>
      </c>
      <c r="N267" t="s">
        <v>693</v>
      </c>
    </row>
    <row r="268" spans="13:14" x14ac:dyDescent="0.2">
      <c r="M268" t="s">
        <v>694</v>
      </c>
      <c r="N268" t="s">
        <v>695</v>
      </c>
    </row>
    <row r="269" spans="13:14" x14ac:dyDescent="0.2">
      <c r="M269" t="s">
        <v>696</v>
      </c>
      <c r="N269" t="s">
        <v>697</v>
      </c>
    </row>
    <row r="270" spans="13:14" x14ac:dyDescent="0.2">
      <c r="M270" t="s">
        <v>698</v>
      </c>
      <c r="N270" t="s">
        <v>699</v>
      </c>
    </row>
    <row r="271" spans="13:14" x14ac:dyDescent="0.2">
      <c r="M271" t="s">
        <v>700</v>
      </c>
      <c r="N271" t="s">
        <v>701</v>
      </c>
    </row>
    <row r="272" spans="13:14" x14ac:dyDescent="0.2">
      <c r="M272" t="s">
        <v>702</v>
      </c>
      <c r="N272" t="s">
        <v>703</v>
      </c>
    </row>
    <row r="273" spans="13:14" x14ac:dyDescent="0.2">
      <c r="M273" t="s">
        <v>704</v>
      </c>
      <c r="N273" t="s">
        <v>705</v>
      </c>
    </row>
    <row r="274" spans="13:14" x14ac:dyDescent="0.2">
      <c r="M274" t="s">
        <v>706</v>
      </c>
      <c r="N274" t="s">
        <v>707</v>
      </c>
    </row>
    <row r="275" spans="13:14" x14ac:dyDescent="0.2">
      <c r="M275" t="s">
        <v>708</v>
      </c>
      <c r="N275" t="s">
        <v>709</v>
      </c>
    </row>
    <row r="276" spans="13:14" x14ac:dyDescent="0.2">
      <c r="M276" t="s">
        <v>710</v>
      </c>
      <c r="N276" t="s">
        <v>711</v>
      </c>
    </row>
    <row r="277" spans="13:14" x14ac:dyDescent="0.2">
      <c r="M277" t="s">
        <v>712</v>
      </c>
      <c r="N277" t="s">
        <v>713</v>
      </c>
    </row>
    <row r="278" spans="13:14" x14ac:dyDescent="0.2">
      <c r="M278" t="s">
        <v>714</v>
      </c>
      <c r="N278" t="s">
        <v>24</v>
      </c>
    </row>
    <row r="279" spans="13:14" x14ac:dyDescent="0.2">
      <c r="M279" t="s">
        <v>715</v>
      </c>
      <c r="N279" t="s">
        <v>40</v>
      </c>
    </row>
    <row r="280" spans="13:14" x14ac:dyDescent="0.2">
      <c r="M280" t="s">
        <v>716</v>
      </c>
      <c r="N280" t="s">
        <v>41</v>
      </c>
    </row>
    <row r="281" spans="13:14" x14ac:dyDescent="0.2">
      <c r="M281" t="s">
        <v>717</v>
      </c>
      <c r="N281" t="s">
        <v>42</v>
      </c>
    </row>
    <row r="282" spans="13:14" x14ac:dyDescent="0.2">
      <c r="M282" t="s">
        <v>718</v>
      </c>
      <c r="N282" t="s">
        <v>719</v>
      </c>
    </row>
    <row r="283" spans="13:14" x14ac:dyDescent="0.2">
      <c r="M283" t="s">
        <v>720</v>
      </c>
      <c r="N283" t="s">
        <v>721</v>
      </c>
    </row>
    <row r="284" spans="13:14" x14ac:dyDescent="0.2">
      <c r="M284" t="s">
        <v>722</v>
      </c>
      <c r="N284" t="s">
        <v>43</v>
      </c>
    </row>
    <row r="285" spans="13:14" x14ac:dyDescent="0.2">
      <c r="M285" t="s">
        <v>723</v>
      </c>
      <c r="N285" t="s">
        <v>25</v>
      </c>
    </row>
    <row r="286" spans="13:14" x14ac:dyDescent="0.2">
      <c r="M286" t="s">
        <v>724</v>
      </c>
      <c r="N286" t="s">
        <v>44</v>
      </c>
    </row>
    <row r="287" spans="13:14" x14ac:dyDescent="0.2">
      <c r="M287" t="s">
        <v>725</v>
      </c>
      <c r="N287" t="s">
        <v>726</v>
      </c>
    </row>
    <row r="288" spans="13:14" x14ac:dyDescent="0.2">
      <c r="M288" t="s">
        <v>727</v>
      </c>
      <c r="N288" t="s">
        <v>45</v>
      </c>
    </row>
    <row r="289" spans="13:14" x14ac:dyDescent="0.2">
      <c r="M289" t="s">
        <v>728</v>
      </c>
      <c r="N289" t="s">
        <v>46</v>
      </c>
    </row>
    <row r="290" spans="13:14" x14ac:dyDescent="0.2">
      <c r="M290" t="s">
        <v>729</v>
      </c>
      <c r="N290" t="s">
        <v>47</v>
      </c>
    </row>
    <row r="291" spans="13:14" x14ac:dyDescent="0.2">
      <c r="M291" t="s">
        <v>730</v>
      </c>
      <c r="N291" t="s">
        <v>731</v>
      </c>
    </row>
    <row r="292" spans="13:14" x14ac:dyDescent="0.2">
      <c r="M292" t="s">
        <v>732</v>
      </c>
      <c r="N292" t="s">
        <v>733</v>
      </c>
    </row>
    <row r="293" spans="13:14" x14ac:dyDescent="0.2">
      <c r="M293" t="s">
        <v>734</v>
      </c>
      <c r="N293" t="s">
        <v>735</v>
      </c>
    </row>
    <row r="294" spans="13:14" x14ac:dyDescent="0.2">
      <c r="M294" t="s">
        <v>736</v>
      </c>
      <c r="N294" t="s">
        <v>737</v>
      </c>
    </row>
    <row r="295" spans="13:14" x14ac:dyDescent="0.2">
      <c r="M295" t="s">
        <v>738</v>
      </c>
      <c r="N295" t="s">
        <v>48</v>
      </c>
    </row>
    <row r="296" spans="13:14" x14ac:dyDescent="0.2">
      <c r="M296" t="s">
        <v>739</v>
      </c>
      <c r="N296" t="s">
        <v>740</v>
      </c>
    </row>
    <row r="297" spans="13:14" x14ac:dyDescent="0.2">
      <c r="M297" t="s">
        <v>741</v>
      </c>
      <c r="N297" t="s">
        <v>742</v>
      </c>
    </row>
    <row r="298" spans="13:14" x14ac:dyDescent="0.2">
      <c r="M298" t="s">
        <v>743</v>
      </c>
      <c r="N298" t="s">
        <v>49</v>
      </c>
    </row>
    <row r="299" spans="13:14" x14ac:dyDescent="0.2">
      <c r="M299" t="s">
        <v>744</v>
      </c>
      <c r="N299" t="s">
        <v>26</v>
      </c>
    </row>
    <row r="300" spans="13:14" x14ac:dyDescent="0.2">
      <c r="M300" t="s">
        <v>745</v>
      </c>
      <c r="N300" t="s">
        <v>746</v>
      </c>
    </row>
    <row r="301" spans="13:14" x14ac:dyDescent="0.2">
      <c r="M301" t="s">
        <v>747</v>
      </c>
      <c r="N301" t="s">
        <v>748</v>
      </c>
    </row>
    <row r="302" spans="13:14" x14ac:dyDescent="0.2">
      <c r="M302" t="s">
        <v>749</v>
      </c>
      <c r="N302" t="s">
        <v>750</v>
      </c>
    </row>
    <row r="303" spans="13:14" x14ac:dyDescent="0.2">
      <c r="M303" t="s">
        <v>751</v>
      </c>
      <c r="N303" t="s">
        <v>752</v>
      </c>
    </row>
    <row r="304" spans="13:14" x14ac:dyDescent="0.2">
      <c r="M304" t="s">
        <v>753</v>
      </c>
      <c r="N304" t="s">
        <v>50</v>
      </c>
    </row>
    <row r="305" spans="13:14" x14ac:dyDescent="0.2">
      <c r="M305" t="s">
        <v>754</v>
      </c>
      <c r="N305" t="s">
        <v>27</v>
      </c>
    </row>
    <row r="306" spans="13:14" x14ac:dyDescent="0.2">
      <c r="M306" t="s">
        <v>755</v>
      </c>
      <c r="N306" t="s">
        <v>28</v>
      </c>
    </row>
    <row r="307" spans="13:14" x14ac:dyDescent="0.2">
      <c r="M307" t="s">
        <v>756</v>
      </c>
      <c r="N307" t="s">
        <v>51</v>
      </c>
    </row>
    <row r="308" spans="13:14" x14ac:dyDescent="0.2">
      <c r="M308" t="s">
        <v>757</v>
      </c>
      <c r="N308" t="s">
        <v>758</v>
      </c>
    </row>
    <row r="309" spans="13:14" x14ac:dyDescent="0.2">
      <c r="M309" t="s">
        <v>759</v>
      </c>
      <c r="N309" t="s">
        <v>212</v>
      </c>
    </row>
    <row r="310" spans="13:14" x14ac:dyDescent="0.2">
      <c r="M310" t="s">
        <v>760</v>
      </c>
      <c r="N310" t="s">
        <v>761</v>
      </c>
    </row>
    <row r="311" spans="13:14" x14ac:dyDescent="0.2">
      <c r="M311" t="s">
        <v>762</v>
      </c>
      <c r="N311" t="s">
        <v>763</v>
      </c>
    </row>
    <row r="312" spans="13:14" x14ac:dyDescent="0.2">
      <c r="M312" t="s">
        <v>764</v>
      </c>
      <c r="N312" t="s">
        <v>765</v>
      </c>
    </row>
    <row r="313" spans="13:14" x14ac:dyDescent="0.2">
      <c r="M313" t="s">
        <v>766</v>
      </c>
      <c r="N313" t="s">
        <v>767</v>
      </c>
    </row>
    <row r="314" spans="13:14" x14ac:dyDescent="0.2">
      <c r="M314" t="s">
        <v>768</v>
      </c>
      <c r="N314" t="s">
        <v>29</v>
      </c>
    </row>
    <row r="315" spans="13:14" x14ac:dyDescent="0.2">
      <c r="M315" t="s">
        <v>769</v>
      </c>
      <c r="N315" t="s">
        <v>160</v>
      </c>
    </row>
    <row r="316" spans="13:14" x14ac:dyDescent="0.2">
      <c r="M316" t="s">
        <v>770</v>
      </c>
      <c r="N316" t="s">
        <v>771</v>
      </c>
    </row>
    <row r="317" spans="13:14" x14ac:dyDescent="0.2">
      <c r="M317" t="s">
        <v>772</v>
      </c>
      <c r="N317" t="s">
        <v>773</v>
      </c>
    </row>
    <row r="318" spans="13:14" x14ac:dyDescent="0.2">
      <c r="M318" t="s">
        <v>774</v>
      </c>
      <c r="N318" t="s">
        <v>52</v>
      </c>
    </row>
    <row r="319" spans="13:14" x14ac:dyDescent="0.2">
      <c r="M319" t="s">
        <v>775</v>
      </c>
      <c r="N319" t="s">
        <v>776</v>
      </c>
    </row>
    <row r="320" spans="13:14" x14ac:dyDescent="0.2">
      <c r="M320" t="s">
        <v>777</v>
      </c>
      <c r="N320" t="s">
        <v>778</v>
      </c>
    </row>
    <row r="321" spans="13:14" x14ac:dyDescent="0.2">
      <c r="M321" t="s">
        <v>779</v>
      </c>
      <c r="N321" t="s">
        <v>110</v>
      </c>
    </row>
    <row r="322" spans="13:14" x14ac:dyDescent="0.2">
      <c r="M322" t="s">
        <v>780</v>
      </c>
      <c r="N322" t="s">
        <v>781</v>
      </c>
    </row>
    <row r="323" spans="13:14" x14ac:dyDescent="0.2">
      <c r="M323" t="s">
        <v>782</v>
      </c>
      <c r="N323" t="s">
        <v>783</v>
      </c>
    </row>
    <row r="324" spans="13:14" x14ac:dyDescent="0.2">
      <c r="M324" t="s">
        <v>784</v>
      </c>
      <c r="N324" t="s">
        <v>785</v>
      </c>
    </row>
    <row r="325" spans="13:14" x14ac:dyDescent="0.2">
      <c r="M325" t="s">
        <v>786</v>
      </c>
      <c r="N325" t="s">
        <v>787</v>
      </c>
    </row>
    <row r="326" spans="13:14" x14ac:dyDescent="0.2">
      <c r="M326" t="s">
        <v>788</v>
      </c>
      <c r="N326" t="s">
        <v>789</v>
      </c>
    </row>
    <row r="327" spans="13:14" x14ac:dyDescent="0.2">
      <c r="M327" t="s">
        <v>790</v>
      </c>
      <c r="N327" t="s">
        <v>53</v>
      </c>
    </row>
    <row r="328" spans="13:14" x14ac:dyDescent="0.2">
      <c r="M328" t="s">
        <v>791</v>
      </c>
      <c r="N328" t="s">
        <v>792</v>
      </c>
    </row>
    <row r="329" spans="13:14" x14ac:dyDescent="0.2">
      <c r="M329" t="s">
        <v>793</v>
      </c>
      <c r="N329" t="s">
        <v>54</v>
      </c>
    </row>
    <row r="330" spans="13:14" x14ac:dyDescent="0.2">
      <c r="M330" t="s">
        <v>794</v>
      </c>
      <c r="N330" t="s">
        <v>795</v>
      </c>
    </row>
    <row r="331" spans="13:14" x14ac:dyDescent="0.2">
      <c r="M331" t="s">
        <v>796</v>
      </c>
      <c r="N331" t="s">
        <v>797</v>
      </c>
    </row>
    <row r="332" spans="13:14" x14ac:dyDescent="0.2">
      <c r="M332" t="s">
        <v>798</v>
      </c>
      <c r="N332" t="s">
        <v>166</v>
      </c>
    </row>
    <row r="333" spans="13:14" x14ac:dyDescent="0.2">
      <c r="M333" t="s">
        <v>799</v>
      </c>
      <c r="N333" t="s">
        <v>800</v>
      </c>
    </row>
    <row r="334" spans="13:14" x14ac:dyDescent="0.2">
      <c r="M334" t="s">
        <v>801</v>
      </c>
      <c r="N334" t="s">
        <v>802</v>
      </c>
    </row>
    <row r="335" spans="13:14" x14ac:dyDescent="0.2">
      <c r="M335" t="s">
        <v>803</v>
      </c>
      <c r="N335" t="s">
        <v>294</v>
      </c>
    </row>
    <row r="336" spans="13:14" x14ac:dyDescent="0.2">
      <c r="M336" t="s">
        <v>804</v>
      </c>
      <c r="N336" t="s">
        <v>107</v>
      </c>
    </row>
    <row r="337" spans="13:14" x14ac:dyDescent="0.2">
      <c r="M337" t="s">
        <v>805</v>
      </c>
      <c r="N337" t="s">
        <v>282</v>
      </c>
    </row>
    <row r="338" spans="13:14" x14ac:dyDescent="0.2">
      <c r="M338" t="s">
        <v>806</v>
      </c>
      <c r="N338" t="s">
        <v>248</v>
      </c>
    </row>
    <row r="339" spans="13:14" x14ac:dyDescent="0.2">
      <c r="M339" t="s">
        <v>807</v>
      </c>
      <c r="N339" t="s">
        <v>30</v>
      </c>
    </row>
    <row r="340" spans="13:14" x14ac:dyDescent="0.2">
      <c r="M340" t="s">
        <v>808</v>
      </c>
      <c r="N340" t="s">
        <v>249</v>
      </c>
    </row>
    <row r="341" spans="13:14" x14ac:dyDescent="0.2">
      <c r="M341" t="s">
        <v>809</v>
      </c>
      <c r="N341" t="s">
        <v>250</v>
      </c>
    </row>
    <row r="342" spans="13:14" x14ac:dyDescent="0.2">
      <c r="M342" t="s">
        <v>810</v>
      </c>
      <c r="N342" t="s">
        <v>251</v>
      </c>
    </row>
    <row r="343" spans="13:14" x14ac:dyDescent="0.2">
      <c r="M343" t="s">
        <v>811</v>
      </c>
      <c r="N343" t="s">
        <v>812</v>
      </c>
    </row>
    <row r="344" spans="13:14" x14ac:dyDescent="0.2">
      <c r="M344" t="s">
        <v>813</v>
      </c>
      <c r="N344" t="s">
        <v>814</v>
      </c>
    </row>
    <row r="345" spans="13:14" x14ac:dyDescent="0.2">
      <c r="M345" t="s">
        <v>815</v>
      </c>
      <c r="N345" t="s">
        <v>254</v>
      </c>
    </row>
    <row r="346" spans="13:14" x14ac:dyDescent="0.2">
      <c r="M346" t="s">
        <v>816</v>
      </c>
      <c r="N346" t="s">
        <v>255</v>
      </c>
    </row>
    <row r="347" spans="13:14" x14ac:dyDescent="0.2">
      <c r="M347" t="s">
        <v>817</v>
      </c>
      <c r="N347" t="s">
        <v>818</v>
      </c>
    </row>
    <row r="348" spans="13:14" x14ac:dyDescent="0.2">
      <c r="M348" t="s">
        <v>819</v>
      </c>
      <c r="N348" t="s">
        <v>820</v>
      </c>
    </row>
    <row r="349" spans="13:14" x14ac:dyDescent="0.2">
      <c r="M349" t="s">
        <v>821</v>
      </c>
      <c r="N349" t="s">
        <v>822</v>
      </c>
    </row>
    <row r="350" spans="13:14" x14ac:dyDescent="0.2">
      <c r="M350" t="s">
        <v>823</v>
      </c>
      <c r="N350" t="s">
        <v>256</v>
      </c>
    </row>
    <row r="351" spans="13:14" x14ac:dyDescent="0.2">
      <c r="M351" t="s">
        <v>824</v>
      </c>
      <c r="N351" t="s">
        <v>825</v>
      </c>
    </row>
    <row r="352" spans="13:14" x14ac:dyDescent="0.2">
      <c r="M352" t="s">
        <v>826</v>
      </c>
      <c r="N352" t="s">
        <v>827</v>
      </c>
    </row>
    <row r="353" spans="13:14" x14ac:dyDescent="0.2">
      <c r="M353" t="s">
        <v>828</v>
      </c>
      <c r="N353" t="s">
        <v>829</v>
      </c>
    </row>
    <row r="354" spans="13:14" x14ac:dyDescent="0.2">
      <c r="M354" t="s">
        <v>830</v>
      </c>
      <c r="N354" t="s">
        <v>831</v>
      </c>
    </row>
    <row r="355" spans="13:14" x14ac:dyDescent="0.2">
      <c r="M355" t="s">
        <v>832</v>
      </c>
      <c r="N355" t="s">
        <v>833</v>
      </c>
    </row>
    <row r="356" spans="13:14" x14ac:dyDescent="0.2">
      <c r="M356" t="s">
        <v>834</v>
      </c>
      <c r="N356" t="s">
        <v>835</v>
      </c>
    </row>
    <row r="357" spans="13:14" x14ac:dyDescent="0.2">
      <c r="M357" t="s">
        <v>836</v>
      </c>
      <c r="N357" t="s">
        <v>257</v>
      </c>
    </row>
    <row r="358" spans="13:14" x14ac:dyDescent="0.2">
      <c r="M358" t="s">
        <v>837</v>
      </c>
      <c r="N358" t="s">
        <v>258</v>
      </c>
    </row>
    <row r="359" spans="13:14" x14ac:dyDescent="0.2">
      <c r="M359" t="s">
        <v>838</v>
      </c>
      <c r="N359" t="s">
        <v>259</v>
      </c>
    </row>
    <row r="360" spans="13:14" x14ac:dyDescent="0.2">
      <c r="M360" t="s">
        <v>839</v>
      </c>
      <c r="N360" t="s">
        <v>260</v>
      </c>
    </row>
    <row r="361" spans="13:14" x14ac:dyDescent="0.2">
      <c r="M361" t="s">
        <v>840</v>
      </c>
      <c r="N361" t="s">
        <v>261</v>
      </c>
    </row>
    <row r="362" spans="13:14" x14ac:dyDescent="0.2">
      <c r="M362" t="s">
        <v>841</v>
      </c>
      <c r="N362" t="s">
        <v>262</v>
      </c>
    </row>
    <row r="363" spans="13:14" x14ac:dyDescent="0.2">
      <c r="M363" t="s">
        <v>842</v>
      </c>
      <c r="N363" t="s">
        <v>263</v>
      </c>
    </row>
    <row r="364" spans="13:14" x14ac:dyDescent="0.2">
      <c r="M364" t="s">
        <v>843</v>
      </c>
      <c r="N364" t="s">
        <v>264</v>
      </c>
    </row>
    <row r="365" spans="13:14" x14ac:dyDescent="0.2">
      <c r="M365" t="s">
        <v>844</v>
      </c>
      <c r="N365" t="s">
        <v>265</v>
      </c>
    </row>
    <row r="366" spans="13:14" x14ac:dyDescent="0.2">
      <c r="M366" t="s">
        <v>845</v>
      </c>
      <c r="N366" t="s">
        <v>266</v>
      </c>
    </row>
    <row r="367" spans="13:14" x14ac:dyDescent="0.2">
      <c r="M367" t="s">
        <v>846</v>
      </c>
      <c r="N367" t="s">
        <v>267</v>
      </c>
    </row>
    <row r="368" spans="13:14" x14ac:dyDescent="0.2">
      <c r="M368" t="s">
        <v>847</v>
      </c>
      <c r="N368" t="s">
        <v>268</v>
      </c>
    </row>
    <row r="369" spans="13:14" x14ac:dyDescent="0.2">
      <c r="M369" t="s">
        <v>848</v>
      </c>
      <c r="N369" t="s">
        <v>269</v>
      </c>
    </row>
    <row r="370" spans="13:14" x14ac:dyDescent="0.2">
      <c r="M370" t="s">
        <v>849</v>
      </c>
      <c r="N370" t="s">
        <v>270</v>
      </c>
    </row>
    <row r="371" spans="13:14" x14ac:dyDescent="0.2">
      <c r="M371" t="s">
        <v>850</v>
      </c>
      <c r="N371" t="s">
        <v>271</v>
      </c>
    </row>
    <row r="372" spans="13:14" x14ac:dyDescent="0.2">
      <c r="M372" t="s">
        <v>851</v>
      </c>
      <c r="N372" t="s">
        <v>272</v>
      </c>
    </row>
    <row r="373" spans="13:14" x14ac:dyDescent="0.2">
      <c r="M373" t="s">
        <v>852</v>
      </c>
      <c r="N373" t="s">
        <v>273</v>
      </c>
    </row>
    <row r="374" spans="13:14" x14ac:dyDescent="0.2">
      <c r="M374" t="s">
        <v>853</v>
      </c>
      <c r="N374" t="s">
        <v>274</v>
      </c>
    </row>
    <row r="375" spans="13:14" x14ac:dyDescent="0.2">
      <c r="M375" t="s">
        <v>854</v>
      </c>
      <c r="N375" t="s">
        <v>275</v>
      </c>
    </row>
    <row r="376" spans="13:14" x14ac:dyDescent="0.2">
      <c r="M376" t="s">
        <v>855</v>
      </c>
      <c r="N376" t="s">
        <v>276</v>
      </c>
    </row>
    <row r="377" spans="13:14" x14ac:dyDescent="0.2">
      <c r="M377" t="s">
        <v>856</v>
      </c>
      <c r="N377" t="s">
        <v>277</v>
      </c>
    </row>
    <row r="378" spans="13:14" x14ac:dyDescent="0.2">
      <c r="M378" t="s">
        <v>857</v>
      </c>
      <c r="N378" t="s">
        <v>278</v>
      </c>
    </row>
    <row r="379" spans="13:14" x14ac:dyDescent="0.2">
      <c r="M379" t="s">
        <v>858</v>
      </c>
      <c r="N379" t="s">
        <v>279</v>
      </c>
    </row>
    <row r="380" spans="13:14" x14ac:dyDescent="0.2">
      <c r="M380" t="s">
        <v>859</v>
      </c>
      <c r="N380" t="s">
        <v>280</v>
      </c>
    </row>
    <row r="381" spans="13:14" x14ac:dyDescent="0.2">
      <c r="M381" t="s">
        <v>860</v>
      </c>
      <c r="N381" t="s">
        <v>281</v>
      </c>
    </row>
    <row r="382" spans="13:14" x14ac:dyDescent="0.2">
      <c r="M382" t="s">
        <v>861</v>
      </c>
      <c r="N382" t="s">
        <v>862</v>
      </c>
    </row>
    <row r="383" spans="13:14" ht="13.5" thickBot="1" x14ac:dyDescent="0.25">
      <c r="M383" s="2" t="s">
        <v>1059</v>
      </c>
      <c r="N383" s="2" t="s">
        <v>1060</v>
      </c>
    </row>
  </sheetData>
  <dataValidations count="3">
    <dataValidation type="textLength" errorStyle="information" allowBlank="1" showInputMessage="1" showErrorMessage="1" error="XLBVal:8=Analysis Code_x000d__x000a_XLBRowCount:3=44_x000d__x000a_XLBColCount:3=2_x000d__x000a_Style:2=1_x000d__x000a_" sqref="B4" xr:uid="{00000000-0002-0000-0300-000000000000}">
      <formula1>0</formula1>
      <formula2>300</formula2>
    </dataValidation>
    <dataValidation type="textLength" errorStyle="information" allowBlank="1" showInputMessage="1" showErrorMessage="1" error="XLBVal:8=Account Code_x000d__x000a_XLBRowCount:3=86_x000d__x000a_XLBColCount:3=2_x000d__x000a_Style:2=1_x000d__x000a_" sqref="I5" xr:uid="{00000000-0002-0000-0300-000001000000}">
      <formula1>0</formula1>
      <formula2>300</formula2>
    </dataValidation>
    <dataValidation type="textLength" errorStyle="information" allowBlank="1" showInputMessage="1" showErrorMessage="1" error="XLBVal:8=Account Code_x000d__x000a_XLBRowCount:3=379_x000d__x000a_XLBColCount:3=2_x000d__x000a_Style:2=1_x000d__x000a_" sqref="M5" xr:uid="{00000000-0002-0000-0300-000002000000}">
      <formula1>0</formula1>
      <formula2>300</formula2>
    </dataValidation>
  </dataValidations>
  <pageMargins left="0.7" right="0.7" top="0.75" bottom="0.75" header="0.3" footer="0.3"/>
  <customProperties>
    <customPr name="QAA_DRILLPATH_NODE_ID" r:id="rId1"/>
  </customPropertie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"/>
  <dimension ref="A1"/>
  <sheetViews>
    <sheetView workbookViewId="0"/>
  </sheetViews>
  <sheetFormatPr defaultRowHeight="12.75" x14ac:dyDescent="0.2"/>
  <sheetData/>
  <customSheetViews>
    <customSheetView guid="{6AE528DE-0A51-4B58-BD91-FC0E661DE265}" state="veryHidden">
      <pageMargins left="0.75" right="0.75" top="1" bottom="1" header="0.5" footer="0.5"/>
      <headerFooter alignWithMargins="0"/>
    </customSheetView>
    <customSheetView guid="{8C698869-006A-4D39-98BF-D82A62ABB8AF}" state="veryHidden">
      <pageMargins left="0.75" right="0.75" top="1" bottom="1" header="0.5" footer="0.5"/>
      <headerFooter alignWithMargins="0"/>
    </customSheetView>
  </customSheetViews>
  <phoneticPr fontId="2" type="noConversion"/>
  <pageMargins left="0.75" right="0.75" top="1" bottom="1" header="0.5" footer="0.5"/>
  <headerFooter alignWithMargins="0"/>
  <customProperties>
    <customPr name="QAA_DRILLPATH_NODE_ID" r:id="rId1"/>
  </customPropertie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/>
  <dimension ref="A1:C15"/>
  <sheetViews>
    <sheetView workbookViewId="0"/>
  </sheetViews>
  <sheetFormatPr defaultRowHeight="12.75" x14ac:dyDescent="0.2"/>
  <sheetData>
    <row r="1" spans="1:3" ht="409.5" x14ac:dyDescent="0.2">
      <c r="A1" t="s">
        <v>69</v>
      </c>
      <c r="B1" t="s">
        <v>70</v>
      </c>
      <c r="C1" s="1" t="s">
        <v>159</v>
      </c>
    </row>
    <row r="2" spans="1:3" ht="409.5" x14ac:dyDescent="0.2">
      <c r="A2" t="s">
        <v>71</v>
      </c>
      <c r="B2" t="s">
        <v>72</v>
      </c>
      <c r="C2" s="1" t="s">
        <v>73</v>
      </c>
    </row>
    <row r="3" spans="1:3" ht="409.5" x14ac:dyDescent="0.2">
      <c r="A3" t="s">
        <v>74</v>
      </c>
      <c r="B3" t="s">
        <v>72</v>
      </c>
      <c r="C3" s="1" t="s">
        <v>56</v>
      </c>
    </row>
    <row r="4" spans="1:3" ht="409.5" x14ac:dyDescent="0.2">
      <c r="A4" t="s">
        <v>57</v>
      </c>
      <c r="B4" t="s">
        <v>58</v>
      </c>
      <c r="C4" s="1" t="s">
        <v>59</v>
      </c>
    </row>
    <row r="5" spans="1:3" ht="409.5" x14ac:dyDescent="0.2">
      <c r="A5" t="s">
        <v>106</v>
      </c>
      <c r="B5" t="s">
        <v>58</v>
      </c>
      <c r="C5" s="1" t="s">
        <v>118</v>
      </c>
    </row>
    <row r="6" spans="1:3" ht="409.5" x14ac:dyDescent="0.2">
      <c r="A6" t="s">
        <v>66</v>
      </c>
      <c r="B6" t="s">
        <v>72</v>
      </c>
      <c r="C6" s="1" t="s">
        <v>67</v>
      </c>
    </row>
    <row r="7" spans="1:3" ht="409.5" x14ac:dyDescent="0.2">
      <c r="A7" t="s">
        <v>68</v>
      </c>
      <c r="B7" t="s">
        <v>72</v>
      </c>
      <c r="C7" s="1" t="s">
        <v>105</v>
      </c>
    </row>
    <row r="8" spans="1:3" ht="409.5" x14ac:dyDescent="0.2">
      <c r="A8" t="s">
        <v>62</v>
      </c>
      <c r="B8" t="s">
        <v>72</v>
      </c>
      <c r="C8" s="1" t="s">
        <v>63</v>
      </c>
    </row>
    <row r="9" spans="1:3" ht="409.5" x14ac:dyDescent="0.2">
      <c r="A9" t="s">
        <v>64</v>
      </c>
      <c r="B9" t="s">
        <v>72</v>
      </c>
      <c r="C9" s="1" t="s">
        <v>65</v>
      </c>
    </row>
    <row r="10" spans="1:3" ht="409.5" x14ac:dyDescent="0.2">
      <c r="A10" t="s">
        <v>60</v>
      </c>
      <c r="B10" t="s">
        <v>72</v>
      </c>
      <c r="C10" s="1" t="s">
        <v>61</v>
      </c>
    </row>
    <row r="11" spans="1:3" ht="409.5" x14ac:dyDescent="0.2">
      <c r="A11" t="s">
        <v>296</v>
      </c>
      <c r="B11" t="s">
        <v>297</v>
      </c>
      <c r="C11" s="1" t="s">
        <v>298</v>
      </c>
    </row>
    <row r="12" spans="1:3" ht="409.5" x14ac:dyDescent="0.2">
      <c r="A12" t="s">
        <v>863</v>
      </c>
      <c r="B12" t="s">
        <v>297</v>
      </c>
      <c r="C12" s="1" t="s">
        <v>864</v>
      </c>
    </row>
    <row r="13" spans="1:3" ht="409.5" x14ac:dyDescent="0.2">
      <c r="A13" t="s">
        <v>937</v>
      </c>
      <c r="B13" t="s">
        <v>297</v>
      </c>
      <c r="C13" s="1" t="s">
        <v>938</v>
      </c>
    </row>
    <row r="14" spans="1:3" ht="409.5" x14ac:dyDescent="0.2">
      <c r="A14" t="s">
        <v>1056</v>
      </c>
      <c r="B14" t="s">
        <v>297</v>
      </c>
      <c r="C14" s="1" t="s">
        <v>1057</v>
      </c>
    </row>
    <row r="15" spans="1:3" ht="409.5" x14ac:dyDescent="0.2">
      <c r="A15" t="s">
        <v>1077</v>
      </c>
      <c r="B15" t="s">
        <v>297</v>
      </c>
      <c r="C15" s="1" t="s">
        <v>1078</v>
      </c>
    </row>
  </sheetData>
  <customSheetViews>
    <customSheetView guid="{6AE528DE-0A51-4B58-BD91-FC0E661DE265}" state="veryHidden">
      <pageMargins left="0.75" right="0.75" top="1" bottom="1" header="0.5" footer="0.5"/>
      <headerFooter alignWithMargins="0"/>
    </customSheetView>
    <customSheetView guid="{8C698869-006A-4D39-98BF-D82A62ABB8AF}" state="veryHidden">
      <pageMargins left="0.75" right="0.75" top="1" bottom="1" header="0.5" footer="0.5"/>
      <headerFooter alignWithMargins="0"/>
    </customSheetView>
  </customSheetViews>
  <phoneticPr fontId="2" type="noConversion"/>
  <pageMargins left="0.75" right="0.75" top="1" bottom="1" header="0.5" footer="0.5"/>
  <headerFooter alignWithMargins="0"/>
  <customProperties>
    <customPr name="QAA_DRILLPATH_NODE_ID" r:id="rId1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WorkbookDrillPathInfo xmlns:xsd="http://www.w3.org/2001/XMLSchema" xmlns:xsi="http://www.w3.org/2001/XMLSchema-instance" xmlns="http://www.infor.com/qaa/DrillPath">
  <CurrentDrillPath>
    <DrillPathNode AnalysisType="NONE" Id="0ce51a06-390d-435e-a0af-bb22f1d653b8" Name="Mapping Final P&amp;L Account" HandleSummaryReportOnly="false">
      <SuppressZero>false</SuppressZero>
      <Children/>
    </DrillPathNode>
    <DrillPathNode AnalysisType="NONE" Id="40b33db4-4673-43df-a8d3-a127f5e6c643" Name="COA " HandleSummaryReportOnly="false" Source="">
      <SuppressZero>false</SuppressZero>
      <Children/>
    </DrillPathNode>
    <DrillPathNode AnalysisType="NONE" Id="aefab5db-5e20-4a46-a070-1d75c0ed9ecc" Name="COA  (2)" HandleSummaryReportOnly="false" Source="">
      <SuppressZero>false</SuppressZero>
      <Children/>
    </DrillPathNode>
    <DrillPathNode AnalysisType="NONE" Id="0186d451-6d4c-4cfc-aa4c-36fbfa2ad2f1" Name="Analysis Code" HandleSummaryReportOnly="false" Source="">
      <SuppressZero>false</SuppressZero>
      <Children/>
    </DrillPathNode>
    <DrillPathNode AnalysisType="NONE" Id="148662c8-5d7a-4ec4-9f63-cf3ebe22b6f2" Name="Sheet3" HandleSummaryReportOnly="false" Source="">
      <SuppressZero>false</SuppressZero>
      <Children/>
    </DrillPathNode>
  </CurrentDrillPath>
  <SavedDrillPath/>
</WorkbookDrillPathInfo>
</file>

<file path=customXml/itemProps1.xml><?xml version="1.0" encoding="utf-8"?>
<ds:datastoreItem xmlns:ds="http://schemas.openxmlformats.org/officeDocument/2006/customXml" ds:itemID="{9C753CC7-58B9-4D73-B629-982B126BFD79}">
  <ds:schemaRefs>
    <ds:schemaRef ds:uri="http://www.w3.org/2001/XMLSchema"/>
    <ds:schemaRef ds:uri="http://www.infor.com/qaa/DrillPath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tmpscrapsheet</vt:lpstr>
      <vt:lpstr>Mapping Final P&amp;L Account</vt:lpstr>
      <vt:lpstr>Sheet3</vt:lpstr>
      <vt:lpstr>COA </vt:lpstr>
      <vt:lpstr>COA  (2)</vt:lpstr>
      <vt:lpstr>Analysis Code</vt:lpstr>
      <vt:lpstr>Sheet1</vt:lpstr>
      <vt:lpstr>Sheet2</vt:lpstr>
      <vt:lpstr>'Mapping Final P&amp;L Account'!Print_Area</vt:lpstr>
      <vt:lpstr>'Mapping Final P&amp;L Account'!Print_Titles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Ussama El-Shair</dc:creator>
  <cp:lastModifiedBy>Fawaz Atiatallah </cp:lastModifiedBy>
  <cp:lastPrinted>2018-04-13T07:10:18Z</cp:lastPrinted>
  <dcterms:created xsi:type="dcterms:W3CDTF">2005-08-19T16:32:27Z</dcterms:created>
  <dcterms:modified xsi:type="dcterms:W3CDTF">2026-09-17T10:39:53Z</dcterms:modified>
</cp:coreProperties>
</file>